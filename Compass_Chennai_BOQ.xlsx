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oushan Computer\Desktop\PROJECTS_FOCUSON\COMPASS CHENNAI\PROJECT DOCUMENT\"/>
    </mc:Choice>
  </mc:AlternateContent>
  <bookViews>
    <workbookView xWindow="0" yWindow="0" windowWidth="19200" windowHeight="7640" tabRatio="824" activeTab="7"/>
  </bookViews>
  <sheets>
    <sheet name="C&amp;I Summary" sheetId="10" r:id="rId1"/>
    <sheet name="C&amp;I" sheetId="1" r:id="rId2"/>
    <sheet name="FC - BOQ" sheetId="2" r:id="rId3"/>
    <sheet name="FLR - BOQ" sheetId="3" r:id="rId4"/>
    <sheet name="JNR-BOQ" sheetId="4" r:id="rId5"/>
    <sheet name="FURN" sheetId="5" r:id="rId6"/>
    <sheet name="Structural Summary" sheetId="9" r:id="rId7"/>
    <sheet name="Structural" sheetId="6" r:id="rId8"/>
    <sheet name="PHE R1 SUMMARY" sheetId="11" r:id="rId9"/>
    <sheet name="PHE WORKS-R1" sheetId="12"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0" localSheetId="8">#REF!</definedName>
    <definedName name="\0" localSheetId="9">#REF!</definedName>
    <definedName name="\0">#REF!</definedName>
    <definedName name="\a" localSheetId="8">#REF!</definedName>
    <definedName name="\a" localSheetId="9">#REF!</definedName>
    <definedName name="\a">#REF!</definedName>
    <definedName name="\b" localSheetId="8">#REF!</definedName>
    <definedName name="\b" localSheetId="9">#REF!</definedName>
    <definedName name="\b">#REF!</definedName>
    <definedName name="\C" localSheetId="8">#REF!</definedName>
    <definedName name="\C" localSheetId="9">#REF!</definedName>
    <definedName name="\C">#REF!</definedName>
    <definedName name="\g" localSheetId="8">#REF!</definedName>
    <definedName name="\g" localSheetId="9">#REF!</definedName>
    <definedName name="\g">#REF!</definedName>
    <definedName name="\i" localSheetId="8">#REF!</definedName>
    <definedName name="\i" localSheetId="9">#REF!</definedName>
    <definedName name="\i">#REF!</definedName>
    <definedName name="\l" localSheetId="8">#REF!</definedName>
    <definedName name="\l" localSheetId="9">#REF!</definedName>
    <definedName name="\l">#REF!</definedName>
    <definedName name="\m" localSheetId="8">#REF!</definedName>
    <definedName name="\m" localSheetId="9">#REF!</definedName>
    <definedName name="\m">#REF!</definedName>
    <definedName name="\o" localSheetId="8">#REF!</definedName>
    <definedName name="\o" localSheetId="9">#REF!</definedName>
    <definedName name="\o">#REF!</definedName>
    <definedName name="\p" localSheetId="8">#REF!</definedName>
    <definedName name="\p" localSheetId="9">#REF!</definedName>
    <definedName name="\p">#REF!</definedName>
    <definedName name="\q" localSheetId="8">#REF!</definedName>
    <definedName name="\q" localSheetId="9">#REF!</definedName>
    <definedName name="\q">#REF!</definedName>
    <definedName name="\r" localSheetId="8">#REF!</definedName>
    <definedName name="\r" localSheetId="9">#REF!</definedName>
    <definedName name="\r">#REF!</definedName>
    <definedName name="\s" localSheetId="8">#REF!</definedName>
    <definedName name="\s" localSheetId="9">#REF!</definedName>
    <definedName name="\s">#REF!</definedName>
    <definedName name="_____________________________________b1" localSheetId="8">City&amp;" "&amp;State</definedName>
    <definedName name="_____________________________________b1" localSheetId="9">[0]!City&amp;" "&amp;State</definedName>
    <definedName name="_____________________________________b1">City&amp;" "&amp;State</definedName>
    <definedName name="_____________________________________loc1" localSheetId="8">City&amp;" "&amp;State</definedName>
    <definedName name="_____________________________________loc1" localSheetId="9">[0]!City&amp;" "&amp;State</definedName>
    <definedName name="_____________________________________loc1">City&amp;" "&amp;State</definedName>
    <definedName name="_______________________________b1" localSheetId="8">City&amp;" "&amp;State</definedName>
    <definedName name="_______________________________b1" localSheetId="9">[0]!City&amp;" "&amp;State</definedName>
    <definedName name="_______________________________b1">City&amp;" "&amp;State</definedName>
    <definedName name="_______________________________loc1" localSheetId="8">City&amp;" "&amp;State</definedName>
    <definedName name="_______________________________loc1" localSheetId="9">[0]!City&amp;" "&amp;State</definedName>
    <definedName name="_______________________________loc1">City&amp;" "&amp;State</definedName>
    <definedName name="_____________________________b1" localSheetId="8">City&amp;" "&amp;State</definedName>
    <definedName name="_____________________________b1" localSheetId="9">[0]!City&amp;" "&amp;State</definedName>
    <definedName name="_____________________________b1">City&amp;" "&amp;State</definedName>
    <definedName name="_____________________________loc1" localSheetId="8">City&amp;" "&amp;State</definedName>
    <definedName name="_____________________________loc1" localSheetId="9">[0]!City&amp;" "&amp;State</definedName>
    <definedName name="_____________________________loc1">City&amp;" "&amp;State</definedName>
    <definedName name="____________________________b1" localSheetId="8">City&amp;" "&amp;State</definedName>
    <definedName name="____________________________b1" localSheetId="9">[0]!City&amp;" "&amp;State</definedName>
    <definedName name="____________________________b1">City&amp;" "&amp;State</definedName>
    <definedName name="____________________________loc1" localSheetId="8">City&amp;" "&amp;State</definedName>
    <definedName name="____________________________loc1" localSheetId="9">[0]!City&amp;" "&amp;State</definedName>
    <definedName name="____________________________loc1">City&amp;" "&amp;State</definedName>
    <definedName name="_________________________b1" localSheetId="8">City&amp;" "&amp;State</definedName>
    <definedName name="_________________________b1" localSheetId="9">[0]!City&amp;" "&amp;State</definedName>
    <definedName name="_________________________b1">City&amp;" "&amp;State</definedName>
    <definedName name="_________________________loc1" localSheetId="8">City&amp;" "&amp;State</definedName>
    <definedName name="_________________________loc1" localSheetId="9">[0]!City&amp;" "&amp;State</definedName>
    <definedName name="_________________________loc1">City&amp;" "&amp;State</definedName>
    <definedName name="________________________b1" localSheetId="8">City&amp;" "&amp;State</definedName>
    <definedName name="________________________b1" localSheetId="9">[0]!City&amp;" "&amp;State</definedName>
    <definedName name="________________________b1">City&amp;" "&amp;State</definedName>
    <definedName name="________________________loc1" localSheetId="8">City&amp;" "&amp;State</definedName>
    <definedName name="________________________loc1" localSheetId="9">[0]!City&amp;" "&amp;State</definedName>
    <definedName name="________________________loc1">City&amp;" "&amp;State</definedName>
    <definedName name="______________________b1" localSheetId="8">City&amp;" "&amp;State</definedName>
    <definedName name="______________________b1" localSheetId="9">[0]!City&amp;" "&amp;State</definedName>
    <definedName name="______________________b1">City&amp;" "&amp;State</definedName>
    <definedName name="______________________jj300" localSheetId="8">#REF!</definedName>
    <definedName name="______________________jj300" localSheetId="9">#REF!</definedName>
    <definedName name="______________________jj300">#REF!</definedName>
    <definedName name="______________________loc1" localSheetId="8">City&amp;" "&amp;State</definedName>
    <definedName name="______________________loc1" localSheetId="9">[0]!City&amp;" "&amp;State</definedName>
    <definedName name="______________________loc1">City&amp;" "&amp;State</definedName>
    <definedName name="_____________________jj300" localSheetId="8">#REF!</definedName>
    <definedName name="_____________________jj300" localSheetId="9">#REF!</definedName>
    <definedName name="_____________________jj300">#REF!</definedName>
    <definedName name="____________________b1" localSheetId="8">City&amp;" "&amp;State</definedName>
    <definedName name="____________________b1" localSheetId="9">[0]!City&amp;" "&amp;State</definedName>
    <definedName name="____________________b1">City&amp;" "&amp;State</definedName>
    <definedName name="____________________jj300" localSheetId="8">#REF!</definedName>
    <definedName name="____________________jj300" localSheetId="9">#REF!</definedName>
    <definedName name="____________________jj300">#REF!</definedName>
    <definedName name="____________________loc1" localSheetId="8">City&amp;" "&amp;State</definedName>
    <definedName name="____________________loc1" localSheetId="9">[0]!City&amp;" "&amp;State</definedName>
    <definedName name="____________________loc1">City&amp;" "&amp;State</definedName>
    <definedName name="___________________jj300" localSheetId="8">#REF!</definedName>
    <definedName name="___________________jj300" localSheetId="9">#REF!</definedName>
    <definedName name="___________________jj300">#REF!</definedName>
    <definedName name="__________________b1" localSheetId="8">City&amp;" "&amp;State</definedName>
    <definedName name="__________________b1" localSheetId="9">[0]!City&amp;" "&amp;State</definedName>
    <definedName name="__________________b1">City&amp;" "&amp;State</definedName>
    <definedName name="__________________jj300" localSheetId="8">#REF!</definedName>
    <definedName name="__________________jj300" localSheetId="9">#REF!</definedName>
    <definedName name="__________________jj300">#REF!</definedName>
    <definedName name="__________________loc1" localSheetId="8">City&amp;" "&amp;State</definedName>
    <definedName name="__________________loc1" localSheetId="9">[0]!City&amp;" "&amp;State</definedName>
    <definedName name="__________________loc1">City&amp;" "&amp;State</definedName>
    <definedName name="_________________b1" localSheetId="8">City&amp;" "&amp;State</definedName>
    <definedName name="_________________b1" localSheetId="9">[0]!City&amp;" "&amp;State</definedName>
    <definedName name="_________________b1">City&amp;" "&amp;State</definedName>
    <definedName name="_________________jj300" localSheetId="8">#REF!</definedName>
    <definedName name="_________________jj300" localSheetId="9">#REF!</definedName>
    <definedName name="_________________jj300">#REF!</definedName>
    <definedName name="_________________loc1" localSheetId="8">City&amp;" "&amp;State</definedName>
    <definedName name="_________________loc1" localSheetId="9">[0]!City&amp;" "&amp;State</definedName>
    <definedName name="_________________loc1">City&amp;" "&amp;State</definedName>
    <definedName name="________________b111121" localSheetId="8">#REF!</definedName>
    <definedName name="________________b111121" localSheetId="9">#REF!</definedName>
    <definedName name="________________b111121">#REF!</definedName>
    <definedName name="________________jj300" localSheetId="8">#REF!</definedName>
    <definedName name="________________jj300" localSheetId="9">#REF!</definedName>
    <definedName name="________________jj300">#REF!</definedName>
    <definedName name="________________Ki1" localSheetId="8">#REF!</definedName>
    <definedName name="________________Ki1" localSheetId="9">#REF!</definedName>
    <definedName name="________________Ki1">#REF!</definedName>
    <definedName name="________________Ki2" localSheetId="8">#REF!</definedName>
    <definedName name="________________Ki2" localSheetId="9">#REF!</definedName>
    <definedName name="________________Ki2">#REF!</definedName>
    <definedName name="_______________b1" localSheetId="8">City&amp;" "&amp;State</definedName>
    <definedName name="_______________b1" localSheetId="9">[0]!City&amp;" "&amp;State</definedName>
    <definedName name="_______________b1">City&amp;" "&amp;State</definedName>
    <definedName name="_______________jj300" localSheetId="8">#REF!</definedName>
    <definedName name="_______________jj300" localSheetId="9">#REF!</definedName>
    <definedName name="_______________jj300">#REF!</definedName>
    <definedName name="_______________loc1" localSheetId="8">City&amp;" "&amp;State</definedName>
    <definedName name="_______________loc1" localSheetId="9">[0]!City&amp;" "&amp;State</definedName>
    <definedName name="_______________loc1">City&amp;" "&amp;State</definedName>
    <definedName name="______________b1" localSheetId="8">City&amp;" "&amp;State</definedName>
    <definedName name="______________b1" localSheetId="9">[0]!City&amp;" "&amp;State</definedName>
    <definedName name="______________b1">City&amp;" "&amp;State</definedName>
    <definedName name="______________b2" localSheetId="8">City&amp;" "&amp;State</definedName>
    <definedName name="______________b2" localSheetId="9">[0]!City&amp;" "&amp;State</definedName>
    <definedName name="______________b2">City&amp;" "&amp;State</definedName>
    <definedName name="______________jj300" localSheetId="8">#REF!</definedName>
    <definedName name="______________jj300" localSheetId="9">#REF!</definedName>
    <definedName name="______________jj300">#REF!</definedName>
    <definedName name="______________loc1" localSheetId="8">City&amp;" "&amp;State</definedName>
    <definedName name="______________loc1" localSheetId="9">[0]!City&amp;" "&amp;State</definedName>
    <definedName name="______________loc1">City&amp;" "&amp;State</definedName>
    <definedName name="_____________b1" localSheetId="8">City&amp;" "&amp;State</definedName>
    <definedName name="_____________b1" localSheetId="9">[0]!City&amp;" "&amp;State</definedName>
    <definedName name="_____________b1">City&amp;" "&amp;State</definedName>
    <definedName name="_____________b2" localSheetId="8">City&amp;" "&amp;State</definedName>
    <definedName name="_____________b2" localSheetId="9">[0]!City&amp;" "&amp;State</definedName>
    <definedName name="_____________b2">City&amp;" "&amp;State</definedName>
    <definedName name="_____________jj300" localSheetId="8">#REF!</definedName>
    <definedName name="_____________jj300" localSheetId="9">#REF!</definedName>
    <definedName name="_____________jj300">#REF!</definedName>
    <definedName name="_____________loc1" localSheetId="8">City&amp;" "&amp;State</definedName>
    <definedName name="_____________loc1" localSheetId="9">[0]!City&amp;" "&amp;State</definedName>
    <definedName name="_____________loc1">City&amp;" "&amp;State</definedName>
    <definedName name="____________jj300" localSheetId="8">#REF!</definedName>
    <definedName name="____________jj300" localSheetId="9">#REF!</definedName>
    <definedName name="____________jj300">#REF!</definedName>
    <definedName name="____________loc1" localSheetId="8">City&amp;" "&amp;State</definedName>
    <definedName name="____________loc1" localSheetId="9">[0]!City&amp;" "&amp;State</definedName>
    <definedName name="____________loc1">City&amp;" "&amp;State</definedName>
    <definedName name="____________MAN1" localSheetId="8">#REF!</definedName>
    <definedName name="____________MAN1" localSheetId="9">#REF!</definedName>
    <definedName name="____________MAN1">#REF!</definedName>
    <definedName name="____________PB1" localSheetId="8">#REF!</definedName>
    <definedName name="____________PB1" localSheetId="9">#REF!</definedName>
    <definedName name="____________PB1">#REF!</definedName>
    <definedName name="____________TB2" localSheetId="8">#REF!</definedName>
    <definedName name="____________TB2" localSheetId="9">#REF!</definedName>
    <definedName name="____________TB2">#REF!</definedName>
    <definedName name="___________A65539" localSheetId="8">#REF!</definedName>
    <definedName name="___________A65539" localSheetId="9">#REF!</definedName>
    <definedName name="___________A65539">#REF!</definedName>
    <definedName name="___________A65800" localSheetId="8">#REF!</definedName>
    <definedName name="___________A65800" localSheetId="9">#REF!</definedName>
    <definedName name="___________A65800">#REF!</definedName>
    <definedName name="___________A66000" localSheetId="8">#REF!</definedName>
    <definedName name="___________A66000" localSheetId="9">#REF!</definedName>
    <definedName name="___________A66000">#REF!</definedName>
    <definedName name="___________A99999" localSheetId="8">#REF!</definedName>
    <definedName name="___________A99999" localSheetId="9">#REF!</definedName>
    <definedName name="___________A99999">#REF!</definedName>
    <definedName name="___________b1" localSheetId="8">City&amp;" "&amp;State</definedName>
    <definedName name="___________b1" localSheetId="9">[0]!City&amp;" "&amp;State</definedName>
    <definedName name="___________b1">City&amp;" "&amp;State</definedName>
    <definedName name="___________b2" localSheetId="8">City&amp;" "&amp;State</definedName>
    <definedName name="___________b2" localSheetId="9">[0]!City&amp;" "&amp;State</definedName>
    <definedName name="___________b2">City&amp;" "&amp;State</definedName>
    <definedName name="___________BLK2">[1]BLK2!$A:$IV</definedName>
    <definedName name="___________BLK3">[1]BLK3!$A:$IV</definedName>
    <definedName name="___________bol1" localSheetId="8">#REF!</definedName>
    <definedName name="___________bol1" localSheetId="9">#REF!</definedName>
    <definedName name="___________bol1">#REF!</definedName>
    <definedName name="___________can430">40.73</definedName>
    <definedName name="___________can435">43.3</definedName>
    <definedName name="___________jj300" localSheetId="8">#REF!</definedName>
    <definedName name="___________jj300" localSheetId="9">#REF!</definedName>
    <definedName name="___________jj300">#REF!</definedName>
    <definedName name="___________loc1" localSheetId="8">City&amp;" "&amp;State</definedName>
    <definedName name="___________loc1" localSheetId="9">[0]!City&amp;" "&amp;State</definedName>
    <definedName name="___________loc1">City&amp;" "&amp;State</definedName>
    <definedName name="___________MN1" localSheetId="8">#REF!</definedName>
    <definedName name="___________MN1" localSheetId="9">#REF!</definedName>
    <definedName name="___________MN1">#REF!</definedName>
    <definedName name="___________TB2">'[2]SPT vs PHI'!$B$2:$C$65</definedName>
    <definedName name="__________A65539" localSheetId="8">#REF!</definedName>
    <definedName name="__________A65539" localSheetId="9">#REF!</definedName>
    <definedName name="__________A65539">#REF!</definedName>
    <definedName name="__________A65800" localSheetId="8">#REF!</definedName>
    <definedName name="__________A65800" localSheetId="9">#REF!</definedName>
    <definedName name="__________A65800">#REF!</definedName>
    <definedName name="__________A66000" localSheetId="8">#REF!</definedName>
    <definedName name="__________A66000" localSheetId="9">#REF!</definedName>
    <definedName name="__________A66000">#REF!</definedName>
    <definedName name="__________A99999" localSheetId="8">#REF!</definedName>
    <definedName name="__________A99999" localSheetId="9">#REF!</definedName>
    <definedName name="__________A99999">#REF!</definedName>
    <definedName name="__________b1" localSheetId="8">City&amp;" "&amp;State</definedName>
    <definedName name="__________b1" localSheetId="9">[0]!City&amp;" "&amp;State</definedName>
    <definedName name="__________b1">City&amp;" "&amp;State</definedName>
    <definedName name="__________b2" localSheetId="8">City&amp;" "&amp;State</definedName>
    <definedName name="__________b2" localSheetId="9">[0]!City&amp;" "&amp;State</definedName>
    <definedName name="__________b2">City&amp;" "&amp;State</definedName>
    <definedName name="__________BLK2">[1]BLK2!$A:$IV</definedName>
    <definedName name="__________BLK3">[1]BLK3!$A:$IV</definedName>
    <definedName name="__________bol1" localSheetId="8">#REF!</definedName>
    <definedName name="__________bol1" localSheetId="9">#REF!</definedName>
    <definedName name="__________bol1">#REF!</definedName>
    <definedName name="__________can430">40.73</definedName>
    <definedName name="__________can435">43.3</definedName>
    <definedName name="__________jj300" localSheetId="8">#REF!</definedName>
    <definedName name="__________jj300" localSheetId="9">#REF!</definedName>
    <definedName name="__________jj300">#REF!</definedName>
    <definedName name="__________loc1" localSheetId="8">City&amp;" "&amp;State</definedName>
    <definedName name="__________loc1" localSheetId="9">[0]!City&amp;" "&amp;State</definedName>
    <definedName name="__________loc1">City&amp;" "&amp;State</definedName>
    <definedName name="__________MN1" localSheetId="8">#REF!</definedName>
    <definedName name="__________MN1" localSheetId="9">#REF!</definedName>
    <definedName name="__________MN1">#REF!</definedName>
    <definedName name="__________TB2">'[2]SPT vs PHI'!$B$2:$C$65</definedName>
    <definedName name="_________A65539" localSheetId="8">#REF!</definedName>
    <definedName name="_________A65539" localSheetId="9">#REF!</definedName>
    <definedName name="_________A65539">#REF!</definedName>
    <definedName name="_________A65800" localSheetId="8">#REF!</definedName>
    <definedName name="_________A65800" localSheetId="9">#REF!</definedName>
    <definedName name="_________A65800">#REF!</definedName>
    <definedName name="_________A66000" localSheetId="8">#REF!</definedName>
    <definedName name="_________A66000" localSheetId="9">#REF!</definedName>
    <definedName name="_________A66000">#REF!</definedName>
    <definedName name="_________A99999" localSheetId="8">#REF!</definedName>
    <definedName name="_________A99999" localSheetId="9">#REF!</definedName>
    <definedName name="_________A99999">#REF!</definedName>
    <definedName name="_________b1" localSheetId="8">City&amp;" "&amp;State</definedName>
    <definedName name="_________b1" localSheetId="9">[0]!City&amp;" "&amp;State</definedName>
    <definedName name="_________b1">City&amp;" "&amp;State</definedName>
    <definedName name="_________b2" localSheetId="8">City&amp;" "&amp;State</definedName>
    <definedName name="_________b2" localSheetId="9">[0]!City&amp;" "&amp;State</definedName>
    <definedName name="_________b2">City&amp;" "&amp;State</definedName>
    <definedName name="_________BLK2">[1]BLK2!$A:$IV</definedName>
    <definedName name="_________BLK3">[1]BLK3!$A:$IV</definedName>
    <definedName name="_________bol1" localSheetId="8">#REF!</definedName>
    <definedName name="_________bol1" localSheetId="9">#REF!</definedName>
    <definedName name="_________bol1">#REF!</definedName>
    <definedName name="_________can430">40.73</definedName>
    <definedName name="_________can435">43.3</definedName>
    <definedName name="_________jj300" localSheetId="8">#REF!</definedName>
    <definedName name="_________jj300" localSheetId="9">#REF!</definedName>
    <definedName name="_________jj300">#REF!</definedName>
    <definedName name="_________loc1" localSheetId="8">City&amp;" "&amp;State</definedName>
    <definedName name="_________loc1" localSheetId="9">[0]!City&amp;" "&amp;State</definedName>
    <definedName name="_________loc1">City&amp;" "&amp;State</definedName>
    <definedName name="_________MN1" localSheetId="8">#REF!</definedName>
    <definedName name="_________MN1" localSheetId="9">#REF!</definedName>
    <definedName name="_________MN1">#REF!</definedName>
    <definedName name="_________TB2">'[2]SPT vs PHI'!$B$2:$C$65</definedName>
    <definedName name="________A65800" localSheetId="8">#REF!</definedName>
    <definedName name="________A65800" localSheetId="9">#REF!</definedName>
    <definedName name="________A65800">#REF!</definedName>
    <definedName name="________A66000" localSheetId="8">#REF!</definedName>
    <definedName name="________A66000" localSheetId="9">#REF!</definedName>
    <definedName name="________A66000">#REF!</definedName>
    <definedName name="________A99999" localSheetId="8">#REF!</definedName>
    <definedName name="________A99999" localSheetId="9">#REF!</definedName>
    <definedName name="________A99999">#REF!</definedName>
    <definedName name="________b2" localSheetId="8">City&amp;" "&amp;State</definedName>
    <definedName name="________b2" localSheetId="9">[0]!City&amp;" "&amp;State</definedName>
    <definedName name="________b2">City&amp;" "&amp;State</definedName>
    <definedName name="________BLK2">[1]BLK2!$A:$IV</definedName>
    <definedName name="________BLK3">[1]BLK3!$A:$IV</definedName>
    <definedName name="________bol1" localSheetId="8">#REF!</definedName>
    <definedName name="________bol1" localSheetId="9">#REF!</definedName>
    <definedName name="________bol1">#REF!</definedName>
    <definedName name="________can430">40.73</definedName>
    <definedName name="________can435">43.3</definedName>
    <definedName name="________jj300" localSheetId="8">#REF!</definedName>
    <definedName name="________jj300" localSheetId="9">#REF!</definedName>
    <definedName name="________jj300">#REF!</definedName>
    <definedName name="________MN1" localSheetId="8">#REF!</definedName>
    <definedName name="________MN1" localSheetId="9">#REF!</definedName>
    <definedName name="________MN1">#REF!</definedName>
    <definedName name="________TB2">'[2]SPT vs PHI'!$B$2:$C$65</definedName>
    <definedName name="_______a65537" localSheetId="8">#REF!</definedName>
    <definedName name="_______a65537" localSheetId="9">#REF!</definedName>
    <definedName name="_______a65537">#REF!</definedName>
    <definedName name="_______A65539" localSheetId="8">#REF!</definedName>
    <definedName name="_______A65539" localSheetId="9">#REF!</definedName>
    <definedName name="_______A65539">#REF!</definedName>
    <definedName name="_______A65555" localSheetId="8">#REF!</definedName>
    <definedName name="_______A65555" localSheetId="9">#REF!</definedName>
    <definedName name="_______A65555">#REF!</definedName>
    <definedName name="_______A65658" localSheetId="8">#REF!</definedName>
    <definedName name="_______A65658" localSheetId="9">#REF!</definedName>
    <definedName name="_______A65658">#REF!</definedName>
    <definedName name="_______A65800" localSheetId="8">#REF!</definedName>
    <definedName name="_______A65800" localSheetId="9">#REF!</definedName>
    <definedName name="_______A65800">#REF!</definedName>
    <definedName name="_______A66000" localSheetId="8">#REF!</definedName>
    <definedName name="_______A66000" localSheetId="9">#REF!</definedName>
    <definedName name="_______A66000">#REF!</definedName>
    <definedName name="_______A99999" localSheetId="8">#REF!</definedName>
    <definedName name="_______A99999" localSheetId="9">#REF!</definedName>
    <definedName name="_______A99999">#REF!</definedName>
    <definedName name="_______b1" localSheetId="8">City&amp;" "&amp;State</definedName>
    <definedName name="_______b1" localSheetId="9">[0]!City&amp;" "&amp;State</definedName>
    <definedName name="_______b1">City&amp;" "&amp;State</definedName>
    <definedName name="_______b2" localSheetId="8">City&amp;" "&amp;State</definedName>
    <definedName name="_______b2" localSheetId="9">[0]!City&amp;" "&amp;State</definedName>
    <definedName name="_______b2">City&amp;" "&amp;State</definedName>
    <definedName name="_______BLK2">[1]BLK2!$A:$IV</definedName>
    <definedName name="_______BLK3">[1]BLK3!$A:$IV</definedName>
    <definedName name="_______bol1" localSheetId="8">#REF!</definedName>
    <definedName name="_______bol1" localSheetId="9">#REF!</definedName>
    <definedName name="_______bol1">#REF!</definedName>
    <definedName name="_______can430">40.73</definedName>
    <definedName name="_______can435">43.3</definedName>
    <definedName name="_______cat12" localSheetId="8" hidden="1">{#N/A,#N/A,TRUE,"Front";#N/A,#N/A,TRUE,"Simple Letter";#N/A,#N/A,TRUE,"Inside";#N/A,#N/A,TRUE,"Contents";#N/A,#N/A,TRUE,"Basis";#N/A,#N/A,TRUE,"Inclusions";#N/A,#N/A,TRUE,"Exclusions";#N/A,#N/A,TRUE,"Areas";#N/A,#N/A,TRUE,"Summary";#N/A,#N/A,TRUE,"Detail"}</definedName>
    <definedName name="_______cat12" localSheetId="9"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_dim4" localSheetId="8">#REF!</definedName>
    <definedName name="_______dim4" localSheetId="9">#REF!</definedName>
    <definedName name="_______dim4">#REF!</definedName>
    <definedName name="_______jj300" localSheetId="8">#REF!</definedName>
    <definedName name="_______jj300" localSheetId="9">#REF!</definedName>
    <definedName name="_______jj300">#REF!</definedName>
    <definedName name="_______KC139" localSheetId="8">#REF!</definedName>
    <definedName name="_______KC139" localSheetId="9">#REF!</definedName>
    <definedName name="_______KC139">#REF!</definedName>
    <definedName name="_______loc1" localSheetId="8">City&amp;" "&amp;State</definedName>
    <definedName name="_______loc1" localSheetId="9">[0]!City&amp;" "&amp;State</definedName>
    <definedName name="_______loc1">City&amp;" "&amp;State</definedName>
    <definedName name="_______MN1" localSheetId="8">#REF!</definedName>
    <definedName name="_______MN1" localSheetId="9">#REF!</definedName>
    <definedName name="_______MN1">#REF!</definedName>
    <definedName name="_______REM1" localSheetId="8">#REF!</definedName>
    <definedName name="_______REM1" localSheetId="9">#REF!</definedName>
    <definedName name="_______REM1">#REF!</definedName>
    <definedName name="_______REM2" localSheetId="8">#REF!</definedName>
    <definedName name="_______REM2" localSheetId="9">#REF!</definedName>
    <definedName name="_______REM2">#REF!</definedName>
    <definedName name="_______rim4" localSheetId="8">#REF!</definedName>
    <definedName name="_______rim4" localSheetId="9">#REF!</definedName>
    <definedName name="_______rim4">#REF!</definedName>
    <definedName name="_______TB2">'[2]SPT vs PHI'!$B$2:$C$65</definedName>
    <definedName name="_______Val101" localSheetId="8">#REF!</definedName>
    <definedName name="_______Val101" localSheetId="9">#REF!</definedName>
    <definedName name="_______Val101">#REF!</definedName>
    <definedName name="_______Val102" localSheetId="8">#REF!</definedName>
    <definedName name="_______Val102" localSheetId="9">#REF!</definedName>
    <definedName name="_______Val102">#REF!</definedName>
    <definedName name="_______Val201" localSheetId="8">#REF!</definedName>
    <definedName name="_______Val201" localSheetId="9">#REF!</definedName>
    <definedName name="_______Val201">#REF!</definedName>
    <definedName name="_______Val202" localSheetId="8">#REF!</definedName>
    <definedName name="_______Val202" localSheetId="9">#REF!</definedName>
    <definedName name="_______Val202">#REF!</definedName>
    <definedName name="_______Val301" localSheetId="8">#REF!</definedName>
    <definedName name="_______Val301" localSheetId="9">#REF!</definedName>
    <definedName name="_______Val301">#REF!</definedName>
    <definedName name="_______Val302" localSheetId="8">#REF!</definedName>
    <definedName name="_______Val302" localSheetId="9">#REF!</definedName>
    <definedName name="_______Val302">#REF!</definedName>
    <definedName name="______A65539" localSheetId="8">#REF!</definedName>
    <definedName name="______A65539" localSheetId="9">#REF!</definedName>
    <definedName name="______A65539">#REF!</definedName>
    <definedName name="______A65800" localSheetId="8">#REF!</definedName>
    <definedName name="______A65800" localSheetId="9">#REF!</definedName>
    <definedName name="______A65800">#REF!</definedName>
    <definedName name="______A66000" localSheetId="8">#REF!</definedName>
    <definedName name="______A66000" localSheetId="9">#REF!</definedName>
    <definedName name="______A66000">#REF!</definedName>
    <definedName name="______A99999" localSheetId="8">#REF!</definedName>
    <definedName name="______A99999" localSheetId="9">#REF!</definedName>
    <definedName name="______A99999">#REF!</definedName>
    <definedName name="______b1" localSheetId="8">City&amp;" "&amp;State</definedName>
    <definedName name="______b1" localSheetId="9">[0]!City&amp;" "&amp;State</definedName>
    <definedName name="______b1">City&amp;" "&amp;State</definedName>
    <definedName name="______BLK2">[1]BLK2!$A:$IV</definedName>
    <definedName name="______BLK3">[1]BLK3!$A:$IV</definedName>
    <definedName name="______bol1" localSheetId="8">#REF!</definedName>
    <definedName name="______bol1" localSheetId="9">#REF!</definedName>
    <definedName name="______bol1">#REF!</definedName>
    <definedName name="______can430">40.73</definedName>
    <definedName name="______can435">43.3</definedName>
    <definedName name="______cat123">#N/A</definedName>
    <definedName name="______jj300" localSheetId="8">#REF!</definedName>
    <definedName name="______jj300" localSheetId="9">#REF!</definedName>
    <definedName name="______jj300">#REF!</definedName>
    <definedName name="______KC139" localSheetId="8">#REF!</definedName>
    <definedName name="______KC139" localSheetId="9">#REF!</definedName>
    <definedName name="______KC139">#REF!</definedName>
    <definedName name="______loc1" localSheetId="8">City&amp;" "&amp;State</definedName>
    <definedName name="______loc1" localSheetId="9">[0]!City&amp;" "&amp;State</definedName>
    <definedName name="______loc1">City&amp;" "&amp;State</definedName>
    <definedName name="______MN1" localSheetId="8">#REF!</definedName>
    <definedName name="______MN1" localSheetId="9">#REF!</definedName>
    <definedName name="______MN1">#REF!</definedName>
    <definedName name="______sdb2" localSheetId="8">#REF!</definedName>
    <definedName name="______sdb2" localSheetId="9">#REF!</definedName>
    <definedName name="______sdb2">#REF!</definedName>
    <definedName name="______TB2">'[2]SPT vs PHI'!$B$2:$C$65</definedName>
    <definedName name="_____a65537" localSheetId="8">#REF!</definedName>
    <definedName name="_____a65537" localSheetId="9">#REF!</definedName>
    <definedName name="_____a65537">#REF!</definedName>
    <definedName name="_____A65539" localSheetId="8">#REF!</definedName>
    <definedName name="_____A65539" localSheetId="9">#REF!</definedName>
    <definedName name="_____A65539">#REF!</definedName>
    <definedName name="_____A65555" localSheetId="8">#REF!</definedName>
    <definedName name="_____A65555" localSheetId="9">#REF!</definedName>
    <definedName name="_____A65555">#REF!</definedName>
    <definedName name="_____A65658" localSheetId="8">#REF!</definedName>
    <definedName name="_____A65658" localSheetId="9">#REF!</definedName>
    <definedName name="_____A65658">#REF!</definedName>
    <definedName name="_____A65800" localSheetId="8">#REF!</definedName>
    <definedName name="_____A65800" localSheetId="9">#REF!</definedName>
    <definedName name="_____A65800">#REF!</definedName>
    <definedName name="_____A66000" localSheetId="8">#REF!</definedName>
    <definedName name="_____A66000" localSheetId="9">#REF!</definedName>
    <definedName name="_____A66000">#REF!</definedName>
    <definedName name="_____A99999" localSheetId="8">#REF!</definedName>
    <definedName name="_____A99999" localSheetId="9">#REF!</definedName>
    <definedName name="_____A99999">#REF!</definedName>
    <definedName name="_____b1" localSheetId="8">City&amp;" "&amp;State</definedName>
    <definedName name="_____b1" localSheetId="9">[0]!City&amp;" "&amp;State</definedName>
    <definedName name="_____b1">City&amp;" "&amp;State</definedName>
    <definedName name="_____b2" localSheetId="8">City&amp;" "&amp;State</definedName>
    <definedName name="_____b2" localSheetId="9">[0]!City&amp;" "&amp;State</definedName>
    <definedName name="_____b2">City&amp;" "&amp;State</definedName>
    <definedName name="_____BLK2">[1]BLK2!$A:$IV</definedName>
    <definedName name="_____BLK3">[1]BLK3!$A:$IV</definedName>
    <definedName name="_____bol1" localSheetId="8">#REF!</definedName>
    <definedName name="_____bol1" localSheetId="9">#REF!</definedName>
    <definedName name="_____bol1">#REF!</definedName>
    <definedName name="_____can430">40.73</definedName>
    <definedName name="_____can435">43.3</definedName>
    <definedName name="_____cat12" localSheetId="8" hidden="1">{#N/A,#N/A,TRUE,"Front";#N/A,#N/A,TRUE,"Simple Letter";#N/A,#N/A,TRUE,"Inside";#N/A,#N/A,TRUE,"Contents";#N/A,#N/A,TRUE,"Basis";#N/A,#N/A,TRUE,"Inclusions";#N/A,#N/A,TRUE,"Exclusions";#N/A,#N/A,TRUE,"Areas";#N/A,#N/A,TRUE,"Summary";#N/A,#N/A,TRUE,"Detail"}</definedName>
    <definedName name="_____cat12" localSheetId="9"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cat123">#N/A</definedName>
    <definedName name="_____dim4" localSheetId="8">#REF!</definedName>
    <definedName name="_____dim4" localSheetId="9">#REF!</definedName>
    <definedName name="_____dim4">#REF!</definedName>
    <definedName name="_____jj300" localSheetId="8">#REF!</definedName>
    <definedName name="_____jj300" localSheetId="9">#REF!</definedName>
    <definedName name="_____jj300">#REF!</definedName>
    <definedName name="_____KC139" localSheetId="8">#REF!</definedName>
    <definedName name="_____KC139" localSheetId="9">#REF!</definedName>
    <definedName name="_____KC139">#REF!</definedName>
    <definedName name="_____loc1" localSheetId="8">City&amp;" "&amp;State</definedName>
    <definedName name="_____loc1" localSheetId="9">[0]!City&amp;" "&amp;State</definedName>
    <definedName name="_____loc1">City&amp;" "&amp;State</definedName>
    <definedName name="_____MN1" localSheetId="8">#REF!</definedName>
    <definedName name="_____MN1" localSheetId="9">#REF!</definedName>
    <definedName name="_____MN1">#REF!</definedName>
    <definedName name="_____REM1" localSheetId="8">#REF!</definedName>
    <definedName name="_____REM1" localSheetId="9">#REF!</definedName>
    <definedName name="_____REM1">#REF!</definedName>
    <definedName name="_____REM2" localSheetId="8">#REF!</definedName>
    <definedName name="_____REM2" localSheetId="9">#REF!</definedName>
    <definedName name="_____REM2">#REF!</definedName>
    <definedName name="_____rim4" localSheetId="8">#REF!</definedName>
    <definedName name="_____rim4" localSheetId="9">#REF!</definedName>
    <definedName name="_____rim4">#REF!</definedName>
    <definedName name="_____sdb2" localSheetId="8">#REF!</definedName>
    <definedName name="_____sdb2" localSheetId="9">#REF!</definedName>
    <definedName name="_____sdb2">#REF!</definedName>
    <definedName name="_____TB2">'[2]SPT vs PHI'!$B$2:$C$65</definedName>
    <definedName name="_____Val101" localSheetId="8">#REF!</definedName>
    <definedName name="_____Val101" localSheetId="9">#REF!</definedName>
    <definedName name="_____Val101">#REF!</definedName>
    <definedName name="_____Val102" localSheetId="8">#REF!</definedName>
    <definedName name="_____Val102" localSheetId="9">#REF!</definedName>
    <definedName name="_____Val102">#REF!</definedName>
    <definedName name="_____Val201" localSheetId="8">#REF!</definedName>
    <definedName name="_____Val201" localSheetId="9">#REF!</definedName>
    <definedName name="_____Val201">#REF!</definedName>
    <definedName name="_____Val202" localSheetId="8">#REF!</definedName>
    <definedName name="_____Val202" localSheetId="9">#REF!</definedName>
    <definedName name="_____Val202">#REF!</definedName>
    <definedName name="_____Val301" localSheetId="8">#REF!</definedName>
    <definedName name="_____Val301" localSheetId="9">#REF!</definedName>
    <definedName name="_____Val301">#REF!</definedName>
    <definedName name="_____Val302" localSheetId="8">#REF!</definedName>
    <definedName name="_____Val302" localSheetId="9">#REF!</definedName>
    <definedName name="_____Val302">#REF!</definedName>
    <definedName name="____a65537" localSheetId="8">#REF!</definedName>
    <definedName name="____a65537" localSheetId="9">#REF!</definedName>
    <definedName name="____a65537">#REF!</definedName>
    <definedName name="____A65539" localSheetId="8">#REF!</definedName>
    <definedName name="____A65539" localSheetId="9">#REF!</definedName>
    <definedName name="____A65539">#REF!</definedName>
    <definedName name="____A65555" localSheetId="8">#REF!</definedName>
    <definedName name="____A65555" localSheetId="9">#REF!</definedName>
    <definedName name="____A65555">#REF!</definedName>
    <definedName name="____A65658" localSheetId="8">#REF!</definedName>
    <definedName name="____A65658" localSheetId="9">#REF!</definedName>
    <definedName name="____A65658">#REF!</definedName>
    <definedName name="____A65800" localSheetId="8">#REF!</definedName>
    <definedName name="____A65800" localSheetId="9">#REF!</definedName>
    <definedName name="____A65800">#REF!</definedName>
    <definedName name="____A66000" localSheetId="8">#REF!</definedName>
    <definedName name="____A66000" localSheetId="9">#REF!</definedName>
    <definedName name="____A66000">#REF!</definedName>
    <definedName name="____A99999" localSheetId="8">#REF!</definedName>
    <definedName name="____A99999" localSheetId="9">#REF!</definedName>
    <definedName name="____A99999">#REF!</definedName>
    <definedName name="____b1" localSheetId="8">City&amp;" "&amp;State</definedName>
    <definedName name="____b1" localSheetId="9">[0]!City&amp;" "&amp;State</definedName>
    <definedName name="____b1">City&amp;" "&amp;State</definedName>
    <definedName name="____b2" localSheetId="8">City&amp;" "&amp;State</definedName>
    <definedName name="____b2" localSheetId="9">[0]!City&amp;" "&amp;State</definedName>
    <definedName name="____b2">City&amp;" "&amp;State</definedName>
    <definedName name="____BLK2">[1]BLK2!$A:$IV</definedName>
    <definedName name="____BLK3">[1]BLK3!$A:$IV</definedName>
    <definedName name="____bol1" localSheetId="8">#REF!</definedName>
    <definedName name="____bol1" localSheetId="9">#REF!</definedName>
    <definedName name="____bol1">#REF!</definedName>
    <definedName name="____can430">40.73</definedName>
    <definedName name="____can435">43.3</definedName>
    <definedName name="____cat12" localSheetId="8" hidden="1">{#N/A,#N/A,TRUE,"Front";#N/A,#N/A,TRUE,"Simple Letter";#N/A,#N/A,TRUE,"Inside";#N/A,#N/A,TRUE,"Contents";#N/A,#N/A,TRUE,"Basis";#N/A,#N/A,TRUE,"Inclusions";#N/A,#N/A,TRUE,"Exclusions";#N/A,#N/A,TRUE,"Areas";#N/A,#N/A,TRUE,"Summary";#N/A,#N/A,TRUE,"Detail"}</definedName>
    <definedName name="____cat12" localSheetId="9"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cat123">#N/A</definedName>
    <definedName name="____dim4" localSheetId="8">#REF!</definedName>
    <definedName name="____dim4" localSheetId="9">#REF!</definedName>
    <definedName name="____dim4">#REF!</definedName>
    <definedName name="____jj300" localSheetId="8">#REF!</definedName>
    <definedName name="____jj300" localSheetId="9">#REF!</definedName>
    <definedName name="____jj300">#REF!</definedName>
    <definedName name="____KC139" localSheetId="8">#REF!</definedName>
    <definedName name="____KC139" localSheetId="9">#REF!</definedName>
    <definedName name="____KC139">#REF!</definedName>
    <definedName name="____Ki1" localSheetId="8">#REF!</definedName>
    <definedName name="____Ki1" localSheetId="9">#REF!</definedName>
    <definedName name="____Ki1">#REF!</definedName>
    <definedName name="____Ki2" localSheetId="8">#REF!</definedName>
    <definedName name="____Ki2" localSheetId="9">#REF!</definedName>
    <definedName name="____Ki2">#REF!</definedName>
    <definedName name="____loc1" localSheetId="8">City&amp;" "&amp;State</definedName>
    <definedName name="____loc1" localSheetId="9">[0]!City&amp;" "&amp;State</definedName>
    <definedName name="____loc1">City&amp;" "&amp;State</definedName>
    <definedName name="____MAN1" localSheetId="8">#REF!</definedName>
    <definedName name="____MAN1" localSheetId="9">#REF!</definedName>
    <definedName name="____MAN1">#REF!</definedName>
    <definedName name="____MN1" localSheetId="8">#REF!</definedName>
    <definedName name="____MN1" localSheetId="9">#REF!</definedName>
    <definedName name="____MN1">#REF!</definedName>
    <definedName name="____PB1" localSheetId="8">#REF!</definedName>
    <definedName name="____PB1" localSheetId="9">#REF!</definedName>
    <definedName name="____PB1">#REF!</definedName>
    <definedName name="____REM1" localSheetId="8">#REF!</definedName>
    <definedName name="____REM1" localSheetId="9">#REF!</definedName>
    <definedName name="____REM1">#REF!</definedName>
    <definedName name="____REM2" localSheetId="8">#REF!</definedName>
    <definedName name="____REM2" localSheetId="9">#REF!</definedName>
    <definedName name="____REM2">#REF!</definedName>
    <definedName name="____rim4" localSheetId="8">#REF!</definedName>
    <definedName name="____rim4" localSheetId="9">#REF!</definedName>
    <definedName name="____rim4">#REF!</definedName>
    <definedName name="____sdb2" localSheetId="8">#REF!</definedName>
    <definedName name="____sdb2" localSheetId="9">#REF!</definedName>
    <definedName name="____sdb2">#REF!</definedName>
    <definedName name="____TB2">'[2]SPT vs PHI'!$B$2:$C$65</definedName>
    <definedName name="____Val101" localSheetId="8">#REF!</definedName>
    <definedName name="____Val101" localSheetId="9">#REF!</definedName>
    <definedName name="____Val101">#REF!</definedName>
    <definedName name="____Val102" localSheetId="8">#REF!</definedName>
    <definedName name="____Val102" localSheetId="9">#REF!</definedName>
    <definedName name="____Val102">#REF!</definedName>
    <definedName name="____Val201" localSheetId="8">#REF!</definedName>
    <definedName name="____Val201" localSheetId="9">#REF!</definedName>
    <definedName name="____Val201">#REF!</definedName>
    <definedName name="____Val202" localSheetId="8">#REF!</definedName>
    <definedName name="____Val202" localSheetId="9">#REF!</definedName>
    <definedName name="____Val202">#REF!</definedName>
    <definedName name="____Val301" localSheetId="8">#REF!</definedName>
    <definedName name="____Val301" localSheetId="9">#REF!</definedName>
    <definedName name="____Val301">#REF!</definedName>
    <definedName name="____Val302" localSheetId="8">#REF!</definedName>
    <definedName name="____Val302" localSheetId="9">#REF!</definedName>
    <definedName name="____Val302">#REF!</definedName>
    <definedName name="___a65537" localSheetId="8">#REF!</definedName>
    <definedName name="___a65537" localSheetId="9">#REF!</definedName>
    <definedName name="___a65537">#REF!</definedName>
    <definedName name="___A65539" localSheetId="8">#REF!</definedName>
    <definedName name="___A65539" localSheetId="9">#REF!</definedName>
    <definedName name="___A65539">#REF!</definedName>
    <definedName name="___A65555" localSheetId="8">#REF!</definedName>
    <definedName name="___A65555" localSheetId="9">#REF!</definedName>
    <definedName name="___A65555">#REF!</definedName>
    <definedName name="___A65658" localSheetId="8">#REF!</definedName>
    <definedName name="___A65658" localSheetId="9">#REF!</definedName>
    <definedName name="___A65658">#REF!</definedName>
    <definedName name="___A65800" localSheetId="8">#REF!</definedName>
    <definedName name="___A65800" localSheetId="9">#REF!</definedName>
    <definedName name="___A65800">#REF!</definedName>
    <definedName name="___A66000" localSheetId="8">#REF!</definedName>
    <definedName name="___A66000" localSheetId="9">#REF!</definedName>
    <definedName name="___A66000">#REF!</definedName>
    <definedName name="___A99999" localSheetId="8">#REF!</definedName>
    <definedName name="___A99999" localSheetId="9">#REF!</definedName>
    <definedName name="___A99999">#REF!</definedName>
    <definedName name="___b1" localSheetId="8">City&amp;" "&amp;State</definedName>
    <definedName name="___b1" localSheetId="9">[0]!City&amp;" "&amp;State</definedName>
    <definedName name="___b1">City&amp;" "&amp;State</definedName>
    <definedName name="___b111121" localSheetId="8">#REF!</definedName>
    <definedName name="___b111121" localSheetId="9">#REF!</definedName>
    <definedName name="___b111121">#REF!</definedName>
    <definedName name="___b2" localSheetId="8">City&amp;" "&amp;State</definedName>
    <definedName name="___b2" localSheetId="9">[0]!City&amp;" "&amp;State</definedName>
    <definedName name="___b2">City&amp;" "&amp;State</definedName>
    <definedName name="___BLK2">[1]BLK2!$A:$IV</definedName>
    <definedName name="___BLK3">[1]BLK3!$A:$IV</definedName>
    <definedName name="___bol1" localSheetId="8">#REF!</definedName>
    <definedName name="___bol1" localSheetId="9">#REF!</definedName>
    <definedName name="___bol1">#REF!</definedName>
    <definedName name="___can430">40.73</definedName>
    <definedName name="___can435">43.3</definedName>
    <definedName name="___cat12" localSheetId="8" hidden="1">{#N/A,#N/A,TRUE,"Front";#N/A,#N/A,TRUE,"Simple Letter";#N/A,#N/A,TRUE,"Inside";#N/A,#N/A,TRUE,"Contents";#N/A,#N/A,TRUE,"Basis";#N/A,#N/A,TRUE,"Inclusions";#N/A,#N/A,TRUE,"Exclusions";#N/A,#N/A,TRUE,"Areas";#N/A,#N/A,TRUE,"Summary";#N/A,#N/A,TRUE,"Detail"}</definedName>
    <definedName name="___cat12" localSheetId="9"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at123">#N/A</definedName>
    <definedName name="___dim4" localSheetId="8">#REF!</definedName>
    <definedName name="___dim4" localSheetId="9">#REF!</definedName>
    <definedName name="___dim4">#REF!</definedName>
    <definedName name="___IDC2" localSheetId="8">City&amp;" "&amp;State</definedName>
    <definedName name="___IDC2" localSheetId="9">[0]!City&amp;" "&amp;State</definedName>
    <definedName name="___IDC2">City&amp;" "&amp;State</definedName>
    <definedName name="___jj300" localSheetId="8">#REF!</definedName>
    <definedName name="___jj300" localSheetId="9">#REF!</definedName>
    <definedName name="___jj300">#REF!</definedName>
    <definedName name="___KC139" localSheetId="8">#REF!</definedName>
    <definedName name="___KC139" localSheetId="9">#REF!</definedName>
    <definedName name="___KC139">#REF!</definedName>
    <definedName name="___loc1" localSheetId="8">City&amp;" "&amp;State</definedName>
    <definedName name="___loc1" localSheetId="9">[0]!City&amp;" "&amp;State</definedName>
    <definedName name="___loc1">City&amp;" "&amp;State</definedName>
    <definedName name="___MN1" localSheetId="8">#REF!</definedName>
    <definedName name="___MN1" localSheetId="9">#REF!</definedName>
    <definedName name="___MN1">#REF!</definedName>
    <definedName name="___REM1" localSheetId="8">#REF!</definedName>
    <definedName name="___REM1" localSheetId="9">#REF!</definedName>
    <definedName name="___REM1">#REF!</definedName>
    <definedName name="___REM2" localSheetId="8">#REF!</definedName>
    <definedName name="___REM2" localSheetId="9">#REF!</definedName>
    <definedName name="___REM2">#REF!</definedName>
    <definedName name="___rim4" localSheetId="8">#REF!</definedName>
    <definedName name="___rim4" localSheetId="9">#REF!</definedName>
    <definedName name="___rim4">#REF!</definedName>
    <definedName name="___sdb2" localSheetId="8">#REF!</definedName>
    <definedName name="___sdb2" localSheetId="9">#REF!</definedName>
    <definedName name="___sdb2">#REF!</definedName>
    <definedName name="___TB2">'[2]SPT vs PHI'!$B$2:$C$65</definedName>
    <definedName name="___Val101" localSheetId="8">#REF!</definedName>
    <definedName name="___Val101" localSheetId="9">#REF!</definedName>
    <definedName name="___Val101">#REF!</definedName>
    <definedName name="___Val102" localSheetId="8">#REF!</definedName>
    <definedName name="___Val102" localSheetId="9">#REF!</definedName>
    <definedName name="___Val102">#REF!</definedName>
    <definedName name="___Val201" localSheetId="8">#REF!</definedName>
    <definedName name="___Val201" localSheetId="9">#REF!</definedName>
    <definedName name="___Val201">#REF!</definedName>
    <definedName name="___Val202" localSheetId="8">#REF!</definedName>
    <definedName name="___Val202" localSheetId="9">#REF!</definedName>
    <definedName name="___Val202">#REF!</definedName>
    <definedName name="___Val301" localSheetId="8">#REF!</definedName>
    <definedName name="___Val301" localSheetId="9">#REF!</definedName>
    <definedName name="___Val301">#REF!</definedName>
    <definedName name="___Val302" localSheetId="8">#REF!</definedName>
    <definedName name="___Val302" localSheetId="9">#REF!</definedName>
    <definedName name="___Val302">#REF!</definedName>
    <definedName name="__123Graph_A" localSheetId="8" hidden="1">[3]CASHFLOWS!#REF!</definedName>
    <definedName name="__123Graph_A" localSheetId="9" hidden="1">[3]CASHFLOWS!#REF!</definedName>
    <definedName name="__123Graph_A" hidden="1">[3]CASHFLOWS!#REF!</definedName>
    <definedName name="__123Graph_ACURRENT" localSheetId="8" hidden="1">[4]FitOutConfCentre!#REF!</definedName>
    <definedName name="__123Graph_ACURRENT" localSheetId="9" hidden="1">[4]FitOutConfCentre!#REF!</definedName>
    <definedName name="__123Graph_ACURRENT" hidden="1">[4]FitOutConfCentre!#REF!</definedName>
    <definedName name="__123Graph_B" localSheetId="8" hidden="1">[3]CASHFLOWS!#REF!</definedName>
    <definedName name="__123Graph_B" localSheetId="9" hidden="1">[3]CASHFLOWS!#REF!</definedName>
    <definedName name="__123Graph_B" hidden="1">[3]CASHFLOWS!#REF!</definedName>
    <definedName name="__123Graph_X" hidden="1">[3]CASHFLOWS!$B$15:$B$29</definedName>
    <definedName name="__a65537" localSheetId="8">#REF!</definedName>
    <definedName name="__a65537" localSheetId="9">#REF!</definedName>
    <definedName name="__a65537">#REF!</definedName>
    <definedName name="__A65539" localSheetId="8">#REF!</definedName>
    <definedName name="__A65539" localSheetId="9">#REF!</definedName>
    <definedName name="__A65539">#REF!</definedName>
    <definedName name="__A65555" localSheetId="8">#REF!</definedName>
    <definedName name="__A65555" localSheetId="9">#REF!</definedName>
    <definedName name="__A65555">#REF!</definedName>
    <definedName name="__A65658" localSheetId="8">#REF!</definedName>
    <definedName name="__A65658" localSheetId="9">#REF!</definedName>
    <definedName name="__A65658">#REF!</definedName>
    <definedName name="__A65800" localSheetId="8">#REF!</definedName>
    <definedName name="__A65800" localSheetId="9">#REF!</definedName>
    <definedName name="__A65800">#REF!</definedName>
    <definedName name="__A66000" localSheetId="8">#REF!</definedName>
    <definedName name="__A66000" localSheetId="9">#REF!</definedName>
    <definedName name="__A66000">#REF!</definedName>
    <definedName name="__A99999" localSheetId="8">#REF!</definedName>
    <definedName name="__A99999" localSheetId="9">#REF!</definedName>
    <definedName name="__A99999">#REF!</definedName>
    <definedName name="__b1" localSheetId="8">City&amp;" "&amp;State</definedName>
    <definedName name="__b1" localSheetId="9">[0]!City&amp;" "&amp;State</definedName>
    <definedName name="__b1">City&amp;" "&amp;State</definedName>
    <definedName name="__b111121" localSheetId="8">#REF!</definedName>
    <definedName name="__b111121" localSheetId="9">#REF!</definedName>
    <definedName name="__b111121">#REF!</definedName>
    <definedName name="__b2" localSheetId="8">City&amp;" "&amp;State</definedName>
    <definedName name="__b2" localSheetId="9">[0]!City&amp;" "&amp;State</definedName>
    <definedName name="__b2">City&amp;" "&amp;State</definedName>
    <definedName name="__BLK2">[1]BLK2!$A:$IV</definedName>
    <definedName name="__BLK3">[1]BLK3!$A:$IV</definedName>
    <definedName name="__bol1" localSheetId="8">#REF!</definedName>
    <definedName name="__bol1" localSheetId="9">#REF!</definedName>
    <definedName name="__bol1">#REF!</definedName>
    <definedName name="__can430">40.73</definedName>
    <definedName name="__can435">43.3</definedName>
    <definedName name="__cat12" localSheetId="8" hidden="1">{#N/A,#N/A,TRUE,"Front";#N/A,#N/A,TRUE,"Simple Letter";#N/A,#N/A,TRUE,"Inside";#N/A,#N/A,TRUE,"Contents";#N/A,#N/A,TRUE,"Basis";#N/A,#N/A,TRUE,"Inclusions";#N/A,#N/A,TRUE,"Exclusions";#N/A,#N/A,TRUE,"Areas";#N/A,#N/A,TRUE,"Summary";#N/A,#N/A,TRUE,"Detail"}</definedName>
    <definedName name="__cat12" localSheetId="9"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at123">#N/A</definedName>
    <definedName name="__dim4" localSheetId="8">#REF!</definedName>
    <definedName name="__dim4" localSheetId="9">#REF!</definedName>
    <definedName name="__dim4">#REF!</definedName>
    <definedName name="__hp10" localSheetId="8" hidden="1">{#N/A,#N/A,TRUE,"Front";#N/A,#N/A,TRUE,"Simple Letter";#N/A,#N/A,TRUE,"Inside";#N/A,#N/A,TRUE,"Contents";#N/A,#N/A,TRUE,"Basis";#N/A,#N/A,TRUE,"Inclusions";#N/A,#N/A,TRUE,"Exclusions";#N/A,#N/A,TRUE,"Areas";#N/A,#N/A,TRUE,"Summary";#N/A,#N/A,TRUE,"Detail"}</definedName>
    <definedName name="__hp10" localSheetId="9"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jj300" localSheetId="8">#REF!</definedName>
    <definedName name="__jj300" localSheetId="9">#REF!</definedName>
    <definedName name="__jj300">#REF!</definedName>
    <definedName name="__KC139" localSheetId="8">#REF!</definedName>
    <definedName name="__KC139" localSheetId="9">#REF!</definedName>
    <definedName name="__KC139">#REF!</definedName>
    <definedName name="__Ki1" localSheetId="8">#REF!</definedName>
    <definedName name="__Ki1" localSheetId="9">#REF!</definedName>
    <definedName name="__Ki1">#REF!</definedName>
    <definedName name="__Ki2" localSheetId="8">#REF!</definedName>
    <definedName name="__Ki2" localSheetId="9">#REF!</definedName>
    <definedName name="__Ki2">#REF!</definedName>
    <definedName name="__loc1" localSheetId="8">City&amp;" "&amp;State</definedName>
    <definedName name="__loc1" localSheetId="9">[0]!City&amp;" "&amp;State</definedName>
    <definedName name="__loc1">City&amp;" "&amp;State</definedName>
    <definedName name="__MAN1" localSheetId="8">#REF!</definedName>
    <definedName name="__MAN1" localSheetId="9">#REF!</definedName>
    <definedName name="__MAN1">#REF!</definedName>
    <definedName name="__MN1" localSheetId="8">#REF!</definedName>
    <definedName name="__MN1" localSheetId="9">#REF!</definedName>
    <definedName name="__MN1">#REF!</definedName>
    <definedName name="__PB1" localSheetId="8">#REF!</definedName>
    <definedName name="__PB1" localSheetId="9">#REF!</definedName>
    <definedName name="__PB1">#REF!</definedName>
    <definedName name="__REM1" localSheetId="8">#REF!</definedName>
    <definedName name="__REM1" localSheetId="9">#REF!</definedName>
    <definedName name="__REM1">#REF!</definedName>
    <definedName name="__REM2" localSheetId="8">#REF!</definedName>
    <definedName name="__REM2" localSheetId="9">#REF!</definedName>
    <definedName name="__REM2">#REF!</definedName>
    <definedName name="__rim4" localSheetId="8">#REF!</definedName>
    <definedName name="__rim4" localSheetId="9">#REF!</definedName>
    <definedName name="__rim4">#REF!</definedName>
    <definedName name="__sdb2" localSheetId="8">#REF!</definedName>
    <definedName name="__sdb2" localSheetId="9">#REF!</definedName>
    <definedName name="__sdb2">#REF!</definedName>
    <definedName name="__t2" localSheetId="8" hidden="1">{#N/A,#N/A,TRUE,"Front";#N/A,#N/A,TRUE,"Simple Letter";#N/A,#N/A,TRUE,"Inside";#N/A,#N/A,TRUE,"Contents";#N/A,#N/A,TRUE,"Basis";#N/A,#N/A,TRUE,"Inclusions";#N/A,#N/A,TRUE,"Exclusions";#N/A,#N/A,TRUE,"Areas";#N/A,#N/A,TRUE,"Summary";#N/A,#N/A,TRUE,"Detail"}</definedName>
    <definedName name="__t2" localSheetId="9" hidden="1">{#N/A,#N/A,TRUE,"Front";#N/A,#N/A,TRUE,"Simple Letter";#N/A,#N/A,TRUE,"Inside";#N/A,#N/A,TRUE,"Contents";#N/A,#N/A,TRUE,"Basis";#N/A,#N/A,TRUE,"Inclusions";#N/A,#N/A,TRUE,"Exclusions";#N/A,#N/A,TRUE,"Areas";#N/A,#N/A,TRUE,"Summary";#N/A,#N/A,TRUE,"Detail"}</definedName>
    <definedName name="__t2" hidden="1">{#N/A,#N/A,TRUE,"Front";#N/A,#N/A,TRUE,"Simple Letter";#N/A,#N/A,TRUE,"Inside";#N/A,#N/A,TRUE,"Contents";#N/A,#N/A,TRUE,"Basis";#N/A,#N/A,TRUE,"Inclusions";#N/A,#N/A,TRUE,"Exclusions";#N/A,#N/A,TRUE,"Areas";#N/A,#N/A,TRUE,"Summary";#N/A,#N/A,TRUE,"Detail"}</definedName>
    <definedName name="__TB2" localSheetId="8">#REF!</definedName>
    <definedName name="__TB2" localSheetId="9">#REF!</definedName>
    <definedName name="__TB2">#REF!</definedName>
    <definedName name="__Val101" localSheetId="8">#REF!</definedName>
    <definedName name="__Val101" localSheetId="9">#REF!</definedName>
    <definedName name="__Val101">#REF!</definedName>
    <definedName name="__Val102" localSheetId="8">#REF!</definedName>
    <definedName name="__Val102" localSheetId="9">#REF!</definedName>
    <definedName name="__Val102">#REF!</definedName>
    <definedName name="__Val201" localSheetId="8">#REF!</definedName>
    <definedName name="__Val201" localSheetId="9">#REF!</definedName>
    <definedName name="__Val201">#REF!</definedName>
    <definedName name="__Val202" localSheetId="8">#REF!</definedName>
    <definedName name="__Val202" localSheetId="9">#REF!</definedName>
    <definedName name="__Val202">#REF!</definedName>
    <definedName name="__Val301" localSheetId="8">#REF!</definedName>
    <definedName name="__Val301" localSheetId="9">#REF!</definedName>
    <definedName name="__Val301">#REF!</definedName>
    <definedName name="__Val302" localSheetId="8">#REF!</definedName>
    <definedName name="__Val302" localSheetId="9">#REF!</definedName>
    <definedName name="__Val302">#REF!</definedName>
    <definedName name="_0" localSheetId="8">#REF!</definedName>
    <definedName name="_0" localSheetId="9">#REF!</definedName>
    <definedName name="_0">#REF!</definedName>
    <definedName name="_0___0" localSheetId="8">#REF!</definedName>
    <definedName name="_0___0" localSheetId="9">#REF!</definedName>
    <definedName name="_0___0">#REF!</definedName>
    <definedName name="_0_1" localSheetId="8">#REF!</definedName>
    <definedName name="_0_1" localSheetId="9">#REF!</definedName>
    <definedName name="_0_1">#REF!</definedName>
    <definedName name="_11__123Graph_BCHART_4" localSheetId="8" hidden="1">[3]CASHFLOWS!#REF!</definedName>
    <definedName name="_11__123Graph_BCHART_4" localSheetId="9" hidden="1">[3]CASHFLOWS!#REF!</definedName>
    <definedName name="_11__123Graph_BCHART_4" hidden="1">[3]CASHFLOWS!#REF!</definedName>
    <definedName name="_15__123Graph_XCHART_3" hidden="1">[3]CASHFLOWS!$B$15:$B$29</definedName>
    <definedName name="_16__123Graph_XCHART_4" hidden="1">[3]CASHFLOWS!$B$15:$B$29</definedName>
    <definedName name="_1Excel_BuiltIn_Print_Titles_1_1" localSheetId="8">#REF!</definedName>
    <definedName name="_1Excel_BuiltIn_Print_Titles_1_1" localSheetId="9">#REF!</definedName>
    <definedName name="_1Excel_BuiltIn_Print_Titles_1_1">#REF!</definedName>
    <definedName name="_30cd___Horizontal_Strobe_light_speaker__wall_mounted" localSheetId="8">#REF!</definedName>
    <definedName name="_30cd___Horizontal_Strobe_light_speaker__wall_mounted" localSheetId="9">#REF!</definedName>
    <definedName name="_30cd___Horizontal_Strobe_light_speaker__wall_mounted">#REF!</definedName>
    <definedName name="_30cd__Vertical_strobe_light__wall_mounted" localSheetId="8">#REF!</definedName>
    <definedName name="_30cd__Vertical_strobe_light__wall_mounted" localSheetId="9">#REF!</definedName>
    <definedName name="_30cd__Vertical_strobe_light__wall_mounted">#REF!</definedName>
    <definedName name="_4__123Graph_ACHART_3" localSheetId="8" hidden="1">[3]CASHFLOWS!#REF!</definedName>
    <definedName name="_4__123Graph_ACHART_3" localSheetId="9" hidden="1">[3]CASHFLOWS!#REF!</definedName>
    <definedName name="_4__123Graph_ACHART_3" hidden="1">[3]CASHFLOWS!#REF!</definedName>
    <definedName name="_6__123Graph_ACHART_4" localSheetId="8" hidden="1">[3]CASHFLOWS!#REF!</definedName>
    <definedName name="_6__123Graph_ACHART_4" localSheetId="9" hidden="1">[3]CASHFLOWS!#REF!</definedName>
    <definedName name="_6__123Graph_ACHART_4" hidden="1">[3]CASHFLOWS!#REF!</definedName>
    <definedName name="_9__123Graph_BCHART_3" localSheetId="8" hidden="1">[3]CASHFLOWS!#REF!</definedName>
    <definedName name="_9__123Graph_BCHART_3" localSheetId="9" hidden="1">[3]CASHFLOWS!#REF!</definedName>
    <definedName name="_9__123Graph_BCHART_3" hidden="1">[3]CASHFLOWS!#REF!</definedName>
    <definedName name="_96.12.30" localSheetId="8">#REF!</definedName>
    <definedName name="_96.12.30" localSheetId="9">#REF!</definedName>
    <definedName name="_96.12.30">#REF!</definedName>
    <definedName name="_a" localSheetId="8">#REF!</definedName>
    <definedName name="_a" localSheetId="9">#REF!</definedName>
    <definedName name="_a">#REF!</definedName>
    <definedName name="_a_11" localSheetId="8">#REF!</definedName>
    <definedName name="_a_11" localSheetId="9">#REF!</definedName>
    <definedName name="_a_11">#REF!</definedName>
    <definedName name="_a_3" localSheetId="8">#REF!</definedName>
    <definedName name="_a_3" localSheetId="9">#REF!</definedName>
    <definedName name="_a_3">#REF!</definedName>
    <definedName name="_a_5" localSheetId="8">#REF!</definedName>
    <definedName name="_a_5" localSheetId="9">#REF!</definedName>
    <definedName name="_a_5">#REF!</definedName>
    <definedName name="_a_7" localSheetId="8">#REF!</definedName>
    <definedName name="_a_7" localSheetId="9">#REF!</definedName>
    <definedName name="_a_7">#REF!</definedName>
    <definedName name="_a_9" localSheetId="8">#REF!</definedName>
    <definedName name="_a_9" localSheetId="9">#REF!</definedName>
    <definedName name="_a_9">#REF!</definedName>
    <definedName name="_a65537" localSheetId="8">#REF!</definedName>
    <definedName name="_a65537" localSheetId="9">#REF!</definedName>
    <definedName name="_a65537">#REF!</definedName>
    <definedName name="_A65539" localSheetId="8">#REF!</definedName>
    <definedName name="_A65539" localSheetId="9">#REF!</definedName>
    <definedName name="_A65539">#REF!</definedName>
    <definedName name="_A65555" localSheetId="8">#REF!</definedName>
    <definedName name="_A65555" localSheetId="9">#REF!</definedName>
    <definedName name="_A65555">#REF!</definedName>
    <definedName name="_A65658" localSheetId="8">#REF!</definedName>
    <definedName name="_A65658" localSheetId="9">#REF!</definedName>
    <definedName name="_A65658">#REF!</definedName>
    <definedName name="_A65800" localSheetId="8">#REF!</definedName>
    <definedName name="_A65800" localSheetId="9">#REF!</definedName>
    <definedName name="_A65800">#REF!</definedName>
    <definedName name="_A66000" localSheetId="8">#REF!</definedName>
    <definedName name="_A66000" localSheetId="9">#REF!</definedName>
    <definedName name="_A66000">#REF!</definedName>
    <definedName name="_A99999" localSheetId="8">#REF!</definedName>
    <definedName name="_A99999" localSheetId="9">#REF!</definedName>
    <definedName name="_A99999">#REF!</definedName>
    <definedName name="_b1" localSheetId="8">City&amp;" "&amp;State</definedName>
    <definedName name="_b1" localSheetId="9">[0]!City&amp;" "&amp;State</definedName>
    <definedName name="_b1">City&amp;" "&amp;State</definedName>
    <definedName name="_b111121" localSheetId="8">#REF!</definedName>
    <definedName name="_b111121" localSheetId="9">#REF!</definedName>
    <definedName name="_b111121">#REF!</definedName>
    <definedName name="_b2" localSheetId="8">City&amp;" "&amp;State</definedName>
    <definedName name="_b2" localSheetId="9">[0]!City&amp;" "&amp;State</definedName>
    <definedName name="_b2">City&amp;" "&amp;State</definedName>
    <definedName name="_BLK2">[1]BLK2!$A:$IV</definedName>
    <definedName name="_BLK3">[1]BLK3!$A:$IV</definedName>
    <definedName name="_bol1" localSheetId="8">#REF!</definedName>
    <definedName name="_bol1" localSheetId="9">#REF!</definedName>
    <definedName name="_bol1">#REF!</definedName>
    <definedName name="_C" localSheetId="8">#REF!</definedName>
    <definedName name="_C" localSheetId="9">#REF!</definedName>
    <definedName name="_C">#REF!</definedName>
    <definedName name="_C___0" localSheetId="8">#REF!</definedName>
    <definedName name="_C___0" localSheetId="9">#REF!</definedName>
    <definedName name="_C___0">#REF!</definedName>
    <definedName name="_C___13" localSheetId="8">#REF!</definedName>
    <definedName name="_C___13" localSheetId="9">#REF!</definedName>
    <definedName name="_C___13">#REF!</definedName>
    <definedName name="_C_1" localSheetId="8">#REF!</definedName>
    <definedName name="_C_1" localSheetId="9">#REF!</definedName>
    <definedName name="_C_1">#REF!</definedName>
    <definedName name="_can430">40.73</definedName>
    <definedName name="_can435">43.3</definedName>
    <definedName name="_cat12" localSheetId="8" hidden="1">{#N/A,#N/A,TRUE,"Front";#N/A,#N/A,TRUE,"Simple Letter";#N/A,#N/A,TRUE,"Inside";#N/A,#N/A,TRUE,"Contents";#N/A,#N/A,TRUE,"Basis";#N/A,#N/A,TRUE,"Inclusions";#N/A,#N/A,TRUE,"Exclusions";#N/A,#N/A,TRUE,"Areas";#N/A,#N/A,TRUE,"Summary";#N/A,#N/A,TRUE,"Detail"}</definedName>
    <definedName name="_cat12" localSheetId="9"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at123">#N/A</definedName>
    <definedName name="_dim4" localSheetId="8">#REF!</definedName>
    <definedName name="_dim4" localSheetId="9">#REF!</definedName>
    <definedName name="_dim4">#REF!</definedName>
    <definedName name="_Fill" localSheetId="8" hidden="1">'[5]final abstract'!#REF!</definedName>
    <definedName name="_Fill" localSheetId="9" hidden="1">'[5]final abstract'!#REF!</definedName>
    <definedName name="_Fill" hidden="1">'[5]final abstract'!#REF!</definedName>
    <definedName name="_ig541" localSheetId="8">#REF!</definedName>
    <definedName name="_ig541" localSheetId="9">#REF!</definedName>
    <definedName name="_ig541">#REF!</definedName>
    <definedName name="_IV100000" localSheetId="8">#REF!</definedName>
    <definedName name="_IV100000" localSheetId="9">#REF!</definedName>
    <definedName name="_IV100000">#REF!</definedName>
    <definedName name="_jj300" localSheetId="8">#REF!</definedName>
    <definedName name="_jj300" localSheetId="9">#REF!</definedName>
    <definedName name="_jj300">#REF!</definedName>
    <definedName name="_KC139" localSheetId="8">#REF!</definedName>
    <definedName name="_KC139" localSheetId="9">#REF!</definedName>
    <definedName name="_KC139">#REF!</definedName>
    <definedName name="_Key1" localSheetId="8" hidden="1">#REF!</definedName>
    <definedName name="_Key1" localSheetId="9" hidden="1">#REF!</definedName>
    <definedName name="_Key1" hidden="1">#REF!</definedName>
    <definedName name="_Ki1" localSheetId="8">#REF!</definedName>
    <definedName name="_Ki1" localSheetId="9">#REF!</definedName>
    <definedName name="_Ki1">#REF!</definedName>
    <definedName name="_Ki2" localSheetId="8">#REF!</definedName>
    <definedName name="_Ki2" localSheetId="9">#REF!</definedName>
    <definedName name="_Ki2">#REF!</definedName>
    <definedName name="_loc1" localSheetId="8">City&amp;" "&amp;State</definedName>
    <definedName name="_loc1" localSheetId="9">[0]!City&amp;" "&amp;State</definedName>
    <definedName name="_loc1">City&amp;" "&amp;State</definedName>
    <definedName name="_MAN1" localSheetId="8">#REF!</definedName>
    <definedName name="_MAN1" localSheetId="9">#REF!</definedName>
    <definedName name="_MAN1">#REF!</definedName>
    <definedName name="_MN1" localSheetId="8">#REF!</definedName>
    <definedName name="_MN1" localSheetId="9">#REF!</definedName>
    <definedName name="_MN1">#REF!</definedName>
    <definedName name="_Order1" hidden="1">255</definedName>
    <definedName name="_PB1" localSheetId="8">#REF!</definedName>
    <definedName name="_PB1" localSheetId="9">#REF!</definedName>
    <definedName name="_PB1">#REF!</definedName>
    <definedName name="_REM1" localSheetId="8">#REF!</definedName>
    <definedName name="_REM1" localSheetId="9">#REF!</definedName>
    <definedName name="_REM1">#REF!</definedName>
    <definedName name="_REM2" localSheetId="8">#REF!</definedName>
    <definedName name="_REM2" localSheetId="9">#REF!</definedName>
    <definedName name="_REM2">#REF!</definedName>
    <definedName name="_rim4" localSheetId="8">#REF!</definedName>
    <definedName name="_rim4" localSheetId="9">#REF!</definedName>
    <definedName name="_rim4">#REF!</definedName>
    <definedName name="_sdb2" localSheetId="8">#REF!</definedName>
    <definedName name="_sdb2" localSheetId="9">#REF!</definedName>
    <definedName name="_sdb2">#REF!</definedName>
    <definedName name="_Sort" localSheetId="8" hidden="1">#REF!</definedName>
    <definedName name="_Sort" localSheetId="9" hidden="1">#REF!</definedName>
    <definedName name="_Sort" hidden="1">#REF!</definedName>
    <definedName name="_TB2">'[2]SPT vs PHI'!$B$2:$C$65</definedName>
    <definedName name="_Val101" localSheetId="8">#REF!</definedName>
    <definedName name="_Val101" localSheetId="9">#REF!</definedName>
    <definedName name="_Val101">#REF!</definedName>
    <definedName name="_Val102" localSheetId="8">#REF!</definedName>
    <definedName name="_Val102" localSheetId="9">#REF!</definedName>
    <definedName name="_Val102">#REF!</definedName>
    <definedName name="_Val201" localSheetId="8">#REF!</definedName>
    <definedName name="_Val201" localSheetId="9">#REF!</definedName>
    <definedName name="_Val201">#REF!</definedName>
    <definedName name="_Val202" localSheetId="8">#REF!</definedName>
    <definedName name="_Val202" localSheetId="9">#REF!</definedName>
    <definedName name="_Val202">#REF!</definedName>
    <definedName name="_Val301" localSheetId="8">#REF!</definedName>
    <definedName name="_Val301" localSheetId="9">#REF!</definedName>
    <definedName name="_Val301">#REF!</definedName>
    <definedName name="_Val302" localSheetId="8">#REF!</definedName>
    <definedName name="_Val302" localSheetId="9">#REF!</definedName>
    <definedName name="_Val302">#REF!</definedName>
    <definedName name="A">'[6]PRECAST lightconc-II'!$J$19</definedName>
    <definedName name="a___0" localSheetId="8">#REF!</definedName>
    <definedName name="a___0" localSheetId="9">#REF!</definedName>
    <definedName name="a___0">#REF!</definedName>
    <definedName name="a___13" localSheetId="8">#REF!</definedName>
    <definedName name="a___13" localSheetId="9">#REF!</definedName>
    <definedName name="a___13">#REF!</definedName>
    <definedName name="A0" localSheetId="8">#REF!</definedName>
    <definedName name="A0" localSheetId="9">#REF!</definedName>
    <definedName name="A0">#REF!</definedName>
    <definedName name="A1_" localSheetId="8">#REF!</definedName>
    <definedName name="A1_" localSheetId="9">#REF!</definedName>
    <definedName name="A1_">#REF!</definedName>
    <definedName name="A1____0" localSheetId="8">#REF!</definedName>
    <definedName name="A1____0" localSheetId="9">#REF!</definedName>
    <definedName name="A1____0">#REF!</definedName>
    <definedName name="A1____13" localSheetId="8">#REF!</definedName>
    <definedName name="A1____13" localSheetId="9">#REF!</definedName>
    <definedName name="A1____13">#REF!</definedName>
    <definedName name="A10_" localSheetId="8">#REF!</definedName>
    <definedName name="A10_" localSheetId="9">#REF!</definedName>
    <definedName name="A10_">#REF!</definedName>
    <definedName name="A10____0" localSheetId="8">#REF!</definedName>
    <definedName name="A10____0" localSheetId="9">#REF!</definedName>
    <definedName name="A10____0">#REF!</definedName>
    <definedName name="A10____13" localSheetId="8">#REF!</definedName>
    <definedName name="A10____13" localSheetId="9">#REF!</definedName>
    <definedName name="A10____13">#REF!</definedName>
    <definedName name="A13_" localSheetId="8">#REF!</definedName>
    <definedName name="A13_" localSheetId="9">#REF!</definedName>
    <definedName name="A13_">#REF!</definedName>
    <definedName name="A13____0" localSheetId="8">#REF!</definedName>
    <definedName name="A13____0" localSheetId="9">#REF!</definedName>
    <definedName name="A13____0">#REF!</definedName>
    <definedName name="A13____13" localSheetId="8">#REF!</definedName>
    <definedName name="A13____13" localSheetId="9">#REF!</definedName>
    <definedName name="A13____13">#REF!</definedName>
    <definedName name="A2_" localSheetId="8">#REF!</definedName>
    <definedName name="A2_" localSheetId="9">#REF!</definedName>
    <definedName name="A2_">#REF!</definedName>
    <definedName name="A2____0" localSheetId="8">#REF!</definedName>
    <definedName name="A2____0" localSheetId="9">#REF!</definedName>
    <definedName name="A2____0">#REF!</definedName>
    <definedName name="A2____13" localSheetId="8">#REF!</definedName>
    <definedName name="A2____13" localSheetId="9">#REF!</definedName>
    <definedName name="A2____13">#REF!</definedName>
    <definedName name="A3_" localSheetId="8">#REF!</definedName>
    <definedName name="A3_" localSheetId="9">#REF!</definedName>
    <definedName name="A3_">#REF!</definedName>
    <definedName name="A3____0" localSheetId="8">#REF!</definedName>
    <definedName name="A3____0" localSheetId="9">#REF!</definedName>
    <definedName name="A3____0">#REF!</definedName>
    <definedName name="A3____13" localSheetId="8">#REF!</definedName>
    <definedName name="A3____13" localSheetId="9">#REF!</definedName>
    <definedName name="A3____13">#REF!</definedName>
    <definedName name="A4_" localSheetId="8">#REF!</definedName>
    <definedName name="A4_" localSheetId="9">#REF!</definedName>
    <definedName name="A4_">#REF!</definedName>
    <definedName name="A4____0" localSheetId="8">#REF!</definedName>
    <definedName name="A4____0" localSheetId="9">#REF!</definedName>
    <definedName name="A4____0">#REF!</definedName>
    <definedName name="A4____13" localSheetId="8">#REF!</definedName>
    <definedName name="A4____13" localSheetId="9">#REF!</definedName>
    <definedName name="A4____13">#REF!</definedName>
    <definedName name="A5_" localSheetId="8">#REF!</definedName>
    <definedName name="A5_" localSheetId="9">#REF!</definedName>
    <definedName name="A5_">#REF!</definedName>
    <definedName name="A5____0" localSheetId="8">#REF!</definedName>
    <definedName name="A5____0" localSheetId="9">#REF!</definedName>
    <definedName name="A5____0">#REF!</definedName>
    <definedName name="A5____13" localSheetId="8">#REF!</definedName>
    <definedName name="A5____13" localSheetId="9">#REF!</definedName>
    <definedName name="A5____13">#REF!</definedName>
    <definedName name="A6_" localSheetId="8">#REF!</definedName>
    <definedName name="A6_" localSheetId="9">#REF!</definedName>
    <definedName name="A6_">#REF!</definedName>
    <definedName name="A6____0" localSheetId="8">#REF!</definedName>
    <definedName name="A6____0" localSheetId="9">#REF!</definedName>
    <definedName name="A6____0">#REF!</definedName>
    <definedName name="A6____13" localSheetId="8">#REF!</definedName>
    <definedName name="A6____13" localSheetId="9">#REF!</definedName>
    <definedName name="A6____13">#REF!</definedName>
    <definedName name="A7_" localSheetId="8">#REF!</definedName>
    <definedName name="A7_" localSheetId="9">#REF!</definedName>
    <definedName name="A7_">#REF!</definedName>
    <definedName name="A7____0" localSheetId="8">#REF!</definedName>
    <definedName name="A7____0" localSheetId="9">#REF!</definedName>
    <definedName name="A7____0">#REF!</definedName>
    <definedName name="A7____13" localSheetId="8">#REF!</definedName>
    <definedName name="A7____13" localSheetId="9">#REF!</definedName>
    <definedName name="A7____13">#REF!</definedName>
    <definedName name="A8_" localSheetId="8">#REF!</definedName>
    <definedName name="A8_" localSheetId="9">#REF!</definedName>
    <definedName name="A8_">#REF!</definedName>
    <definedName name="A8____0" localSheetId="8">#REF!</definedName>
    <definedName name="A8____0" localSheetId="9">#REF!</definedName>
    <definedName name="A8____0">#REF!</definedName>
    <definedName name="A8____13" localSheetId="8">#REF!</definedName>
    <definedName name="A8____13" localSheetId="9">#REF!</definedName>
    <definedName name="A8____13">#REF!</definedName>
    <definedName name="A9_" localSheetId="8">#REF!</definedName>
    <definedName name="A9_" localSheetId="9">#REF!</definedName>
    <definedName name="A9_">#REF!</definedName>
    <definedName name="A9____0" localSheetId="8">#REF!</definedName>
    <definedName name="A9____0" localSheetId="9">#REF!</definedName>
    <definedName name="A9____0">#REF!</definedName>
    <definedName name="A9____13" localSheetId="8">#REF!</definedName>
    <definedName name="A9____13" localSheetId="9">#REF!</definedName>
    <definedName name="A9____13">#REF!</definedName>
    <definedName name="AA" localSheetId="8">#REF!</definedName>
    <definedName name="AA" localSheetId="9">#REF!</definedName>
    <definedName name="AA">#REF!</definedName>
    <definedName name="AAA" localSheetId="8">#REF!</definedName>
    <definedName name="AAA" localSheetId="9">#REF!</definedName>
    <definedName name="AAA">#REF!</definedName>
    <definedName name="abc">'[7]Stress Calculation'!$I$30</definedName>
    <definedName name="abcd">[2]LABOUR!$C$120:$I$123</definedName>
    <definedName name="Ac" localSheetId="8">#REF!</definedName>
    <definedName name="Ac" localSheetId="9">#REF!</definedName>
    <definedName name="Ac">#REF!</definedName>
    <definedName name="AccessDatabase" hidden="1">"D:\MIS\TALLY  31.09.04 sep\AS PER TALLY 31.09.04.mdb"</definedName>
    <definedName name="AcctName" localSheetId="8">#REF!</definedName>
    <definedName name="AcctName" localSheetId="9">#REF!</definedName>
    <definedName name="AcctName">#REF!</definedName>
    <definedName name="AcctPrio" localSheetId="8">#REF!</definedName>
    <definedName name="AcctPrio" localSheetId="9">#REF!</definedName>
    <definedName name="AcctPrio">#REF!</definedName>
    <definedName name="AcctPrio_Text" localSheetId="8">#REF!</definedName>
    <definedName name="AcctPrio_Text" localSheetId="9">#REF!</definedName>
    <definedName name="AcctPrio_Text">#REF!</definedName>
    <definedName name="AD" localSheetId="8">'[8]2gii'!#REF!</definedName>
    <definedName name="AD" localSheetId="9">'[8]2gii'!#REF!</definedName>
    <definedName name="AD">'[8]2gii'!#REF!</definedName>
    <definedName name="admn_off" localSheetId="8">#REF!</definedName>
    <definedName name="admn_off" localSheetId="9">#REF!</definedName>
    <definedName name="admn_off">#REF!</definedName>
    <definedName name="admn_site" localSheetId="8">#REF!</definedName>
    <definedName name="admn_site" localSheetId="9">#REF!</definedName>
    <definedName name="admn_site">#REF!</definedName>
    <definedName name="Advance" localSheetId="8">#REF!</definedName>
    <definedName name="Advance" localSheetId="9">#REF!</definedName>
    <definedName name="Advance">#REF!</definedName>
    <definedName name="AE" localSheetId="8">'[8]2gii'!#REF!</definedName>
    <definedName name="AE" localSheetId="9">'[8]2gii'!#REF!</definedName>
    <definedName name="AE">'[8]2gii'!#REF!</definedName>
    <definedName name="AF" localSheetId="8">'[8]2gii'!#REF!</definedName>
    <definedName name="AF" localSheetId="9">'[8]2gii'!#REF!</definedName>
    <definedName name="AF">'[8]2gii'!#REF!</definedName>
    <definedName name="afsfdfs" localSheetId="8">[9]Design!#REF!</definedName>
    <definedName name="afsfdfs" localSheetId="9">[9]Design!#REF!</definedName>
    <definedName name="afsfdfs">[9]Design!#REF!</definedName>
    <definedName name="Ag" localSheetId="8">[9]Design!#REF!</definedName>
    <definedName name="Ag" localSheetId="9">[9]Design!#REF!</definedName>
    <definedName name="Ag">[9]Design!#REF!</definedName>
    <definedName name="Ag___0" localSheetId="8">#REF!</definedName>
    <definedName name="Ag___0" localSheetId="9">#REF!</definedName>
    <definedName name="Ag___0">#REF!</definedName>
    <definedName name="Ag___13" localSheetId="8">#REF!</definedName>
    <definedName name="Ag___13" localSheetId="9">#REF!</definedName>
    <definedName name="Ag___13">#REF!</definedName>
    <definedName name="AH" localSheetId="8">'[8]2gii'!#REF!</definedName>
    <definedName name="AH" localSheetId="9">'[8]2gii'!#REF!</definedName>
    <definedName name="AH">'[8]2gii'!#REF!</definedName>
    <definedName name="AI" localSheetId="8">'[8]2gii'!#REF!</definedName>
    <definedName name="AI" localSheetId="9">'[8]2gii'!#REF!</definedName>
    <definedName name="AI">'[8]2gii'!#REF!</definedName>
    <definedName name="air">[10]B1!$D$1183</definedName>
    <definedName name="AJ" localSheetId="8">'[8]2gii'!#REF!</definedName>
    <definedName name="AJ" localSheetId="9">'[8]2gii'!#REF!</definedName>
    <definedName name="AJ">'[8]2gii'!#REF!</definedName>
    <definedName name="AK" localSheetId="8">'[8]2gii'!#REF!</definedName>
    <definedName name="AK" localSheetId="9">'[8]2gii'!#REF!</definedName>
    <definedName name="AK">'[8]2gii'!#REF!</definedName>
    <definedName name="AL" localSheetId="8">'[8]2gii'!#REF!</definedName>
    <definedName name="AL" localSheetId="9">'[8]2gii'!#REF!</definedName>
    <definedName name="AL">'[8]2gii'!#REF!</definedName>
    <definedName name="Alarm_current_Amp_In_Minutes" localSheetId="8">#REF!</definedName>
    <definedName name="Alarm_current_Amp_In_Minutes" localSheetId="9">#REF!</definedName>
    <definedName name="Alarm_current_Amp_In_Minutes">#REF!</definedName>
    <definedName name="alpha" localSheetId="8">#REF!</definedName>
    <definedName name="alpha" localSheetId="9">#REF!</definedName>
    <definedName name="alpha">#REF!</definedName>
    <definedName name="Alw" localSheetId="8">#REF!</definedName>
    <definedName name="Alw" localSheetId="9">#REF!</definedName>
    <definedName name="Alw">#REF!</definedName>
    <definedName name="Amen">13/100</definedName>
    <definedName name="anan" localSheetId="8">#REF!</definedName>
    <definedName name="anan" localSheetId="9">#REF!</definedName>
    <definedName name="anan">#REF!</definedName>
    <definedName name="ann" localSheetId="8">#REF!</definedName>
    <definedName name="ann" localSheetId="9">#REF!</definedName>
    <definedName name="ann">#REF!</definedName>
    <definedName name="anne" localSheetId="8">#REF!</definedName>
    <definedName name="anne" localSheetId="9">#REF!</definedName>
    <definedName name="anne">#REF!</definedName>
    <definedName name="annealing" localSheetId="8">#REF!</definedName>
    <definedName name="annealing" localSheetId="9">#REF!</definedName>
    <definedName name="annealing">#REF!</definedName>
    <definedName name="annealing1" localSheetId="8">#REF!</definedName>
    <definedName name="annealing1" localSheetId="9">#REF!</definedName>
    <definedName name="annealing1">#REF!</definedName>
    <definedName name="anscount" hidden="1">1</definedName>
    <definedName name="APS" localSheetId="8">[11]!City&amp;" "&amp;State</definedName>
    <definedName name="APS" localSheetId="9">[11]!City&amp;" "&amp;State</definedName>
    <definedName name="APS">[11]!City&amp;" "&amp;State</definedName>
    <definedName name="ARCHITECTURAL" localSheetId="8">#REF!</definedName>
    <definedName name="ARCHITECTURAL" localSheetId="9">#REF!</definedName>
    <definedName name="ARCHITECTURAL">#REF!</definedName>
    <definedName name="AREAS_CA_CANOPY__WAREHOUSE" localSheetId="8">#REF!</definedName>
    <definedName name="AREAS_CA_CANOPY__WAREHOUSE" localSheetId="9">#REF!</definedName>
    <definedName name="AREAS_CA_CANOPY__WAREHOUSE">#REF!</definedName>
    <definedName name="AREAS_CB_Canteen_Building" localSheetId="8">#REF!</definedName>
    <definedName name="AREAS_CB_Canteen_Building" localSheetId="9">#REF!</definedName>
    <definedName name="AREAS_CB_Canteen_Building">#REF!</definedName>
    <definedName name="AREAS_CIPT_Tanker_CIP_Shed" localSheetId="8">#REF!</definedName>
    <definedName name="AREAS_CIPT_Tanker_CIP_Shed" localSheetId="9">#REF!</definedName>
    <definedName name="AREAS_CIPT_Tanker_CIP_Shed">#REF!</definedName>
    <definedName name="AREAS_CLRR_Contract_Labour_Rest_Room" localSheetId="8">#REF!</definedName>
    <definedName name="AREAS_CLRR_Contract_Labour_Rest_Room" localSheetId="9">#REF!</definedName>
    <definedName name="AREAS_CLRR_Contract_Labour_Rest_Room">#REF!</definedName>
    <definedName name="AREAS_CS_Chemical_Store" localSheetId="8">#REF!</definedName>
    <definedName name="AREAS_CS_Chemical_Store" localSheetId="9">#REF!</definedName>
    <definedName name="AREAS_CS_Chemical_Store">#REF!</definedName>
    <definedName name="AREAS_ETPC_ETP_Civil_Works" localSheetId="8">#REF!</definedName>
    <definedName name="AREAS_ETPC_ETP_Civil_Works" localSheetId="9">#REF!</definedName>
    <definedName name="AREAS_ETPC_ETP_Civil_Works">#REF!</definedName>
    <definedName name="AREAS_EX_EXTERNAL_WORKS" localSheetId="8">#REF!</definedName>
    <definedName name="AREAS_EX_EXTERNAL_WORKS" localSheetId="9">#REF!</definedName>
    <definedName name="AREAS_EX_EXTERNAL_WORKS">#REF!</definedName>
    <definedName name="AREAS_FC_Farmer_s_Conference" localSheetId="8">#REF!</definedName>
    <definedName name="AREAS_FC_Farmer_s_Conference" localSheetId="9">#REF!</definedName>
    <definedName name="AREAS_FC_Farmer_s_Conference">#REF!</definedName>
    <definedName name="AREAS_FU_Fumigation" localSheetId="8">#REF!</definedName>
    <definedName name="AREAS_FU_Fumigation" localSheetId="9">#REF!</definedName>
    <definedName name="AREAS_FU_Fumigation">#REF!</definedName>
    <definedName name="AREAS_GA_General_Area___Overall" localSheetId="8">#REF!</definedName>
    <definedName name="AREAS_GA_General_Area___Overall" localSheetId="9">#REF!</definedName>
    <definedName name="AREAS_GA_General_Area___Overall">#REF!</definedName>
    <definedName name="AREAS_GP_Guard_Posts" localSheetId="8">#REF!</definedName>
    <definedName name="AREAS_GP_Guard_Posts" localSheetId="9">#REF!</definedName>
    <definedName name="AREAS_GP_Guard_Posts">#REF!</definedName>
    <definedName name="AREAS_LS_LubeOil_Stores" localSheetId="8">#REF!</definedName>
    <definedName name="AREAS_LS_LubeOil_Stores" localSheetId="9">#REF!</definedName>
    <definedName name="AREAS_LS_LubeOil_Stores">#REF!</definedName>
    <definedName name="AREAS_MR_TB_Milk_Reception_Tanker_s_Bay" localSheetId="8">#REF!</definedName>
    <definedName name="AREAS_MR_TB_Milk_Reception_Tanker_s_Bay" localSheetId="9">#REF!</definedName>
    <definedName name="AREAS_MR_TB_Milk_Reception_Tanker_s_Bay">#REF!</definedName>
    <definedName name="AREAS_MTF_Milk_Tank_Foundations" localSheetId="8">#REF!</definedName>
    <definedName name="AREAS_MTF_Milk_Tank_Foundations" localSheetId="9">#REF!</definedName>
    <definedName name="AREAS_MTF_Milk_Tank_Foundations">#REF!</definedName>
    <definedName name="AREAS_PB_PROCESS_BUILDING" localSheetId="8">#REF!</definedName>
    <definedName name="AREAS_PB_PROCESS_BUILDING" localSheetId="9">#REF!</definedName>
    <definedName name="AREAS_PB_PROCESS_BUILDING">#REF!</definedName>
    <definedName name="AREAS_PR_Pipe_Racks" localSheetId="8">#REF!</definedName>
    <definedName name="AREAS_PR_Pipe_Racks" localSheetId="9">#REF!</definedName>
    <definedName name="AREAS_PR_Pipe_Racks">#REF!</definedName>
    <definedName name="AREAS_SR_2_Security_Room___2" localSheetId="8">#REF!</definedName>
    <definedName name="AREAS_SR_2_Security_Room___2" localSheetId="9">#REF!</definedName>
    <definedName name="AREAS_SR_2_Security_Room___2">#REF!</definedName>
    <definedName name="AREAS_SR_3_Store_Room" localSheetId="8">#REF!</definedName>
    <definedName name="AREAS_SR_3_Store_Room" localSheetId="9">#REF!</definedName>
    <definedName name="AREAS_SR_3_Store_Room">#REF!</definedName>
    <definedName name="AREAS_ST_Stacks_near_Utility_Buildings" localSheetId="8">#REF!</definedName>
    <definedName name="AREAS_ST_Stacks_near_Utility_Buildings" localSheetId="9">#REF!</definedName>
    <definedName name="AREAS_ST_Stacks_near_Utility_Buildings">#REF!</definedName>
    <definedName name="AREAS_SY_Scrap_Yard" localSheetId="8">#REF!</definedName>
    <definedName name="AREAS_SY_Scrap_Yard" localSheetId="9">#REF!</definedName>
    <definedName name="AREAS_SY_Scrap_Yard">#REF!</definedName>
    <definedName name="AREAS_TWW_Truck_Wheel_Wash" localSheetId="8">#REF!</definedName>
    <definedName name="AREAS_TWW_Truck_Wheel_Wash" localSheetId="9">#REF!</definedName>
    <definedName name="AREAS_TWW_Truck_Wheel_Wash">#REF!</definedName>
    <definedName name="AREAS_TY_Transformer_Yard" localSheetId="8">#REF!</definedName>
    <definedName name="AREAS_TY_Transformer_Yard" localSheetId="9">#REF!</definedName>
    <definedName name="AREAS_TY_Transformer_Yard">#REF!</definedName>
    <definedName name="AREAS_UB_UTILITY_BLOCK" localSheetId="8">#REF!</definedName>
    <definedName name="AREAS_UB_UTILITY_BLOCK" localSheetId="9">#REF!</definedName>
    <definedName name="AREAS_UB_UTILITY_BLOCK">#REF!</definedName>
    <definedName name="AREAS_WH_Ware_House_Area" localSheetId="8">#REF!</definedName>
    <definedName name="AREAS_WH_Ware_House_Area" localSheetId="9">#REF!</definedName>
    <definedName name="AREAS_WH_Ware_House_Area">#REF!</definedName>
    <definedName name="as" localSheetId="8">#REF!</definedName>
    <definedName name="as" localSheetId="9">#REF!</definedName>
    <definedName name="as">#REF!</definedName>
    <definedName name="AS_PER_TALLY_31_09_04_ONYX_List1" localSheetId="8">#REF!</definedName>
    <definedName name="AS_PER_TALLY_31_09_04_ONYX_List1" localSheetId="9">#REF!</definedName>
    <definedName name="AS_PER_TALLY_31_09_04_ONYX_List1">#REF!</definedName>
    <definedName name="asd" localSheetId="8">[9]Design!#REF!</definedName>
    <definedName name="asd" localSheetId="9">[9]Design!#REF!</definedName>
    <definedName name="asd">[9]Design!#REF!</definedName>
    <definedName name="asdf" localSheetId="8">City&amp;" "&amp;State</definedName>
    <definedName name="asdf" localSheetId="9">[0]!City&amp;" "&amp;State</definedName>
    <definedName name="asdf">City&amp;" "&amp;State</definedName>
    <definedName name="asdf1" localSheetId="8">City&amp;" "&amp;State</definedName>
    <definedName name="asdf1" localSheetId="9">[0]!City&amp;" "&amp;State</definedName>
    <definedName name="asdf1">City&amp;" "&amp;State</definedName>
    <definedName name="asdf2" localSheetId="8">City&amp;" "&amp;State</definedName>
    <definedName name="asdf2" localSheetId="9">[0]!City&amp;" "&amp;State</definedName>
    <definedName name="asdf2">City&amp;" "&amp;State</definedName>
    <definedName name="asfs" localSheetId="8">[9]Design!#REF!</definedName>
    <definedName name="asfs" localSheetId="9">[9]Design!#REF!</definedName>
    <definedName name="asfs">[9]Design!#REF!</definedName>
    <definedName name="ASHOKA" localSheetId="8">#REF!</definedName>
    <definedName name="ASHOKA" localSheetId="9">#REF!</definedName>
    <definedName name="ASHOKA">#REF!</definedName>
    <definedName name="ass">[12]Detail!$D$2948</definedName>
    <definedName name="assdd" localSheetId="8">#REF!</definedName>
    <definedName name="assdd" localSheetId="9">#REF!</definedName>
    <definedName name="assdd">#REF!</definedName>
    <definedName name="Axs" localSheetId="8">'[13]p&amp;m'!#REF!</definedName>
    <definedName name="Axs" localSheetId="9">'[13]p&amp;m'!#REF!</definedName>
    <definedName name="Axs">'[13]p&amp;m'!#REF!</definedName>
    <definedName name="B">'[6]PRECAST lightconc-II'!$K$19</definedName>
    <definedName name="B___0" localSheetId="8">#REF!</definedName>
    <definedName name="B___0" localSheetId="9">#REF!</definedName>
    <definedName name="B___0">#REF!</definedName>
    <definedName name="B___13" localSheetId="8">#REF!</definedName>
    <definedName name="B___13" localSheetId="9">#REF!</definedName>
    <definedName name="B___13">#REF!</definedName>
    <definedName name="B_10_10" localSheetId="8">'[14]Bill 3 - Site Works'!#REF!</definedName>
    <definedName name="B_10_10" localSheetId="9">'[14]Bill 3 - Site Works'!#REF!</definedName>
    <definedName name="B_10_10">'[14]Bill 3 - Site Works'!#REF!</definedName>
    <definedName name="B_10_11A" localSheetId="8">'[14]Bill 3 - Site Works'!#REF!</definedName>
    <definedName name="B_10_11A" localSheetId="9">'[14]Bill 3 - Site Works'!#REF!</definedName>
    <definedName name="B_10_11A">'[14]Bill 3 - Site Works'!#REF!</definedName>
    <definedName name="B_10_12" localSheetId="8">'[14]Bill 3 - Site Works'!#REF!</definedName>
    <definedName name="B_10_12" localSheetId="9">'[14]Bill 3 - Site Works'!#REF!</definedName>
    <definedName name="B_10_12">'[14]Bill 3 - Site Works'!#REF!</definedName>
    <definedName name="B_10_13" localSheetId="8">'[14]Bill 3 - Site Works'!#REF!</definedName>
    <definedName name="B_10_13" localSheetId="9">'[14]Bill 3 - Site Works'!#REF!</definedName>
    <definedName name="B_10_13">'[14]Bill 3 - Site Works'!#REF!</definedName>
    <definedName name="B_10_14" localSheetId="8">'[14]Bill 3 - Site Works'!#REF!</definedName>
    <definedName name="B_10_14" localSheetId="9">'[14]Bill 3 - Site Works'!#REF!</definedName>
    <definedName name="B_10_14">'[14]Bill 3 - Site Works'!#REF!</definedName>
    <definedName name="B_10_2" localSheetId="8">'[14]Bill 3 - Site Works'!#REF!</definedName>
    <definedName name="B_10_2" localSheetId="9">'[14]Bill 3 - Site Works'!#REF!</definedName>
    <definedName name="B_10_2">'[14]Bill 3 - Site Works'!#REF!</definedName>
    <definedName name="B_10_3" localSheetId="8">'[14]Bill 3 - Site Works'!#REF!</definedName>
    <definedName name="B_10_3" localSheetId="9">'[14]Bill 3 - Site Works'!#REF!</definedName>
    <definedName name="B_10_3">'[14]Bill 3 - Site Works'!#REF!</definedName>
    <definedName name="B_10_4" localSheetId="8">'[14]Bill 3 - Site Works'!#REF!</definedName>
    <definedName name="B_10_4" localSheetId="9">'[14]Bill 3 - Site Works'!#REF!</definedName>
    <definedName name="B_10_4">'[14]Bill 3 - Site Works'!#REF!</definedName>
    <definedName name="B_10_5" localSheetId="8">'[14]Bill 3 - Site Works'!#REF!</definedName>
    <definedName name="B_10_5" localSheetId="9">'[14]Bill 3 - Site Works'!#REF!</definedName>
    <definedName name="B_10_5">'[14]Bill 3 - Site Works'!#REF!</definedName>
    <definedName name="B_10_6" localSheetId="8">'[14]Bill 3 - Site Works'!#REF!</definedName>
    <definedName name="B_10_6" localSheetId="9">'[14]Bill 3 - Site Works'!#REF!</definedName>
    <definedName name="B_10_6">'[14]Bill 3 - Site Works'!#REF!</definedName>
    <definedName name="B_10_7A" localSheetId="8">'[14]Bill 3 - Site Works'!#REF!</definedName>
    <definedName name="B_10_7A" localSheetId="9">'[14]Bill 3 - Site Works'!#REF!</definedName>
    <definedName name="B_10_7A">'[14]Bill 3 - Site Works'!#REF!</definedName>
    <definedName name="B_10_8A" localSheetId="8">'[14]Bill 3 - Site Works'!#REF!</definedName>
    <definedName name="B_10_8A" localSheetId="9">'[14]Bill 3 - Site Works'!#REF!</definedName>
    <definedName name="B_10_8A">'[14]Bill 3 - Site Works'!#REF!</definedName>
    <definedName name="B_10_9" localSheetId="8">'[14]Bill 3 - Site Works'!#REF!</definedName>
    <definedName name="B_10_9" localSheetId="9">'[14]Bill 3 - Site Works'!#REF!</definedName>
    <definedName name="B_10_9">'[14]Bill 3 - Site Works'!#REF!</definedName>
    <definedName name="B107A" localSheetId="8">'[14]Bill 3 - Site Works'!#REF!</definedName>
    <definedName name="B107A" localSheetId="9">'[14]Bill 3 - Site Works'!#REF!</definedName>
    <definedName name="B107A">'[14]Bill 3 - Site Works'!#REF!</definedName>
    <definedName name="B1Length" localSheetId="8">#REF!</definedName>
    <definedName name="B1Length" localSheetId="9">#REF!</definedName>
    <definedName name="B1Length">#REF!</definedName>
    <definedName name="B2Length" localSheetId="8">#REF!</definedName>
    <definedName name="B2Length" localSheetId="9">#REF!</definedName>
    <definedName name="B2Length">#REF!</definedName>
    <definedName name="B3Length" localSheetId="8">#REF!</definedName>
    <definedName name="B3Length" localSheetId="9">#REF!</definedName>
    <definedName name="B3Length">#REF!</definedName>
    <definedName name="B5Length" localSheetId="8">#REF!</definedName>
    <definedName name="B5Length" localSheetId="9">#REF!</definedName>
    <definedName name="B5Length">#REF!</definedName>
    <definedName name="B8Length" localSheetId="8">#REF!</definedName>
    <definedName name="B8Length" localSheetId="9">#REF!</definedName>
    <definedName name="B8Length">#REF!</definedName>
    <definedName name="Banquet" localSheetId="8">#REF!</definedName>
    <definedName name="Banquet" localSheetId="9">#REF!</definedName>
    <definedName name="Banquet">#REF!</definedName>
    <definedName name="BB" localSheetId="8">#REF!</definedName>
    <definedName name="BB" localSheetId="9">#REF!</definedName>
    <definedName name="BB">#REF!</definedName>
    <definedName name="bbb" localSheetId="8">#REF!</definedName>
    <definedName name="bbb" localSheetId="9">#REF!</definedName>
    <definedName name="bbb">#REF!</definedName>
    <definedName name="BeamLength" localSheetId="8">#REF!</definedName>
    <definedName name="BeamLength" localSheetId="9">#REF!</definedName>
    <definedName name="BeamLength">#REF!</definedName>
    <definedName name="BeginBorder" localSheetId="8">#REF!</definedName>
    <definedName name="BeginBorder" localSheetId="9">#REF!</definedName>
    <definedName name="BeginBorder">#REF!</definedName>
    <definedName name="bel" localSheetId="8">#REF!</definedName>
    <definedName name="bel" localSheetId="9">#REF!</definedName>
    <definedName name="bel">#REF!</definedName>
    <definedName name="bell" localSheetId="8">#REF!</definedName>
    <definedName name="bell" localSheetId="9">#REF!</definedName>
    <definedName name="bell">#REF!</definedName>
    <definedName name="BELL__Polarised" localSheetId="8">#REF!</definedName>
    <definedName name="BELL__Polarised" localSheetId="9">#REF!</definedName>
    <definedName name="BELL__Polarised">#REF!</definedName>
    <definedName name="belll" localSheetId="8">#REF!</definedName>
    <definedName name="belll" localSheetId="9">#REF!</definedName>
    <definedName name="belll">#REF!</definedName>
    <definedName name="bellll" localSheetId="8">#REF!</definedName>
    <definedName name="bellll" localSheetId="9">#REF!</definedName>
    <definedName name="bellll">#REF!</definedName>
    <definedName name="beta" localSheetId="8">#REF!</definedName>
    <definedName name="beta" localSheetId="9">#REF!</definedName>
    <definedName name="beta">#REF!</definedName>
    <definedName name="BidClass" localSheetId="8">#REF!</definedName>
    <definedName name="BidClass" localSheetId="9">#REF!</definedName>
    <definedName name="BidClass">#REF!</definedName>
    <definedName name="BidClass_Text" localSheetId="8">#REF!</definedName>
    <definedName name="BidClass_Text" localSheetId="9">#REF!</definedName>
    <definedName name="BidClass_Text">#REF!</definedName>
    <definedName name="BILL" localSheetId="8">#REF!</definedName>
    <definedName name="BILL" localSheetId="9">#REF!</definedName>
    <definedName name="BILL">#REF!</definedName>
    <definedName name="BillingFreq" localSheetId="8">#REF!</definedName>
    <definedName name="BillingFreq" localSheetId="9">#REF!</definedName>
    <definedName name="BillingFreq">#REF!</definedName>
    <definedName name="BillingTiming" localSheetId="8">#REF!</definedName>
    <definedName name="BillingTiming" localSheetId="9">#REF!</definedName>
    <definedName name="BillingTiming">#REF!</definedName>
    <definedName name="BIN" localSheetId="8">#REF!</definedName>
    <definedName name="BIN" localSheetId="9">#REF!</definedName>
    <definedName name="BIN">#REF!</definedName>
    <definedName name="Blinding" localSheetId="8">#REF!</definedName>
    <definedName name="Blinding" localSheetId="9">#REF!</definedName>
    <definedName name="Blinding">#REF!</definedName>
    <definedName name="Block01">'[15]Detail 1A'!$B$84:$R$1759</definedName>
    <definedName name="Block02" localSheetId="8">#REF!</definedName>
    <definedName name="Block02" localSheetId="9">#REF!</definedName>
    <definedName name="Block02">#REF!</definedName>
    <definedName name="Block03" localSheetId="8">#REF!</definedName>
    <definedName name="Block03" localSheetId="9">#REF!</definedName>
    <definedName name="Block03">#REF!</definedName>
    <definedName name="Block04" localSheetId="8">#REF!</definedName>
    <definedName name="Block04" localSheetId="9">#REF!</definedName>
    <definedName name="Block04">#REF!</definedName>
    <definedName name="Block05" localSheetId="8">#REF!</definedName>
    <definedName name="Block05" localSheetId="9">#REF!</definedName>
    <definedName name="Block05">#REF!</definedName>
    <definedName name="Block06" localSheetId="8">#REF!</definedName>
    <definedName name="Block06" localSheetId="9">#REF!</definedName>
    <definedName name="Block06">#REF!</definedName>
    <definedName name="Block07" localSheetId="8">#REF!</definedName>
    <definedName name="Block07" localSheetId="9">#REF!</definedName>
    <definedName name="Block07">#REF!</definedName>
    <definedName name="BMS" localSheetId="8">[16]Lowside!#REF!</definedName>
    <definedName name="BMS" localSheetId="9">[16]Lowside!#REF!</definedName>
    <definedName name="BMS">[16]Lowside!#REF!</definedName>
    <definedName name="bol" localSheetId="8">#REF!</definedName>
    <definedName name="bol" localSheetId="9">#REF!</definedName>
    <definedName name="bol">#REF!</definedName>
    <definedName name="boml" localSheetId="8">#REF!</definedName>
    <definedName name="boml" localSheetId="9">#REF!</definedName>
    <definedName name="boml">#REF!</definedName>
    <definedName name="boml1" localSheetId="8">#REF!</definedName>
    <definedName name="boml1" localSheetId="9">#REF!</definedName>
    <definedName name="boml1">#REF!</definedName>
    <definedName name="boolean" localSheetId="8">#REF!</definedName>
    <definedName name="boolean" localSheetId="9">#REF!</definedName>
    <definedName name="boolean">#REF!</definedName>
    <definedName name="BOOST_BOOSTHD" localSheetId="8">#REF!</definedName>
    <definedName name="BOOST_BOOSTHD" localSheetId="9">#REF!</definedName>
    <definedName name="BOOST_BOOSTHD">#REF!</definedName>
    <definedName name="BOOST_DESC" localSheetId="8">#REF!</definedName>
    <definedName name="BOOST_DESC" localSheetId="9">#REF!</definedName>
    <definedName name="BOOST_DESC">#REF!</definedName>
    <definedName name="BOOST_NPUMPS" localSheetId="8">#REF!</definedName>
    <definedName name="BOOST_NPUMPS" localSheetId="9">#REF!</definedName>
    <definedName name="BOOST_NPUMPS">#REF!</definedName>
    <definedName name="BOOST_PCURVE" localSheetId="8">#REF!</definedName>
    <definedName name="BOOST_PCURVE" localSheetId="9">#REF!</definedName>
    <definedName name="BOOST_PCURVE">#REF!</definedName>
    <definedName name="BOOST_PID" localSheetId="8">#REF!</definedName>
    <definedName name="BOOST_PID" localSheetId="9">#REF!</definedName>
    <definedName name="BOOST_PID">#REF!</definedName>
    <definedName name="BOOST_STATUS" localSheetId="8">#REF!</definedName>
    <definedName name="BOOST_STATUS" localSheetId="9">#REF!</definedName>
    <definedName name="BOOST_STATUS">#REF!</definedName>
    <definedName name="BOOST_TABLE" localSheetId="8">#REF!</definedName>
    <definedName name="BOOST_TABLE" localSheetId="9">#REF!</definedName>
    <definedName name="BOOST_TABLE">#REF!</definedName>
    <definedName name="bose" localSheetId="8">#REF!</definedName>
    <definedName name="bose" localSheetId="9">#REF!</definedName>
    <definedName name="bose">#REF!</definedName>
    <definedName name="botl" localSheetId="8">#REF!</definedName>
    <definedName name="botl" localSheetId="9">#REF!</definedName>
    <definedName name="botl">#REF!</definedName>
    <definedName name="botl1" localSheetId="8">#REF!</definedName>
    <definedName name="botl1" localSheetId="9">#REF!</definedName>
    <definedName name="botl1">#REF!</definedName>
    <definedName name="botn" localSheetId="8">#REF!</definedName>
    <definedName name="botn" localSheetId="9">#REF!</definedName>
    <definedName name="botn">#REF!</definedName>
    <definedName name="bout" localSheetId="8">#REF!</definedName>
    <definedName name="bout" localSheetId="9">#REF!</definedName>
    <definedName name="bout">#REF!</definedName>
    <definedName name="box_speaker" localSheetId="8">#REF!</definedName>
    <definedName name="box_speaker" localSheetId="9">#REF!</definedName>
    <definedName name="box_speaker">#REF!</definedName>
    <definedName name="Breaks" localSheetId="8">#REF!</definedName>
    <definedName name="Breaks" localSheetId="9">#REF!</definedName>
    <definedName name="Breaks">#REF!</definedName>
    <definedName name="brick\" localSheetId="8">City&amp;" "&amp;State</definedName>
    <definedName name="brick\" localSheetId="9">[0]!City&amp;" "&amp;State</definedName>
    <definedName name="brick\">City&amp;" "&amp;State</definedName>
    <definedName name="Brickwork" localSheetId="8">City&amp;" "&amp;State</definedName>
    <definedName name="Brickwork" localSheetId="9">[0]!City&amp;" "&amp;State</definedName>
    <definedName name="Brickwork">City&amp;" "&amp;State</definedName>
    <definedName name="bua" localSheetId="8">#REF!</definedName>
    <definedName name="bua" localSheetId="9">#REF!</definedName>
    <definedName name="bua">#REF!</definedName>
    <definedName name="BUDDHA" localSheetId="8">#REF!</definedName>
    <definedName name="BUDDHA" localSheetId="9">#REF!</definedName>
    <definedName name="BUDDHA">#REF!</definedName>
    <definedName name="building" localSheetId="8">#REF!</definedName>
    <definedName name="building" localSheetId="9">#REF!</definedName>
    <definedName name="building">#REF!</definedName>
    <definedName name="building___0" localSheetId="8">#REF!</definedName>
    <definedName name="building___0" localSheetId="9">#REF!</definedName>
    <definedName name="building___0">#REF!</definedName>
    <definedName name="building___11" localSheetId="8">#REF!</definedName>
    <definedName name="building___11" localSheetId="9">#REF!</definedName>
    <definedName name="building___11">#REF!</definedName>
    <definedName name="building___12" localSheetId="8">#REF!</definedName>
    <definedName name="building___12" localSheetId="9">#REF!</definedName>
    <definedName name="building___12">#REF!</definedName>
    <definedName name="BuiltIn_AutoFilter___1" localSheetId="8">#REF!</definedName>
    <definedName name="BuiltIn_AutoFilter___1" localSheetId="9">#REF!</definedName>
    <definedName name="BuiltIn_AutoFilter___1">#REF!</definedName>
    <definedName name="BuiltIn_AutoFilter___17" localSheetId="8">#REF!</definedName>
    <definedName name="BuiltIn_AutoFilter___17" localSheetId="9">#REF!</definedName>
    <definedName name="BuiltIn_AutoFilter___17">#REF!</definedName>
    <definedName name="BuiltIn_AutoFilter___19" localSheetId="8">#REF!</definedName>
    <definedName name="BuiltIn_AutoFilter___19" localSheetId="9">#REF!</definedName>
    <definedName name="BuiltIn_AutoFilter___19">#REF!</definedName>
    <definedName name="BuiltIn_Print_Area" localSheetId="8">#REF!</definedName>
    <definedName name="BuiltIn_Print_Area" localSheetId="9">#REF!</definedName>
    <definedName name="BuiltIn_Print_Area">#REF!</definedName>
    <definedName name="BuiltIn_Print_Area___0" localSheetId="8">#REF!</definedName>
    <definedName name="BuiltIn_Print_Area___0" localSheetId="9">#REF!</definedName>
    <definedName name="BuiltIn_Print_Area___0">#REF!</definedName>
    <definedName name="BuiltIn_Print_Area___0___0" localSheetId="8">#REF!</definedName>
    <definedName name="BuiltIn_Print_Area___0___0" localSheetId="9">#REF!</definedName>
    <definedName name="BuiltIn_Print_Area___0___0">#REF!</definedName>
    <definedName name="BuiltIn_Print_Area___0_1" localSheetId="8">#REF!</definedName>
    <definedName name="BuiltIn_Print_Area___0_1" localSheetId="9">#REF!</definedName>
    <definedName name="BuiltIn_Print_Area___0_1">#REF!</definedName>
    <definedName name="BuiltIn_Print_Area___0_4" localSheetId="8">#REF!</definedName>
    <definedName name="BuiltIn_Print_Area___0_4" localSheetId="9">#REF!</definedName>
    <definedName name="BuiltIn_Print_Area___0_4">#REF!</definedName>
    <definedName name="BuiltIn_Print_Area_4" localSheetId="8">#REF!</definedName>
    <definedName name="BuiltIn_Print_Area_4" localSheetId="9">#REF!</definedName>
    <definedName name="BuiltIn_Print_Area_4">#REF!</definedName>
    <definedName name="BuiltIn_Print_Titles" localSheetId="8">#REF!</definedName>
    <definedName name="BuiltIn_Print_Titles" localSheetId="9">#REF!</definedName>
    <definedName name="BuiltIn_Print_Titles">#REF!</definedName>
    <definedName name="BuiltIn_Print_Titles___0" localSheetId="8">#REF!</definedName>
    <definedName name="BuiltIn_Print_Titles___0" localSheetId="9">#REF!</definedName>
    <definedName name="BuiltIn_Print_Titles___0">#REF!</definedName>
    <definedName name="BuiltIn_Print_Titles___0___0" localSheetId="8">#REF!</definedName>
    <definedName name="BuiltIn_Print_Titles___0___0" localSheetId="9">#REF!</definedName>
    <definedName name="BuiltIn_Print_Titles___0___0">#REF!</definedName>
    <definedName name="BuiltIn_Print_Titles_1" localSheetId="8">#REF!</definedName>
    <definedName name="BuiltIn_Print_Titles_1" localSheetId="9">#REF!</definedName>
    <definedName name="BuiltIn_Print_Titles_1">#REF!</definedName>
    <definedName name="BuiltIn_Print_Titles_4" localSheetId="8">#REF!</definedName>
    <definedName name="BuiltIn_Print_Titles_4" localSheetId="9">#REF!</definedName>
    <definedName name="BuiltIn_Print_Titles_4">#REF!</definedName>
    <definedName name="BusType" localSheetId="8">#REF!</definedName>
    <definedName name="BusType" localSheetId="9">#REF!</definedName>
    <definedName name="BusType">#REF!</definedName>
    <definedName name="BusType_Text" localSheetId="8">#REF!</definedName>
    <definedName name="BusType_Text" localSheetId="9">#REF!</definedName>
    <definedName name="BusType_Text">#REF!</definedName>
    <definedName name="Button_5">"AS_PER_TALLY_31_09_04_ONYX_List"</definedName>
    <definedName name="Button_7">"AS_PER_TALLY_31_09_04_ONYX_List1"</definedName>
    <definedName name="Button_8">"AS_PER_TALLY_31_09_04_ONYX_List1"</definedName>
    <definedName name="Bx" localSheetId="8">#REF!</definedName>
    <definedName name="Bx" localSheetId="9">#REF!</definedName>
    <definedName name="Bx">#REF!</definedName>
    <definedName name="Bx___0" localSheetId="8">#REF!</definedName>
    <definedName name="Bx___0" localSheetId="9">#REF!</definedName>
    <definedName name="Bx___0">#REF!</definedName>
    <definedName name="Bx___13" localSheetId="8">#REF!</definedName>
    <definedName name="Bx___13" localSheetId="9">#REF!</definedName>
    <definedName name="Bx___13">#REF!</definedName>
    <definedName name="cab21.5tp" localSheetId="8">#REF!</definedName>
    <definedName name="cab21.5tp" localSheetId="9">#REF!</definedName>
    <definedName name="cab21.5tp">#REF!</definedName>
    <definedName name="cab21s" localSheetId="8">#REF!</definedName>
    <definedName name="cab21s" localSheetId="9">#REF!</definedName>
    <definedName name="cab21s">#REF!</definedName>
    <definedName name="cab21us" localSheetId="8">#REF!</definedName>
    <definedName name="cab21us" localSheetId="9">#REF!</definedName>
    <definedName name="cab21us">#REF!</definedName>
    <definedName name="cab31s" localSheetId="8">#REF!</definedName>
    <definedName name="cab31s" localSheetId="9">#REF!</definedName>
    <definedName name="cab31s">#REF!</definedName>
    <definedName name="cab31us" localSheetId="8">#REF!</definedName>
    <definedName name="cab31us" localSheetId="9">#REF!</definedName>
    <definedName name="cab31us">#REF!</definedName>
    <definedName name="cab41s" localSheetId="8">#REF!</definedName>
    <definedName name="cab41s" localSheetId="9">#REF!</definedName>
    <definedName name="cab41s">#REF!</definedName>
    <definedName name="cab41us" localSheetId="8">#REF!</definedName>
    <definedName name="cab41us" localSheetId="9">#REF!</definedName>
    <definedName name="cab41us">#REF!</definedName>
    <definedName name="cabf" localSheetId="8">#REF!</definedName>
    <definedName name="cabf" localSheetId="9">#REF!</definedName>
    <definedName name="cabf">#REF!</definedName>
    <definedName name="CABLE" localSheetId="8">#REF!</definedName>
    <definedName name="CABLE" localSheetId="9">#REF!</definedName>
    <definedName name="CABLE">#REF!</definedName>
    <definedName name="CABLE_11" localSheetId="8">#REF!</definedName>
    <definedName name="CABLE_11" localSheetId="9">#REF!</definedName>
    <definedName name="CABLE_11">#REF!</definedName>
    <definedName name="CABLE_3" localSheetId="8">#REF!</definedName>
    <definedName name="CABLE_3" localSheetId="9">#REF!</definedName>
    <definedName name="CABLE_3">#REF!</definedName>
    <definedName name="CABLE_5" localSheetId="8">#REF!</definedName>
    <definedName name="CABLE_5" localSheetId="9">#REF!</definedName>
    <definedName name="CABLE_5">#REF!</definedName>
    <definedName name="CABLE_7" localSheetId="8">#REF!</definedName>
    <definedName name="CABLE_7" localSheetId="9">#REF!</definedName>
    <definedName name="CABLE_7">#REF!</definedName>
    <definedName name="CABLE_9" localSheetId="8">#REF!</definedName>
    <definedName name="CABLE_9" localSheetId="9">#REF!</definedName>
    <definedName name="CABLE_9">#REF!</definedName>
    <definedName name="CALf" localSheetId="8">#REF!</definedName>
    <definedName name="CALf" localSheetId="9">#REF!</definedName>
    <definedName name="CALf">#REF!</definedName>
    <definedName name="cant" localSheetId="8">'[17]Staff Acco.'!#REF!</definedName>
    <definedName name="cant" localSheetId="9">'[17]Staff Acco.'!#REF!</definedName>
    <definedName name="cant">'[17]Staff Acco.'!#REF!</definedName>
    <definedName name="capital" localSheetId="8">#REF!</definedName>
    <definedName name="capital" localSheetId="9">#REF!</definedName>
    <definedName name="capital">#REF!</definedName>
    <definedName name="carpet" localSheetId="8">#REF!</definedName>
    <definedName name="carpet" localSheetId="9">#REF!</definedName>
    <definedName name="carpet">#REF!</definedName>
    <definedName name="carpet___0" localSheetId="8">#REF!</definedName>
    <definedName name="carpet___0" localSheetId="9">#REF!</definedName>
    <definedName name="carpet___0">#REF!</definedName>
    <definedName name="carpet___11" localSheetId="8">#REF!</definedName>
    <definedName name="carpet___11" localSheetId="9">#REF!</definedName>
    <definedName name="carpet___11">#REF!</definedName>
    <definedName name="carpet___12" localSheetId="8">#REF!</definedName>
    <definedName name="carpet___12" localSheetId="9">#REF!</definedName>
    <definedName name="carpet___12">#REF!</definedName>
    <definedName name="cash_bank" localSheetId="8">#REF!</definedName>
    <definedName name="cash_bank" localSheetId="9">#REF!</definedName>
    <definedName name="cash_bank">#REF!</definedName>
    <definedName name="category" localSheetId="8">#REF!</definedName>
    <definedName name="category" localSheetId="9">#REF!</definedName>
    <definedName name="category">#REF!</definedName>
    <definedName name="cc" localSheetId="8">#REF!</definedName>
    <definedName name="cc" localSheetId="9">#REF!</definedName>
    <definedName name="cc">#REF!</definedName>
    <definedName name="CCC">'[18]TBAL9697 -group wise  sdpl'!$A$214</definedName>
    <definedName name="cccc">'[19]TBAL9697 -group wise  sdpl'!$A$34</definedName>
    <definedName name="Ceiling_Fin">'[20]Fin Sum'!$I$1:$I$57</definedName>
    <definedName name="Ceiling_speaker" localSheetId="8">#REF!</definedName>
    <definedName name="Ceiling_speaker" localSheetId="9">#REF!</definedName>
    <definedName name="Ceiling_speaker">#REF!</definedName>
    <definedName name="Ceiling_Speaker_Unsupervised" localSheetId="8">#REF!</definedName>
    <definedName name="Ceiling_Speaker_Unsupervised" localSheetId="9">#REF!</definedName>
    <definedName name="Ceiling_Speaker_Unsupervised">#REF!</definedName>
    <definedName name="Cement" localSheetId="8">#REF!</definedName>
    <definedName name="Cement" localSheetId="9">#REF!</definedName>
    <definedName name="Cement">#REF!</definedName>
    <definedName name="cert" localSheetId="8">City&amp;" "&amp;State</definedName>
    <definedName name="cert" localSheetId="9">[0]!City&amp;" "&amp;State</definedName>
    <definedName name="cert">City&amp;" "&amp;State</definedName>
    <definedName name="certificate" localSheetId="8">City&amp;" "&amp;State</definedName>
    <definedName name="certificate" localSheetId="9">[0]!City&amp;" "&amp;State</definedName>
    <definedName name="certificate">City&amp;" "&amp;State</definedName>
    <definedName name="CF" localSheetId="8">#REF!</definedName>
    <definedName name="CF" localSheetId="9">#REF!</definedName>
    <definedName name="CF">#REF!</definedName>
    <definedName name="chandrel_ploes" localSheetId="8">#REF!</definedName>
    <definedName name="chandrel_ploes" localSheetId="9">#REF!</definedName>
    <definedName name="chandrel_ploes">#REF!</definedName>
    <definedName name="ChangeBy" localSheetId="8">#REF!</definedName>
    <definedName name="ChangeBy" localSheetId="9">#REF!</definedName>
    <definedName name="ChangeBy">#REF!</definedName>
    <definedName name="ChangeDate" localSheetId="8">#REF!</definedName>
    <definedName name="ChangeDate" localSheetId="9">#REF!</definedName>
    <definedName name="ChangeDate">#REF!</definedName>
    <definedName name="check" localSheetId="8">City&amp;" "&amp;State</definedName>
    <definedName name="check" localSheetId="9">[0]!City&amp;" "&amp;State</definedName>
    <definedName name="check">City&amp;" "&amp;State</definedName>
    <definedName name="checked" localSheetId="8">#REF!</definedName>
    <definedName name="checked" localSheetId="9">#REF!</definedName>
    <definedName name="checked">#REF!</definedName>
    <definedName name="City">#NAME?</definedName>
    <definedName name="CIVIL" localSheetId="8">#REF!</definedName>
    <definedName name="CIVIL" localSheetId="9">#REF!</definedName>
    <definedName name="CIVIL">#REF!</definedName>
    <definedName name="civilworks" localSheetId="8">#REF!</definedName>
    <definedName name="civilworks" localSheetId="9">#REF!</definedName>
    <definedName name="civilworks">#REF!</definedName>
    <definedName name="CKV_CKVSTATE" localSheetId="8">#REF!</definedName>
    <definedName name="CKV_CKVSTATE" localSheetId="9">#REF!</definedName>
    <definedName name="CKV_CKVSTATE">#REF!</definedName>
    <definedName name="CKV_DESC" localSheetId="8">#REF!</definedName>
    <definedName name="CKV_DESC" localSheetId="9">#REF!</definedName>
    <definedName name="CKV_DESC">#REF!</definedName>
    <definedName name="CKV_PID" localSheetId="8">#REF!</definedName>
    <definedName name="CKV_PID" localSheetId="9">#REF!</definedName>
    <definedName name="CKV_PID">#REF!</definedName>
    <definedName name="CKV_STATUS" localSheetId="8">#REF!</definedName>
    <definedName name="CKV_STATUS" localSheetId="9">#REF!</definedName>
    <definedName name="CKV_STATUS">#REF!</definedName>
    <definedName name="CKV_TABLE" localSheetId="8">#REF!</definedName>
    <definedName name="CKV_TABLE" localSheetId="9">#REF!</definedName>
    <definedName name="CKV_TABLE">#REF!</definedName>
    <definedName name="ClientAddress1" localSheetId="8">#REF!</definedName>
    <definedName name="ClientAddress1" localSheetId="9">#REF!</definedName>
    <definedName name="ClientAddress1">#REF!</definedName>
    <definedName name="ClientAddress2" localSheetId="8">#REF!</definedName>
    <definedName name="ClientAddress2" localSheetId="9">#REF!</definedName>
    <definedName name="ClientAddress2">#REF!</definedName>
    <definedName name="ClientCity" localSheetId="8">#REF!</definedName>
    <definedName name="ClientCity" localSheetId="9">#REF!</definedName>
    <definedName name="ClientCity">#REF!</definedName>
    <definedName name="ClientCountry" localSheetId="8">#REF!</definedName>
    <definedName name="ClientCountry" localSheetId="9">#REF!</definedName>
    <definedName name="ClientCountry">#REF!</definedName>
    <definedName name="ClientEmail" localSheetId="8">#REF!</definedName>
    <definedName name="ClientEmail" localSheetId="9">#REF!</definedName>
    <definedName name="ClientEmail">#REF!</definedName>
    <definedName name="ClientFax" localSheetId="8">#REF!</definedName>
    <definedName name="ClientFax" localSheetId="9">#REF!</definedName>
    <definedName name="ClientFax">#REF!</definedName>
    <definedName name="ClientPhone" localSheetId="8">#REF!</definedName>
    <definedName name="ClientPhone" localSheetId="9">#REF!</definedName>
    <definedName name="ClientPhone">#REF!</definedName>
    <definedName name="ClientState" localSheetId="8">#REF!</definedName>
    <definedName name="ClientState" localSheetId="9">#REF!</definedName>
    <definedName name="ClientState">#REF!</definedName>
    <definedName name="ClientZip" localSheetId="8">#REF!</definedName>
    <definedName name="ClientZip" localSheetId="9">#REF!</definedName>
    <definedName name="ClientZip">#REF!</definedName>
    <definedName name="CO" localSheetId="8">#REF!</definedName>
    <definedName name="CO" localSheetId="9">#REF!</definedName>
    <definedName name="CO">#REF!</definedName>
    <definedName name="CODE">'[21]Pacakges split'!$B$3:$B$223</definedName>
    <definedName name="coimbatore" localSheetId="8">#REF!</definedName>
    <definedName name="coimbatore" localSheetId="9">#REF!</definedName>
    <definedName name="coimbatore">#REF!</definedName>
    <definedName name="col" localSheetId="8">#REF!</definedName>
    <definedName name="col" localSheetId="9">#REF!</definedName>
    <definedName name="col">#REF!</definedName>
    <definedName name="col___0" localSheetId="8">#REF!</definedName>
    <definedName name="col___0" localSheetId="9">#REF!</definedName>
    <definedName name="col___0">#REF!</definedName>
    <definedName name="col___11" localSheetId="8">#REF!</definedName>
    <definedName name="col___11" localSheetId="9">#REF!</definedName>
    <definedName name="col___11">#REF!</definedName>
    <definedName name="col___12" localSheetId="8">#REF!</definedName>
    <definedName name="col___12" localSheetId="9">#REF!</definedName>
    <definedName name="col___12">#REF!</definedName>
    <definedName name="columnLength" localSheetId="8">#REF!</definedName>
    <definedName name="columnLength" localSheetId="9">#REF!</definedName>
    <definedName name="columnLength">#REF!</definedName>
    <definedName name="Columns" localSheetId="8">#REF!</definedName>
    <definedName name="Columns" localSheetId="9">#REF!</definedName>
    <definedName name="Columns">#REF!</definedName>
    <definedName name="Company" localSheetId="8">#REF!</definedName>
    <definedName name="Company" localSheetId="9">#REF!</definedName>
    <definedName name="Company">#REF!</definedName>
    <definedName name="CompDate" localSheetId="8">#REF!</definedName>
    <definedName name="CompDate" localSheetId="9">#REF!</definedName>
    <definedName name="CompDate">#REF!</definedName>
    <definedName name="con">#N/A</definedName>
    <definedName name="conc\">#N/A</definedName>
    <definedName name="concondition">#N/A</definedName>
    <definedName name="conf" localSheetId="8">#REF!</definedName>
    <definedName name="conf" localSheetId="9">#REF!</definedName>
    <definedName name="conf">#REF!</definedName>
    <definedName name="config">[22]Sheet3!$A$1:$B$65536</definedName>
    <definedName name="constrn" localSheetId="8">#REF!</definedName>
    <definedName name="constrn" localSheetId="9">#REF!</definedName>
    <definedName name="constrn">#REF!</definedName>
    <definedName name="Construction_Period" localSheetId="8">#REF!</definedName>
    <definedName name="Construction_Period" localSheetId="9">#REF!</definedName>
    <definedName name="Construction_Period">#REF!</definedName>
    <definedName name="Contact" localSheetId="8">#REF!</definedName>
    <definedName name="Contact" localSheetId="9">#REF!</definedName>
    <definedName name="Contact">#REF!</definedName>
    <definedName name="ContAmt" localSheetId="8">#REF!</definedName>
    <definedName name="ContAmt" localSheetId="9">#REF!</definedName>
    <definedName name="ContAmt">#REF!</definedName>
    <definedName name="ContractorProfit">12/100</definedName>
    <definedName name="ContWithAcct" localSheetId="8">#REF!</definedName>
    <definedName name="ContWithAcct" localSheetId="9">#REF!</definedName>
    <definedName name="ContWithAcct">#REF!</definedName>
    <definedName name="ContWithName" localSheetId="8">#REF!</definedName>
    <definedName name="ContWithName" localSheetId="9">#REF!</definedName>
    <definedName name="ContWithName">#REF!</definedName>
    <definedName name="ContWithPrio" localSheetId="8">#REF!</definedName>
    <definedName name="ContWithPrio" localSheetId="9">#REF!</definedName>
    <definedName name="ContWithPrio">#REF!</definedName>
    <definedName name="ContWithPrio_Text" localSheetId="8">#REF!</definedName>
    <definedName name="ContWithPrio_Text" localSheetId="9">#REF!</definedName>
    <definedName name="ContWithPrio_Text">#REF!</definedName>
    <definedName name="CONum" localSheetId="8">#REF!</definedName>
    <definedName name="CONum" localSheetId="9">#REF!</definedName>
    <definedName name="CONum">#REF!</definedName>
    <definedName name="cord" localSheetId="8">#REF!</definedName>
    <definedName name="cord" localSheetId="9">#REF!</definedName>
    <definedName name="cord">#REF!</definedName>
    <definedName name="Core" localSheetId="8">#REF!</definedName>
    <definedName name="Core" localSheetId="9">#REF!</definedName>
    <definedName name="Core">#REF!</definedName>
    <definedName name="CorpClient" localSheetId="8">#REF!</definedName>
    <definedName name="CorpClient" localSheetId="9">#REF!</definedName>
    <definedName name="CorpClient">#REF!</definedName>
    <definedName name="CorpClient_Text" localSheetId="8">#REF!</definedName>
    <definedName name="CorpClient_Text" localSheetId="9">#REF!</definedName>
    <definedName name="CorpClient_Text">#REF!</definedName>
    <definedName name="CorridorArea" localSheetId="8">#REF!</definedName>
    <definedName name="CorridorArea" localSheetId="9">#REF!</definedName>
    <definedName name="CorridorArea">#REF!</definedName>
    <definedName name="CorridorPerimeter" localSheetId="8">#REF!</definedName>
    <definedName name="CorridorPerimeter" localSheetId="9">#REF!</definedName>
    <definedName name="CorridorPerimeter">#REF!</definedName>
    <definedName name="COST" localSheetId="8">#REF!</definedName>
    <definedName name="COST" localSheetId="9">#REF!</definedName>
    <definedName name="COST">#REF!</definedName>
    <definedName name="COU" localSheetId="8">#REF!</definedName>
    <definedName name="COU" localSheetId="9">#REF!</definedName>
    <definedName name="COU">#REF!</definedName>
    <definedName name="COU___0" localSheetId="8">#REF!</definedName>
    <definedName name="COU___0" localSheetId="9">#REF!</definedName>
    <definedName name="COU___0">#REF!</definedName>
    <definedName name="COU___13" localSheetId="8">#REF!</definedName>
    <definedName name="COU___13" localSheetId="9">#REF!</definedName>
    <definedName name="COU___13">#REF!</definedName>
    <definedName name="crsobpl">'[19]TBAL9697 -group wise  sdpl'!$A$34</definedName>
    <definedName name="Cs" localSheetId="8">#REF!</definedName>
    <definedName name="Cs" localSheetId="9">#REF!</definedName>
    <definedName name="Cs">#REF!</definedName>
    <definedName name="Cs___0" localSheetId="8">#REF!</definedName>
    <definedName name="Cs___0" localSheetId="9">#REF!</definedName>
    <definedName name="Cs___0">#REF!</definedName>
    <definedName name="Cs___13" localSheetId="8">#REF!</definedName>
    <definedName name="Cs___13" localSheetId="9">#REF!</definedName>
    <definedName name="Cs___13">#REF!</definedName>
    <definedName name="cs_1" localSheetId="8">#REF!</definedName>
    <definedName name="cs_1" localSheetId="9">#REF!</definedName>
    <definedName name="cs_1">#REF!</definedName>
    <definedName name="curr_liab_prov" localSheetId="8">#REF!</definedName>
    <definedName name="curr_liab_prov" localSheetId="9">#REF!</definedName>
    <definedName name="curr_liab_prov">#REF!</definedName>
    <definedName name="CurrencyRate" localSheetId="8">#REF!</definedName>
    <definedName name="CurrencyRate" localSheetId="9">#REF!</definedName>
    <definedName name="CurrencyRate">#REF!</definedName>
    <definedName name="current1" localSheetId="8">#REF!</definedName>
    <definedName name="current1" localSheetId="9">#REF!</definedName>
    <definedName name="current1">#REF!</definedName>
    <definedName name="current2" localSheetId="8">#REF!</definedName>
    <definedName name="current2" localSheetId="9">#REF!</definedName>
    <definedName name="current2">#REF!</definedName>
    <definedName name="current3" localSheetId="8">#REF!</definedName>
    <definedName name="current3" localSheetId="9">#REF!</definedName>
    <definedName name="current3">#REF!</definedName>
    <definedName name="current4" localSheetId="8">#REF!</definedName>
    <definedName name="current4" localSheetId="9">#REF!</definedName>
    <definedName name="current4">#REF!</definedName>
    <definedName name="current5" localSheetId="8">#REF!</definedName>
    <definedName name="current5" localSheetId="9">#REF!</definedName>
    <definedName name="current5">#REF!</definedName>
    <definedName name="cutoutArea" localSheetId="8">#REF!</definedName>
    <definedName name="cutoutArea" localSheetId="9">#REF!</definedName>
    <definedName name="cutoutArea">#REF!</definedName>
    <definedName name="cutoutPerimeter" localSheetId="8">#REF!</definedName>
    <definedName name="cutoutPerimeter" localSheetId="9">#REF!</definedName>
    <definedName name="cutoutPerimeter">#REF!</definedName>
    <definedName name="CV" hidden="1">#NAME?</definedName>
    <definedName name="D">'[6]PRECAST lightconc-II'!$J$20</definedName>
    <definedName name="d___0" localSheetId="8">#REF!</definedName>
    <definedName name="d___0" localSheetId="9">#REF!</definedName>
    <definedName name="d___0">#REF!</definedName>
    <definedName name="d___13" localSheetId="8">#REF!</definedName>
    <definedName name="d___13" localSheetId="9">#REF!</definedName>
    <definedName name="d___13">#REF!</definedName>
    <definedName name="D206xE206" localSheetId="8">'[23]p&amp;m'!#REF!</definedName>
    <definedName name="D206xE206" localSheetId="9">'[23]p&amp;m'!#REF!</definedName>
    <definedName name="D206xE206">'[23]p&amp;m'!#REF!</definedName>
    <definedName name="data">'[24]labour coeff'!$A$3:$S$74</definedName>
    <definedName name="_xlnm.Database" localSheetId="8">#REF!</definedName>
    <definedName name="_xlnm.Database" localSheetId="9">#REF!</definedName>
    <definedName name="_xlnm.Database">#REF!</definedName>
    <definedName name="Date">'[25]Fill this out first...'!$D$14</definedName>
    <definedName name="db" localSheetId="8">#REF!</definedName>
    <definedName name="db" localSheetId="9">#REF!</definedName>
    <definedName name="db">#REF!</definedName>
    <definedName name="db___0" localSheetId="8">#REF!</definedName>
    <definedName name="db___0" localSheetId="9">#REF!</definedName>
    <definedName name="db___0">#REF!</definedName>
    <definedName name="db___13" localSheetId="8">#REF!</definedName>
    <definedName name="db___13" localSheetId="9">#REF!</definedName>
    <definedName name="db___13">#REF!</definedName>
    <definedName name="dc" localSheetId="8">#REF!</definedName>
    <definedName name="dc" localSheetId="9">#REF!</definedName>
    <definedName name="dc">#REF!</definedName>
    <definedName name="DCI" localSheetId="8" hidden="1">{#N/A,#N/A,TRUE,"Front";#N/A,#N/A,TRUE,"Simple Letter";#N/A,#N/A,TRUE,"Inside";#N/A,#N/A,TRUE,"Contents";#N/A,#N/A,TRUE,"Basis";#N/A,#N/A,TRUE,"Inclusions";#N/A,#N/A,TRUE,"Exclusions";#N/A,#N/A,TRUE,"Areas";#N/A,#N/A,TRUE,"Summary";#N/A,#N/A,TRUE,"Detail"}</definedName>
    <definedName name="DCI" localSheetId="9"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d" localSheetId="8">#REF!</definedName>
    <definedName name="dd" localSheetId="9">#REF!</definedName>
    <definedName name="dd">#REF!</definedName>
    <definedName name="dddd" localSheetId="8">#REF!</definedName>
    <definedName name="dddd" localSheetId="9">#REF!</definedName>
    <definedName name="dddd">#REF!</definedName>
    <definedName name="ddf" localSheetId="8">City&amp;" "&amp;State</definedName>
    <definedName name="ddf" localSheetId="9">[0]!City&amp;" "&amp;State</definedName>
    <definedName name="ddf">City&amp;" "&amp;State</definedName>
    <definedName name="DELTA20" localSheetId="8">#REF!</definedName>
    <definedName name="DELTA20" localSheetId="9">#REF!</definedName>
    <definedName name="DELTA20">#REF!</definedName>
    <definedName name="DELTA20___0" localSheetId="8">#REF!</definedName>
    <definedName name="DELTA20___0" localSheetId="9">#REF!</definedName>
    <definedName name="DELTA20___0">#REF!</definedName>
    <definedName name="DELTA20___13" localSheetId="8">#REF!</definedName>
    <definedName name="DELTA20___13" localSheetId="9">#REF!</definedName>
    <definedName name="DELTA20___13">#REF!</definedName>
    <definedName name="DeluxeArea" localSheetId="8">#REF!</definedName>
    <definedName name="DeluxeArea" localSheetId="9">#REF!</definedName>
    <definedName name="DeluxeArea">#REF!</definedName>
    <definedName name="DeluxePerimeter" localSheetId="8">#REF!</definedName>
    <definedName name="DeluxePerimeter" localSheetId="9">#REF!</definedName>
    <definedName name="DeluxePerimeter">#REF!</definedName>
    <definedName name="Depn" localSheetId="8">#REF!</definedName>
    <definedName name="Depn" localSheetId="9">#REF!</definedName>
    <definedName name="Depn">#REF!</definedName>
    <definedName name="DEPTH" localSheetId="8">#REF!</definedName>
    <definedName name="DEPTH" localSheetId="9">#REF!</definedName>
    <definedName name="DEPTH">#REF!</definedName>
    <definedName name="Desc01" localSheetId="8">#REF!</definedName>
    <definedName name="Desc01" localSheetId="9">#REF!</definedName>
    <definedName name="Desc01">#REF!</definedName>
    <definedName name="Desc02" localSheetId="8">#REF!</definedName>
    <definedName name="Desc02" localSheetId="9">#REF!</definedName>
    <definedName name="Desc02">#REF!</definedName>
    <definedName name="designed" localSheetId="8">#REF!</definedName>
    <definedName name="designed" localSheetId="9">#REF!</definedName>
    <definedName name="designed">#REF!</definedName>
    <definedName name="df" localSheetId="8">#REF!</definedName>
    <definedName name="df" localSheetId="9">#REF!</definedName>
    <definedName name="df">#REF!</definedName>
    <definedName name="dfafdasdf" localSheetId="8">#REF!</definedName>
    <definedName name="dfafdasdf" localSheetId="9">#REF!</definedName>
    <definedName name="dfafdasdf">#REF!</definedName>
    <definedName name="DFDSF" localSheetId="8">[26]Design!#REF!</definedName>
    <definedName name="DFDSF" localSheetId="9">[26]Design!#REF!</definedName>
    <definedName name="DFDSF">[26]Design!#REF!</definedName>
    <definedName name="DFGF" localSheetId="8">'[27]RES-PLANNING'!#REF!</definedName>
    <definedName name="DFGF" localSheetId="9">'[27]RES-PLANNING'!#REF!</definedName>
    <definedName name="DFGF">'[27]RES-PLANNING'!#REF!</definedName>
    <definedName name="dfsdfds" localSheetId="8">#REF!</definedName>
    <definedName name="dfsdfds" localSheetId="9">#REF!</definedName>
    <definedName name="dfsdfds">#REF!</definedName>
    <definedName name="dg" localSheetId="8">#REF!</definedName>
    <definedName name="dg" localSheetId="9">#REF!</definedName>
    <definedName name="dg">#REF!</definedName>
    <definedName name="DG_KVA_RATING">'[27]WORK TABLE'!$A$1:$B$24</definedName>
    <definedName name="Di" localSheetId="8">#REF!</definedName>
    <definedName name="Di" localSheetId="9">#REF!</definedName>
    <definedName name="Di">#REF!</definedName>
    <definedName name="DIA" localSheetId="8">#REF!</definedName>
    <definedName name="DIA" localSheetId="9">#REF!</definedName>
    <definedName name="DIA">#REF!</definedName>
    <definedName name="DIns" localSheetId="8">#REF!</definedName>
    <definedName name="DIns" localSheetId="9">#REF!</definedName>
    <definedName name="DIns">#REF!</definedName>
    <definedName name="div" localSheetId="8">#REF!</definedName>
    <definedName name="div" localSheetId="9">#REF!</definedName>
    <definedName name="div">#REF!</definedName>
    <definedName name="dk" localSheetId="8">#REF!</definedName>
    <definedName name="dk" localSheetId="9">#REF!</definedName>
    <definedName name="dk">#REF!</definedName>
    <definedName name="dl" localSheetId="8">#REF!</definedName>
    <definedName name="dl" localSheetId="9">#REF!</definedName>
    <definedName name="dl">#REF!</definedName>
    <definedName name="dl___0" localSheetId="8">#REF!</definedName>
    <definedName name="dl___0" localSheetId="9">#REF!</definedName>
    <definedName name="dl___0">#REF!</definedName>
    <definedName name="dl___13" localSheetId="8">#REF!</definedName>
    <definedName name="dl___13" localSheetId="9">#REF!</definedName>
    <definedName name="dl___13">#REF!</definedName>
    <definedName name="Do" localSheetId="8">#REF!</definedName>
    <definedName name="Do" localSheetId="9">#REF!</definedName>
    <definedName name="Do">#REF!</definedName>
    <definedName name="docu" localSheetId="8">#REF!</definedName>
    <definedName name="docu" localSheetId="9">#REF!</definedName>
    <definedName name="docu">#REF!</definedName>
    <definedName name="DOW_CORNING_789_SILICONE_SEALANT" localSheetId="8">#REF!</definedName>
    <definedName name="DOW_CORNING_789_SILICONE_SEALANT" localSheetId="9">#REF!</definedName>
    <definedName name="DOW_CORNING_789_SILICONE_SEALANT">#REF!</definedName>
    <definedName name="DP" localSheetId="8">#REF!</definedName>
    <definedName name="DP" localSheetId="9">#REF!</definedName>
    <definedName name="DP">#REF!</definedName>
    <definedName name="dq" localSheetId="8">#REF!</definedName>
    <definedName name="dq" localSheetId="9">#REF!</definedName>
    <definedName name="dq">#REF!</definedName>
    <definedName name="Ds" localSheetId="8">#REF!</definedName>
    <definedName name="Ds" localSheetId="9">#REF!</definedName>
    <definedName name="Ds">#REF!</definedName>
    <definedName name="Ds___0" localSheetId="8">#REF!</definedName>
    <definedName name="Ds___0" localSheetId="9">#REF!</definedName>
    <definedName name="Ds___0">#REF!</definedName>
    <definedName name="Ds___13" localSheetId="8">#REF!</definedName>
    <definedName name="Ds___13" localSheetId="9">#REF!</definedName>
    <definedName name="Ds___13">#REF!</definedName>
    <definedName name="dsaf" localSheetId="8">#REF!</definedName>
    <definedName name="dsaf" localSheetId="9">#REF!</definedName>
    <definedName name="dsaf">#REF!</definedName>
    <definedName name="dsds" localSheetId="8">#REF!</definedName>
    <definedName name="dsds" localSheetId="9">#REF!</definedName>
    <definedName name="dsds">#REF!</definedName>
    <definedName name="dsfdsfdsfdasfdfs" localSheetId="8">#REF!</definedName>
    <definedName name="dsfdsfdsfdasfdfs" localSheetId="9">#REF!</definedName>
    <definedName name="dsfdsfdsfdasfdfs">#REF!</definedName>
    <definedName name="dsfsd" localSheetId="8">#REF!</definedName>
    <definedName name="dsfsd" localSheetId="9">#REF!</definedName>
    <definedName name="dsfsd">#REF!</definedName>
    <definedName name="duct" localSheetId="8">#REF!</definedName>
    <definedName name="duct" localSheetId="9">#REF!</definedName>
    <definedName name="duct">#REF!</definedName>
    <definedName name="E">'[6]PRECAST lightconc-II'!$K$20</definedName>
    <definedName name="E_AND_R">'[1]E &amp; R'!$A:$IV</definedName>
    <definedName name="ED" localSheetId="8">#REF!</definedName>
    <definedName name="ED" localSheetId="9">#REF!</definedName>
    <definedName name="ED">#REF!</definedName>
    <definedName name="EE" localSheetId="8">#REF!</definedName>
    <definedName name="EE" localSheetId="9">#REF!</definedName>
    <definedName name="EE">#REF!</definedName>
    <definedName name="ELECTRICAL" localSheetId="8">#REF!</definedName>
    <definedName name="ELECTRICAL" localSheetId="9">#REF!</definedName>
    <definedName name="ELECTRICAL">#REF!</definedName>
    <definedName name="Em" localSheetId="8">#REF!</definedName>
    <definedName name="Em" localSheetId="9">#REF!</definedName>
    <definedName name="Em">#REF!</definedName>
    <definedName name="Em___0" localSheetId="8">#REF!</definedName>
    <definedName name="Em___0" localSheetId="9">#REF!</definedName>
    <definedName name="Em___0">#REF!</definedName>
    <definedName name="Em___13" localSheetId="8">#REF!</definedName>
    <definedName name="Em___13" localSheetId="9">#REF!</definedName>
    <definedName name="Em___13">#REF!</definedName>
    <definedName name="EndBorder" localSheetId="8">#REF!</definedName>
    <definedName name="EndBorder" localSheetId="9">#REF!</definedName>
    <definedName name="EndBorder">#REF!</definedName>
    <definedName name="EngAddress" localSheetId="8">#REF!</definedName>
    <definedName name="EngAddress" localSheetId="9">#REF!</definedName>
    <definedName name="EngAddress">#REF!</definedName>
    <definedName name="EngCity" localSheetId="8">#REF!</definedName>
    <definedName name="EngCity" localSheetId="9">#REF!</definedName>
    <definedName name="EngCity">#REF!</definedName>
    <definedName name="EngName" localSheetId="8">#REF!</definedName>
    <definedName name="EngName" localSheetId="9">#REF!</definedName>
    <definedName name="EngName">#REF!</definedName>
    <definedName name="EngPostal" localSheetId="8">#REF!</definedName>
    <definedName name="EngPostal" localSheetId="9">#REF!</definedName>
    <definedName name="EngPostal">#REF!</definedName>
    <definedName name="EngPrio" localSheetId="8">#REF!</definedName>
    <definedName name="EngPrio" localSheetId="9">#REF!</definedName>
    <definedName name="EngPrio">#REF!</definedName>
    <definedName name="EngPrio_Text" localSheetId="8">#REF!</definedName>
    <definedName name="EngPrio_Text" localSheetId="9">#REF!</definedName>
    <definedName name="EngPrio_Text">#REF!</definedName>
    <definedName name="EngState" localSheetId="8">#REF!</definedName>
    <definedName name="EngState" localSheetId="9">#REF!</definedName>
    <definedName name="EngState">#REF!</definedName>
    <definedName name="Es" localSheetId="8">#REF!</definedName>
    <definedName name="Es" localSheetId="9">#REF!</definedName>
    <definedName name="Es">#REF!</definedName>
    <definedName name="Es___0" localSheetId="8">#REF!</definedName>
    <definedName name="Es___0" localSheetId="9">#REF!</definedName>
    <definedName name="Es___0">#REF!</definedName>
    <definedName name="Es___13" localSheetId="8">#REF!</definedName>
    <definedName name="Es___13" localSheetId="9">#REF!</definedName>
    <definedName name="Es___13">#REF!</definedName>
    <definedName name="EstCost" localSheetId="8">#REF!</definedName>
    <definedName name="EstCost" localSheetId="9">#REF!</definedName>
    <definedName name="EstCost">#REF!</definedName>
    <definedName name="estim" localSheetId="8">'[28]Cost summary'!#REF!</definedName>
    <definedName name="estim" localSheetId="9">'[28]Cost summary'!#REF!</definedName>
    <definedName name="estim">'[28]Cost summary'!#REF!</definedName>
    <definedName name="ESTIMATE" localSheetId="8">'[28]Cost summary'!#REF!</definedName>
    <definedName name="ESTIMATE" localSheetId="9">'[28]Cost summary'!#REF!</definedName>
    <definedName name="ESTIMATE">'[28]Cost summary'!#REF!</definedName>
    <definedName name="Et" localSheetId="8">#REF!</definedName>
    <definedName name="Et" localSheetId="9">#REF!</definedName>
    <definedName name="Et">#REF!</definedName>
    <definedName name="Et___0" localSheetId="8">#REF!</definedName>
    <definedName name="Et___0" localSheetId="9">#REF!</definedName>
    <definedName name="Et___0">#REF!</definedName>
    <definedName name="Et___13" localSheetId="8">#REF!</definedName>
    <definedName name="Et___13" localSheetId="9">#REF!</definedName>
    <definedName name="Et___13">#REF!</definedName>
    <definedName name="eu" localSheetId="8">#REF!</definedName>
    <definedName name="eu" localSheetId="9">#REF!</definedName>
    <definedName name="eu">#REF!</definedName>
    <definedName name="EW" localSheetId="8">#REF!</definedName>
    <definedName name="EW" localSheetId="9">#REF!</definedName>
    <definedName name="EW">#REF!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 localSheetId="8">[29]GBW!#REF!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 localSheetId="9">[29]GBW!#REF!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[29]GBW!#REF!</definedName>
    <definedName name="Excel_BuiltIn__FilterDatabase_1" localSheetId="8">[30]BOQ!#REF!</definedName>
    <definedName name="Excel_BuiltIn__FilterDatabase_1" localSheetId="9">[30]BOQ!#REF!</definedName>
    <definedName name="Excel_BuiltIn__FilterDatabase_1">[30]BOQ!#REF!</definedName>
    <definedName name="Excel_BuiltIn__FilterDatabase_1_1">'[31]LOWER GROUND FLOOR'!$A$9:$Q$334</definedName>
    <definedName name="Excel_BuiltIn__FilterDatabase_10" localSheetId="8">#REF!</definedName>
    <definedName name="Excel_BuiltIn__FilterDatabase_10" localSheetId="9">#REF!</definedName>
    <definedName name="Excel_BuiltIn__FilterDatabase_10">#REF!</definedName>
    <definedName name="Excel_BuiltIn__FilterDatabase_11" localSheetId="8">#REF!</definedName>
    <definedName name="Excel_BuiltIn__FilterDatabase_11" localSheetId="9">#REF!</definedName>
    <definedName name="Excel_BuiltIn__FilterDatabase_11">#REF!</definedName>
    <definedName name="Excel_BuiltIn__FilterDatabase_17" localSheetId="8">#REF!</definedName>
    <definedName name="Excel_BuiltIn__FilterDatabase_17" localSheetId="9">#REF!</definedName>
    <definedName name="Excel_BuiltIn__FilterDatabase_17">#REF!</definedName>
    <definedName name="Excel_BuiltIn__FilterDatabase_2">'[32]GROUP CODE'!$A$1:$A$6</definedName>
    <definedName name="Excel_BuiltIn__FilterDatabase_2_1">'[31]GROUND  FLOOR '!$A$10:$P$407</definedName>
    <definedName name="Excel_BuiltIn__FilterDatabase_3_1">'[31]FIRST  FLOOR '!$A$9:$P$362</definedName>
    <definedName name="Excel_BuiltIn__FilterDatabase_4">'[31]SECOND  FLOOR '!$A$9:$P$362</definedName>
    <definedName name="Excel_BuiltIn__FilterDatabase_5">'[31]FD,VCD'!$A$9:$F$362</definedName>
    <definedName name="Excel_BuiltIn__FilterDatabase_7" localSheetId="8">#REF!</definedName>
    <definedName name="Excel_BuiltIn__FilterDatabase_7" localSheetId="9">#REF!</definedName>
    <definedName name="Excel_BuiltIn__FilterDatabase_7">#REF!</definedName>
    <definedName name="Excel_BuiltIn__FilterDatabase_8" localSheetId="8">#REF!</definedName>
    <definedName name="Excel_BuiltIn__FilterDatabase_8" localSheetId="9">#REF!</definedName>
    <definedName name="Excel_BuiltIn__FilterDatabase_8">#REF!</definedName>
    <definedName name="Excel_BuiltIn_Database_0" localSheetId="8">#REF!</definedName>
    <definedName name="Excel_BuiltIn_Database_0" localSheetId="9">#REF!</definedName>
    <definedName name="Excel_BuiltIn_Database_0">#REF!</definedName>
    <definedName name="Excel_BuiltIn_Print_Area" localSheetId="8">#REF!</definedName>
    <definedName name="Excel_BuiltIn_Print_Area" localSheetId="9">#REF!</definedName>
    <definedName name="Excel_BuiltIn_Print_Area">#REF!</definedName>
    <definedName name="Excel_BuiltIn_Print_Area_1" localSheetId="8">#REF!</definedName>
    <definedName name="Excel_BuiltIn_Print_Area_1" localSheetId="9">#REF!</definedName>
    <definedName name="Excel_BuiltIn_Print_Area_1">#REF!</definedName>
    <definedName name="Excel_BuiltIn_Print_Area_1_1" localSheetId="8">#REF!</definedName>
    <definedName name="Excel_BuiltIn_Print_Area_1_1" localSheetId="9">#REF!</definedName>
    <definedName name="Excel_BuiltIn_Print_Area_1_1">#REF!</definedName>
    <definedName name="Excel_BuiltIn_Print_Area_16" localSheetId="8">#REF!</definedName>
    <definedName name="Excel_BuiltIn_Print_Area_16" localSheetId="9">#REF!</definedName>
    <definedName name="Excel_BuiltIn_Print_Area_16">#REF!</definedName>
    <definedName name="Excel_BuiltIn_Print_Area_18_1" localSheetId="8">#REF!</definedName>
    <definedName name="Excel_BuiltIn_Print_Area_18_1" localSheetId="9">#REF!</definedName>
    <definedName name="Excel_BuiltIn_Print_Area_18_1">#REF!</definedName>
    <definedName name="Excel_BuiltIn_Print_Area_2" localSheetId="8">#REF!</definedName>
    <definedName name="Excel_BuiltIn_Print_Area_2" localSheetId="9">#REF!</definedName>
    <definedName name="Excel_BuiltIn_Print_Area_2">#REF!</definedName>
    <definedName name="Excel_BuiltIn_Print_Area_2_1" localSheetId="8">#REF!</definedName>
    <definedName name="Excel_BuiltIn_Print_Area_2_1" localSheetId="9">#REF!</definedName>
    <definedName name="Excel_BuiltIn_Print_Area_2_1">#REF!</definedName>
    <definedName name="Excel_BuiltIn_Print_Area_3" localSheetId="8">#REF!</definedName>
    <definedName name="Excel_BuiltIn_Print_Area_3" localSheetId="9">#REF!</definedName>
    <definedName name="Excel_BuiltIn_Print_Area_3">#REF!</definedName>
    <definedName name="Excel_BuiltIn_Print_Area_4" localSheetId="8">#REF!</definedName>
    <definedName name="Excel_BuiltIn_Print_Area_4" localSheetId="9">#REF!</definedName>
    <definedName name="Excel_BuiltIn_Print_Area_4">#REF!</definedName>
    <definedName name="Excel_BuiltIn_Print_Area_4_1" localSheetId="8">#REF!</definedName>
    <definedName name="Excel_BuiltIn_Print_Area_4_1" localSheetId="9">#REF!</definedName>
    <definedName name="Excel_BuiltIn_Print_Area_4_1">#REF!</definedName>
    <definedName name="Excel_BuiltIn_Print_Titles" localSheetId="8">#REF!,#REF!</definedName>
    <definedName name="Excel_BuiltIn_Print_Titles" localSheetId="9">#REF!,#REF!</definedName>
    <definedName name="Excel_BuiltIn_Print_Titles">#REF!,#REF!</definedName>
    <definedName name="Excel_BuiltIn_Print_Titles_1" localSheetId="8">[30]BOQ!#REF!</definedName>
    <definedName name="Excel_BuiltIn_Print_Titles_1" localSheetId="9">[30]BOQ!#REF!</definedName>
    <definedName name="Excel_BuiltIn_Print_Titles_1">[30]BOQ!#REF!</definedName>
    <definedName name="Excel_BuiltIn_Print_Titles_1_1" localSheetId="8">#REF!</definedName>
    <definedName name="Excel_BuiltIn_Print_Titles_1_1" localSheetId="9">#REF!</definedName>
    <definedName name="Excel_BuiltIn_Print_Titles_1_1">#REF!</definedName>
    <definedName name="Excel_BuiltIn_Print_Titles_15" localSheetId="8">#REF!</definedName>
    <definedName name="Excel_BuiltIn_Print_Titles_15" localSheetId="9">#REF!</definedName>
    <definedName name="Excel_BuiltIn_Print_Titles_15">#REF!</definedName>
    <definedName name="Excel_BuiltIn_Print_Titles_2" localSheetId="8">#REF!</definedName>
    <definedName name="Excel_BuiltIn_Print_Titles_2" localSheetId="9">#REF!</definedName>
    <definedName name="Excel_BuiltIn_Print_Titles_2">#REF!</definedName>
    <definedName name="Excel_BuiltIn_Print_Titles_2_1" localSheetId="8">#REF!</definedName>
    <definedName name="Excel_BuiltIn_Print_Titles_2_1" localSheetId="9">#REF!</definedName>
    <definedName name="Excel_BuiltIn_Print_Titles_2_1">#REF!</definedName>
    <definedName name="Excel_BuiltIn_Print_Titles_4" localSheetId="8">#REF!</definedName>
    <definedName name="Excel_BuiltIn_Print_Titles_4" localSheetId="9">#REF!</definedName>
    <definedName name="Excel_BuiltIn_Print_Titles_4">#REF!</definedName>
    <definedName name="Excel_BuiltIn_Print_Titles_8" localSheetId="8">'[33]COOLING TOWER-Supply'!#REF!</definedName>
    <definedName name="Excel_BuiltIn_Print_Titles_8" localSheetId="9">'[33]COOLING TOWER-Supply'!#REF!</definedName>
    <definedName name="Excel_BuiltIn_Print_Titles_8">'[33]COOLING TOWER-Supply'!#REF!</definedName>
    <definedName name="EXIT" localSheetId="8">#REF!</definedName>
    <definedName name="EXIT" localSheetId="9">#REF!</definedName>
    <definedName name="EXIT">#REF!</definedName>
    <definedName name="Expded" localSheetId="8">#REF!</definedName>
    <definedName name="Expded" localSheetId="9">#REF!</definedName>
    <definedName name="Expded">#REF!</definedName>
    <definedName name="External" localSheetId="8">#REF!</definedName>
    <definedName name="External" localSheetId="9">#REF!</definedName>
    <definedName name="External">#REF!</definedName>
    <definedName name="f" localSheetId="8">#REF!</definedName>
    <definedName name="f" localSheetId="9">#REF!</definedName>
    <definedName name="f">#REF!</definedName>
    <definedName name="facom">'[19]TBAL9697 -group wise  sdpl'!$A$34</definedName>
    <definedName name="fafur">'[19]TBAL9697 -group wise  sdpl'!$A$34</definedName>
    <definedName name="faofeq">'[19]TBAL9697 -group wise  sdpl'!$A$34</definedName>
    <definedName name="faplm">'[19]TBAL9697 -group wise  sdpl'!$A$34</definedName>
    <definedName name="fapms">'[19]TBAL9697 -group wise  sdpl'!$A$34</definedName>
    <definedName name="faveh">'[19]TBAL9697 -group wise  sdpl'!$A$34</definedName>
    <definedName name="Fb" localSheetId="8">#REF!</definedName>
    <definedName name="Fb" localSheetId="9">#REF!</definedName>
    <definedName name="Fb">#REF!</definedName>
    <definedName name="fcompany" localSheetId="8">#REF!</definedName>
    <definedName name="fcompany" localSheetId="9">#REF!</definedName>
    <definedName name="fcompany">#REF!</definedName>
    <definedName name="Fcu" localSheetId="8">#REF!</definedName>
    <definedName name="Fcu" localSheetId="9">#REF!</definedName>
    <definedName name="Fcu">#REF!</definedName>
    <definedName name="fdate" localSheetId="8">#REF!</definedName>
    <definedName name="fdate" localSheetId="9">#REF!</definedName>
    <definedName name="fdate">#REF!</definedName>
    <definedName name="fdevise" localSheetId="8">#REF!</definedName>
    <definedName name="fdevise" localSheetId="9">#REF!</definedName>
    <definedName name="fdevise">#REF!</definedName>
    <definedName name="FF" localSheetId="8">#REF!</definedName>
    <definedName name="FF" localSheetId="9">#REF!</definedName>
    <definedName name="FF">#REF!</definedName>
    <definedName name="FGS_ACT" localSheetId="8">#REF!</definedName>
    <definedName name="FGS_ACT" localSheetId="9">#REF!</definedName>
    <definedName name="FGS_ACT">#REF!</definedName>
    <definedName name="FGS_DESC" localSheetId="8">#REF!</definedName>
    <definedName name="FGS_DESC" localSheetId="9">#REF!</definedName>
    <definedName name="FGS_DESC">#REF!</definedName>
    <definedName name="FGS_EST" localSheetId="8">#REF!</definedName>
    <definedName name="FGS_EST" localSheetId="9">#REF!</definedName>
    <definedName name="FGS_EST">#REF!</definedName>
    <definedName name="FGS_INFLOW" localSheetId="8">#REF!</definedName>
    <definedName name="FGS_INFLOW" localSheetId="9">#REF!</definedName>
    <definedName name="FGS_INFLOW">#REF!</definedName>
    <definedName name="FGS_NID" localSheetId="8">#REF!</definedName>
    <definedName name="FGS_NID" localSheetId="9">#REF!</definedName>
    <definedName name="FGS_NID">#REF!</definedName>
    <definedName name="FGS_STATUS" localSheetId="8">#REF!</definedName>
    <definedName name="FGS_STATUS" localSheetId="9">#REF!</definedName>
    <definedName name="FGS_STATUS">#REF!</definedName>
    <definedName name="FGS_TABLE" localSheetId="8">#REF!</definedName>
    <definedName name="FGS_TABLE" localSheetId="9">#REF!</definedName>
    <definedName name="FGS_TABLE">#REF!</definedName>
    <definedName name="FGS_TOW" localSheetId="8">#REF!</definedName>
    <definedName name="FGS_TOW" localSheetId="9">#REF!</definedName>
    <definedName name="FGS_TOW">#REF!</definedName>
    <definedName name="fgyhuj" localSheetId="8">City&amp;" "&amp;State</definedName>
    <definedName name="fgyhuj" localSheetId="9">[0]!City&amp;" "&amp;State</definedName>
    <definedName name="fgyhuj">City&amp;" "&amp;State</definedName>
    <definedName name="Fh" localSheetId="8">#REF!</definedName>
    <definedName name="Fh" localSheetId="9">#REF!</definedName>
    <definedName name="Fh">#REF!</definedName>
    <definedName name="Fhwl" localSheetId="8">#REF!</definedName>
    <definedName name="Fhwl" localSheetId="9">#REF!</definedName>
    <definedName name="Fhwl">#REF!</definedName>
    <definedName name="final_report" localSheetId="8">#REF!</definedName>
    <definedName name="final_report" localSheetId="9">#REF!</definedName>
    <definedName name="final_report">#REF!</definedName>
    <definedName name="final_report1" localSheetId="8">#REF!</definedName>
    <definedName name="final_report1" localSheetId="9">#REF!</definedName>
    <definedName name="final_report1">#REF!</definedName>
    <definedName name="finalre" localSheetId="8">#REF!</definedName>
    <definedName name="finalre" localSheetId="9">#REF!</definedName>
    <definedName name="finalre">#REF!</definedName>
    <definedName name="finishesArea" localSheetId="8">#REF!</definedName>
    <definedName name="finishesArea" localSheetId="9">#REF!</definedName>
    <definedName name="finishesArea">#REF!</definedName>
    <definedName name="finishesPerimeter" localSheetId="8">#REF!</definedName>
    <definedName name="finishesPerimeter" localSheetId="9">#REF!</definedName>
    <definedName name="finishesPerimeter">#REF!</definedName>
    <definedName name="FIRE" localSheetId="8">#REF!</definedName>
    <definedName name="FIRE" localSheetId="9">#REF!</definedName>
    <definedName name="FIRE">#REF!</definedName>
    <definedName name="FiscalIDNum" localSheetId="8">#REF!</definedName>
    <definedName name="FiscalIDNum" localSheetId="9">#REF!</definedName>
    <definedName name="FiscalIDNum">#REF!</definedName>
    <definedName name="FIT" localSheetId="8">#REF!</definedName>
    <definedName name="FIT" localSheetId="9">#REF!</definedName>
    <definedName name="FIT">#REF!</definedName>
    <definedName name="FIT___0" localSheetId="8">#REF!</definedName>
    <definedName name="FIT___0" localSheetId="9">#REF!</definedName>
    <definedName name="FIT___0">#REF!</definedName>
    <definedName name="FIT___13" localSheetId="8">#REF!</definedName>
    <definedName name="FIT___13" localSheetId="9">#REF!</definedName>
    <definedName name="FIT___13">#REF!</definedName>
    <definedName name="fixed_asset" localSheetId="8">#REF!</definedName>
    <definedName name="fixed_asset" localSheetId="9">#REF!</definedName>
    <definedName name="fixed_asset">#REF!</definedName>
    <definedName name="Floor" localSheetId="8">#REF!</definedName>
    <definedName name="Floor" localSheetId="9">#REF!</definedName>
    <definedName name="Floor">#REF!</definedName>
    <definedName name="Floor_Fin" localSheetId="8">#REF!</definedName>
    <definedName name="Floor_Fin" localSheetId="9">#REF!</definedName>
    <definedName name="Floor_Fin">#REF!</definedName>
    <definedName name="fo" localSheetId="8">#REF!</definedName>
    <definedName name="fo" localSheetId="9">#REF!</definedName>
    <definedName name="fo">#REF!</definedName>
    <definedName name="FORM" localSheetId="8">#REF!</definedName>
    <definedName name="FORM" localSheetId="9">#REF!</definedName>
    <definedName name="FORM">#REF!</definedName>
    <definedName name="FormTitle" localSheetId="8">#REF!</definedName>
    <definedName name="FormTitle" localSheetId="9">#REF!</definedName>
    <definedName name="FormTitle">#REF!</definedName>
    <definedName name="Foundation" localSheetId="8">#REF!</definedName>
    <definedName name="Foundation" localSheetId="9">#REF!</definedName>
    <definedName name="Foundation">#REF!</definedName>
    <definedName name="fp" localSheetId="8">#REF!</definedName>
    <definedName name="fp" localSheetId="9">#REF!</definedName>
    <definedName name="fp">#REF!</definedName>
    <definedName name="frncis" localSheetId="8">#REF!</definedName>
    <definedName name="frncis" localSheetId="9">#REF!</definedName>
    <definedName name="frncis">#REF!</definedName>
    <definedName name="Fs" localSheetId="8">#REF!</definedName>
    <definedName name="Fs" localSheetId="9">#REF!</definedName>
    <definedName name="Fs">#REF!</definedName>
    <definedName name="FT" localSheetId="8">#REF!</definedName>
    <definedName name="FT" localSheetId="9">#REF!</definedName>
    <definedName name="FT">#REF!</definedName>
    <definedName name="Fv" localSheetId="8">#REF!</definedName>
    <definedName name="Fv" localSheetId="9">#REF!</definedName>
    <definedName name="Fv">#REF!</definedName>
    <definedName name="g" localSheetId="8">#REF!</definedName>
    <definedName name="g" localSheetId="9">#REF!</definedName>
    <definedName name="g">#REF!</definedName>
    <definedName name="G_ÿ_P_" localSheetId="8">'[34]Site Dev BOQ'!#REF!</definedName>
    <definedName name="G_ÿ_P_" localSheetId="9">'[34]Site Dev BOQ'!#REF!</definedName>
    <definedName name="G_ÿ_P_">'[34]Site Dev BOQ'!#REF!</definedName>
    <definedName name="gama" localSheetId="8">#REF!</definedName>
    <definedName name="gama" localSheetId="9">#REF!</definedName>
    <definedName name="gama">#REF!</definedName>
    <definedName name="gamah" localSheetId="8">#REF!</definedName>
    <definedName name="gamah" localSheetId="9">#REF!</definedName>
    <definedName name="gamah">#REF!</definedName>
    <definedName name="GFAArea" localSheetId="8">#REF!</definedName>
    <definedName name="GFAArea" localSheetId="9">#REF!</definedName>
    <definedName name="GFAArea">#REF!</definedName>
    <definedName name="GFAPerimeter" localSheetId="8">#REF!</definedName>
    <definedName name="GFAPerimeter" localSheetId="9">#REF!</definedName>
    <definedName name="GFAPerimeter">#REF!</definedName>
    <definedName name="gggg" localSheetId="8">City&amp;" "&amp;State</definedName>
    <definedName name="gggg" localSheetId="9">[0]!City&amp;" "&amp;State</definedName>
    <definedName name="gggg">City&amp;" "&amp;State</definedName>
    <definedName name="GMAmount" localSheetId="8">#REF!</definedName>
    <definedName name="GMAmount" localSheetId="9">#REF!</definedName>
    <definedName name="GMAmount">#REF!</definedName>
    <definedName name="GMPercent" localSheetId="8">#REF!</definedName>
    <definedName name="GMPercent" localSheetId="9">#REF!</definedName>
    <definedName name="GMPercent">#REF!</definedName>
    <definedName name="GrandSuiteArea" localSheetId="8">#REF!</definedName>
    <definedName name="GrandSuiteArea" localSheetId="9">#REF!</definedName>
    <definedName name="GrandSuiteArea">#REF!</definedName>
    <definedName name="GrandSuitePerimeter" localSheetId="8">#REF!</definedName>
    <definedName name="GrandSuitePerimeter" localSheetId="9">#REF!</definedName>
    <definedName name="GrandSuitePerimeter">#REF!</definedName>
    <definedName name="Group1" localSheetId="8">#REF!</definedName>
    <definedName name="Group1" localSheetId="9">#REF!</definedName>
    <definedName name="Group1">#REF!</definedName>
    <definedName name="Group2" localSheetId="8">#REF!</definedName>
    <definedName name="Group2" localSheetId="9">#REF!</definedName>
    <definedName name="Group2">#REF!</definedName>
    <definedName name="gs" localSheetId="8">#REF!</definedName>
    <definedName name="gs" localSheetId="9">#REF!</definedName>
    <definedName name="gs">#REF!</definedName>
    <definedName name="GTOT" localSheetId="8">#REF!</definedName>
    <definedName name="GTOT" localSheetId="9">#REF!</definedName>
    <definedName name="GTOT">#REF!</definedName>
    <definedName name="h" localSheetId="8">#REF!</definedName>
    <definedName name="h" localSheetId="9">#REF!</definedName>
    <definedName name="h">#REF!</definedName>
    <definedName name="H___0" localSheetId="8">#REF!</definedName>
    <definedName name="H___0" localSheetId="9">#REF!</definedName>
    <definedName name="H___0">#REF!</definedName>
    <definedName name="H___13" localSheetId="8">#REF!</definedName>
    <definedName name="H___13" localSheetId="9">#REF!</definedName>
    <definedName name="H___13">#REF!</definedName>
    <definedName name="H0" localSheetId="8">#REF!</definedName>
    <definedName name="H0" localSheetId="9">#REF!</definedName>
    <definedName name="H0">#REF!</definedName>
    <definedName name="H0___0" localSheetId="8">#REF!</definedName>
    <definedName name="H0___0" localSheetId="9">#REF!</definedName>
    <definedName name="H0___0">#REF!</definedName>
    <definedName name="H0___13" localSheetId="8">#REF!</definedName>
    <definedName name="H0___13" localSheetId="9">#REF!</definedName>
    <definedName name="H0___13">#REF!</definedName>
    <definedName name="HARI" localSheetId="8">#REF!</definedName>
    <definedName name="HARI" localSheetId="9">#REF!</definedName>
    <definedName name="HARI">#REF!</definedName>
    <definedName name="hf" localSheetId="8">#REF!</definedName>
    <definedName name="hf" localSheetId="9">#REF!</definedName>
    <definedName name="hf">#REF!</definedName>
    <definedName name="HH" localSheetId="8">#REF!</definedName>
    <definedName name="HH" localSheetId="9">#REF!</definedName>
    <definedName name="HH">#REF!</definedName>
    <definedName name="hh___0" localSheetId="8">#REF!</definedName>
    <definedName name="hh___0" localSheetId="9">#REF!</definedName>
    <definedName name="hh___0">#REF!</definedName>
    <definedName name="hh___13" localSheetId="8">#REF!</definedName>
    <definedName name="hh___13" localSheetId="9">#REF!</definedName>
    <definedName name="hh___13">#REF!</definedName>
    <definedName name="hhhh" localSheetId="8">#REF!</definedName>
    <definedName name="hhhh" localSheetId="9">#REF!</definedName>
    <definedName name="hhhh">#REF!</definedName>
    <definedName name="hi" localSheetId="8">#REF!</definedName>
    <definedName name="hi" localSheetId="9">#REF!</definedName>
    <definedName name="hi">#REF!</definedName>
    <definedName name="HINDHUSTAN" localSheetId="8">#REF!</definedName>
    <definedName name="HINDHUSTAN" localSheetId="9">#REF!</definedName>
    <definedName name="HINDHUSTAN">#REF!</definedName>
    <definedName name="HIns" localSheetId="8">#REF!</definedName>
    <definedName name="HIns" localSheetId="9">#REF!</definedName>
    <definedName name="HIns">#REF!</definedName>
    <definedName name="ho" localSheetId="8">#REF!</definedName>
    <definedName name="ho" localSheetId="9">#REF!</definedName>
    <definedName name="ho">#REF!</definedName>
    <definedName name="ho___0" localSheetId="8">#REF!</definedName>
    <definedName name="ho___0" localSheetId="9">#REF!</definedName>
    <definedName name="ho___0">#REF!</definedName>
    <definedName name="ho___13" localSheetId="8">#REF!</definedName>
    <definedName name="ho___13" localSheetId="9">#REF!</definedName>
    <definedName name="ho___13">#REF!</definedName>
    <definedName name="hoi" localSheetId="8">#REF!</definedName>
    <definedName name="hoi" localSheetId="9">#REF!</definedName>
    <definedName name="hoi">#REF!</definedName>
    <definedName name="HollywoodTwinArea" localSheetId="8">#REF!</definedName>
    <definedName name="HollywoodTwinArea" localSheetId="9">#REF!</definedName>
    <definedName name="HollywoodTwinArea">#REF!</definedName>
    <definedName name="HollywoodTwinPerimeter" localSheetId="8">#REF!</definedName>
    <definedName name="HollywoodTwinPerimeter" localSheetId="9">#REF!</definedName>
    <definedName name="HollywoodTwinPerimeter">#REF!</definedName>
    <definedName name="Horn_Speaker" localSheetId="8">#REF!</definedName>
    <definedName name="Horn_Speaker" localSheetId="9">#REF!</definedName>
    <definedName name="Horn_Speaker">#REF!</definedName>
    <definedName name="Hotel" localSheetId="8">#REF!</definedName>
    <definedName name="Hotel" localSheetId="9">#REF!</definedName>
    <definedName name="Hotel">#REF!</definedName>
    <definedName name="HR">#N/A</definedName>
    <definedName name="hS" localSheetId="8">#REF!</definedName>
    <definedName name="hS" localSheetId="9">#REF!</definedName>
    <definedName name="hS">#REF!</definedName>
    <definedName name="hS___0" localSheetId="8">#REF!</definedName>
    <definedName name="hS___0" localSheetId="9">#REF!</definedName>
    <definedName name="hS___0">#REF!</definedName>
    <definedName name="hS___13" localSheetId="8">#REF!</definedName>
    <definedName name="hS___13" localSheetId="9">#REF!</definedName>
    <definedName name="hS___13">#REF!</definedName>
    <definedName name="HTML_CodePage" hidden="1">1252</definedName>
    <definedName name="HTML_Control" localSheetId="8" hidden="1">{"'Sheet1'!$A$4386:$N$4591"}</definedName>
    <definedName name="HTML_Control" localSheetId="9" hidden="1">{"'Sheet1'!$A$4386:$N$4591"}</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u" localSheetId="8">#REF!</definedName>
    <definedName name="Hu" localSheetId="9">#REF!</definedName>
    <definedName name="Hu">#REF!</definedName>
    <definedName name="Hu___0" localSheetId="8">#REF!</definedName>
    <definedName name="Hu___0" localSheetId="9">#REF!</definedName>
    <definedName name="Hu___0">#REF!</definedName>
    <definedName name="Hu___13" localSheetId="8">#REF!</definedName>
    <definedName name="Hu___13" localSheetId="9">#REF!</definedName>
    <definedName name="Hu___13">#REF!</definedName>
    <definedName name="HV" localSheetId="8">#REF!</definedName>
    <definedName name="HV" localSheetId="9">#REF!</definedName>
    <definedName name="HV">#REF!</definedName>
    <definedName name="hxb" localSheetId="8">#REF!</definedName>
    <definedName name="hxb" localSheetId="9">#REF!</definedName>
    <definedName name="hxb">#REF!</definedName>
    <definedName name="hxi" localSheetId="8">#REF!</definedName>
    <definedName name="hxi" localSheetId="9">#REF!</definedName>
    <definedName name="hxi">#REF!</definedName>
    <definedName name="i" localSheetId="8">#REF!</definedName>
    <definedName name="i" localSheetId="9">#REF!</definedName>
    <definedName name="i">#REF!</definedName>
    <definedName name="I.WALLLength" localSheetId="8">#REF!</definedName>
    <definedName name="I.WALLLength" localSheetId="9">#REF!</definedName>
    <definedName name="I.WALLLength">#REF!</definedName>
    <definedName name="I___0" localSheetId="8">#REF!</definedName>
    <definedName name="I___0" localSheetId="9">#REF!</definedName>
    <definedName name="I___0">#REF!</definedName>
    <definedName name="I___13" localSheetId="8">#REF!</definedName>
    <definedName name="I___13" localSheetId="9">#REF!</definedName>
    <definedName name="I___13">#REF!</definedName>
    <definedName name="idc" localSheetId="8" hidden="1">{#N/A,#N/A,TRUE,"Front";#N/A,#N/A,TRUE,"Simple Letter";#N/A,#N/A,TRUE,"Inside";#N/A,#N/A,TRUE,"Contents";#N/A,#N/A,TRUE,"Basis";#N/A,#N/A,TRUE,"Inclusions";#N/A,#N/A,TRUE,"Exclusions";#N/A,#N/A,TRUE,"Areas";#N/A,#N/A,TRUE,"Summary";#N/A,#N/A,TRUE,"Detail"}</definedName>
    <definedName name="idc" localSheetId="9"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CGK" localSheetId="8">City&amp;" "&amp;State</definedName>
    <definedName name="IDCGK" localSheetId="9">[0]!City&amp;" "&amp;State</definedName>
    <definedName name="IDCGK">City&amp;" "&amp;State</definedName>
    <definedName name="If" localSheetId="8">#REF!</definedName>
    <definedName name="If" localSheetId="9">#REF!</definedName>
    <definedName name="If">#REF!</definedName>
    <definedName name="Ig" localSheetId="8">#REF!</definedName>
    <definedName name="Ig" localSheetId="9">#REF!</definedName>
    <definedName name="Ig">#REF!</definedName>
    <definedName name="Ig___0" localSheetId="8">#REF!</definedName>
    <definedName name="Ig___0" localSheetId="9">#REF!</definedName>
    <definedName name="Ig___0">#REF!</definedName>
    <definedName name="Ig___13" localSheetId="8">#REF!</definedName>
    <definedName name="Ig___13" localSheetId="9">#REF!</definedName>
    <definedName name="Ig___13">#REF!</definedName>
    <definedName name="income" localSheetId="8">#REF!</definedName>
    <definedName name="income" localSheetId="9">#REF!</definedName>
    <definedName name="income">#REF!</definedName>
    <definedName name="indf" localSheetId="8">#REF!</definedName>
    <definedName name="indf" localSheetId="9">#REF!</definedName>
    <definedName name="indf">#REF!</definedName>
    <definedName name="INFLOW_ACT" localSheetId="8">#REF!</definedName>
    <definedName name="INFLOW_ACT" localSheetId="9">#REF!</definedName>
    <definedName name="INFLOW_ACT">#REF!</definedName>
    <definedName name="INFLOW_DESC" localSheetId="8">#REF!</definedName>
    <definedName name="INFLOW_DESC" localSheetId="9">#REF!</definedName>
    <definedName name="INFLOW_DESC">#REF!</definedName>
    <definedName name="INFLOW_EST" localSheetId="8">#REF!</definedName>
    <definedName name="INFLOW_EST" localSheetId="9">#REF!</definedName>
    <definedName name="INFLOW_EST">#REF!</definedName>
    <definedName name="INFLOW_INFLOW" localSheetId="8">#REF!</definedName>
    <definedName name="INFLOW_INFLOW" localSheetId="9">#REF!</definedName>
    <definedName name="INFLOW_INFLOW">#REF!</definedName>
    <definedName name="INFLOW_NID" localSheetId="8">#REF!</definedName>
    <definedName name="INFLOW_NID" localSheetId="9">#REF!</definedName>
    <definedName name="INFLOW_NID">#REF!</definedName>
    <definedName name="INFLOW_NPUMPS" localSheetId="8">#REF!</definedName>
    <definedName name="INFLOW_NPUMPS" localSheetId="9">#REF!</definedName>
    <definedName name="INFLOW_NPUMPS">#REF!</definedName>
    <definedName name="INFLOW_PCURVE" localSheetId="8">#REF!</definedName>
    <definedName name="INFLOW_PCURVE" localSheetId="9">#REF!</definedName>
    <definedName name="INFLOW_PCURVE">#REF!</definedName>
    <definedName name="INFLOW_STATUS" localSheetId="8">#REF!</definedName>
    <definedName name="INFLOW_STATUS" localSheetId="9">#REF!</definedName>
    <definedName name="INFLOW_STATUS">#REF!</definedName>
    <definedName name="INFLOW_TABLE" localSheetId="8">#REF!</definedName>
    <definedName name="INFLOW_TABLE" localSheetId="9">#REF!</definedName>
    <definedName name="INFLOW_TABLE">#REF!</definedName>
    <definedName name="INFRASTRUCTURE_ENTRY">'[35]INPUT SHEET'!$B$833:$F$858</definedName>
    <definedName name="insert_rows_1" localSheetId="8">'[36]Basement Budget'!#REF!</definedName>
    <definedName name="insert_rows_1" localSheetId="9">'[36]Basement Budget'!#REF!</definedName>
    <definedName name="insert_rows_1">'[36]Basement Budget'!#REF!</definedName>
    <definedName name="InstBillingMethod" localSheetId="8">#REF!</definedName>
    <definedName name="InstBillingMethod" localSheetId="9">#REF!</definedName>
    <definedName name="InstBillingMethod">#REF!</definedName>
    <definedName name="instf" localSheetId="8">#REF!</definedName>
    <definedName name="instf" localSheetId="9">#REF!</definedName>
    <definedName name="instf">#REF!</definedName>
    <definedName name="Interior" localSheetId="8">#REF!</definedName>
    <definedName name="Interior" localSheetId="9">#REF!</definedName>
    <definedName name="Interior">#REF!</definedName>
    <definedName name="investment" localSheetId="8">#REF!</definedName>
    <definedName name="investment" localSheetId="9">#REF!</definedName>
    <definedName name="investment">#REF!</definedName>
    <definedName name="ipu" localSheetId="8">#REF!</definedName>
    <definedName name="ipu" localSheetId="9">#REF!</definedName>
    <definedName name="ipu">#REF!</definedName>
    <definedName name="ipu___0" localSheetId="8">#REF!</definedName>
    <definedName name="ipu___0" localSheetId="9">#REF!</definedName>
    <definedName name="ipu___0">#REF!</definedName>
    <definedName name="ipu___13" localSheetId="8">#REF!</definedName>
    <definedName name="ipu___13" localSheetId="9">#REF!</definedName>
    <definedName name="ipu___13">#REF!</definedName>
    <definedName name="Is" localSheetId="8">#REF!</definedName>
    <definedName name="Is" localSheetId="9">#REF!</definedName>
    <definedName name="Is">#REF!</definedName>
    <definedName name="Item" localSheetId="8">[11]!City&amp;" "&amp;State</definedName>
    <definedName name="Item" localSheetId="9">[11]!City&amp;" "&amp;State</definedName>
    <definedName name="Item">[11]!City&amp;" "&amp;State</definedName>
    <definedName name="iv" localSheetId="8">#REF!</definedName>
    <definedName name="iv" localSheetId="9">#REF!</definedName>
    <definedName name="iv">#REF!</definedName>
    <definedName name="j" localSheetId="8">#REF!</definedName>
    <definedName name="j" localSheetId="9">#REF!</definedName>
    <definedName name="j">#REF!</definedName>
    <definedName name="JEJS" localSheetId="8">#REF!</definedName>
    <definedName name="JEJS" localSheetId="9">#REF!</definedName>
    <definedName name="JEJS">#REF!</definedName>
    <definedName name="JEJS___0" localSheetId="8">#REF!</definedName>
    <definedName name="JEJS___0" localSheetId="9">#REF!</definedName>
    <definedName name="JEJS___0">#REF!</definedName>
    <definedName name="JEJS___11" localSheetId="8">#REF!</definedName>
    <definedName name="JEJS___11" localSheetId="9">#REF!</definedName>
    <definedName name="JEJS___11">#REF!</definedName>
    <definedName name="JEJS___12" localSheetId="8">#REF!</definedName>
    <definedName name="JEJS___12" localSheetId="9">#REF!</definedName>
    <definedName name="JEJS___12">#REF!</definedName>
    <definedName name="JEJS___13" localSheetId="8">#REF!</definedName>
    <definedName name="JEJS___13" localSheetId="9">#REF!</definedName>
    <definedName name="JEJS___13">#REF!</definedName>
    <definedName name="JEJS___4" localSheetId="8">#REF!</definedName>
    <definedName name="JEJS___4" localSheetId="9">#REF!</definedName>
    <definedName name="JEJS___4">#REF!</definedName>
    <definedName name="jghgh" localSheetId="8">#REF!</definedName>
    <definedName name="jghgh" localSheetId="9">#REF!</definedName>
    <definedName name="jghgh">#REF!</definedName>
    <definedName name="jkjkjkj" localSheetId="8">#REF!</definedName>
    <definedName name="jkjkjkj" localSheetId="9">#REF!</definedName>
    <definedName name="jkjkjkj">#REF!</definedName>
    <definedName name="job" localSheetId="8">#REF!</definedName>
    <definedName name="job" localSheetId="9">#REF!</definedName>
    <definedName name="job">#REF!</definedName>
    <definedName name="job___0" localSheetId="8">#REF!</definedName>
    <definedName name="job___0" localSheetId="9">#REF!</definedName>
    <definedName name="job___0">#REF!</definedName>
    <definedName name="job___11" localSheetId="8">#REF!</definedName>
    <definedName name="job___11" localSheetId="9">#REF!</definedName>
    <definedName name="job___11">#REF!</definedName>
    <definedName name="job___12" localSheetId="8">#REF!</definedName>
    <definedName name="job___12" localSheetId="9">#REF!</definedName>
    <definedName name="job___12">#REF!</definedName>
    <definedName name="JobID" localSheetId="8">#REF!</definedName>
    <definedName name="JobID" localSheetId="9">#REF!</definedName>
    <definedName name="JobID">#REF!</definedName>
    <definedName name="July" localSheetId="8">City&amp;" "&amp;State</definedName>
    <definedName name="July" localSheetId="9">[0]!City&amp;" "&amp;State</definedName>
    <definedName name="July">City&amp;" "&amp;State</definedName>
    <definedName name="june" localSheetId="8">#REF!</definedName>
    <definedName name="june" localSheetId="9">#REF!</definedName>
    <definedName name="june">#REF!</definedName>
    <definedName name="k" localSheetId="8">#REF!</definedName>
    <definedName name="k" localSheetId="9">#REF!</definedName>
    <definedName name="k">#REF!</definedName>
    <definedName name="K___0" localSheetId="8">#REF!</definedName>
    <definedName name="K___0" localSheetId="9">#REF!</definedName>
    <definedName name="K___0">#REF!</definedName>
    <definedName name="K___13" localSheetId="8">#REF!</definedName>
    <definedName name="K___13" localSheetId="9">#REF!</definedName>
    <definedName name="K___13">#REF!</definedName>
    <definedName name="k1_table" localSheetId="8">#REF!</definedName>
    <definedName name="k1_table" localSheetId="9">#REF!</definedName>
    <definedName name="k1_table">#REF!</definedName>
    <definedName name="k1x" localSheetId="8">[9]Design!#REF!</definedName>
    <definedName name="k1x" localSheetId="9">[9]Design!#REF!</definedName>
    <definedName name="k1x">[9]Design!#REF!</definedName>
    <definedName name="k1y" localSheetId="8">[9]Design!#REF!</definedName>
    <definedName name="k1y" localSheetId="9">[9]Design!#REF!</definedName>
    <definedName name="k1y">[9]Design!#REF!</definedName>
    <definedName name="k2x" localSheetId="8">[9]Design!#REF!</definedName>
    <definedName name="k2x" localSheetId="9">[9]Design!#REF!</definedName>
    <definedName name="k2x">[9]Design!#REF!</definedName>
    <definedName name="k2y" localSheetId="8">[9]Design!#REF!</definedName>
    <definedName name="k2y" localSheetId="9">[9]Design!#REF!</definedName>
    <definedName name="k2y">[9]Design!#REF!</definedName>
    <definedName name="ka" localSheetId="8">#REF!</definedName>
    <definedName name="ka" localSheetId="9">#REF!</definedName>
    <definedName name="ka">#REF!</definedName>
    <definedName name="KARNA" localSheetId="8">#REF!</definedName>
    <definedName name="KARNA" localSheetId="9">#REF!</definedName>
    <definedName name="KARNA">#REF!</definedName>
    <definedName name="kb" localSheetId="8">#REF!</definedName>
    <definedName name="kb" localSheetId="9">#REF!</definedName>
    <definedName name="kb">#REF!</definedName>
    <definedName name="kc" localSheetId="8">#REF!</definedName>
    <definedName name="kc" localSheetId="9">#REF!</definedName>
    <definedName name="kc">#REF!</definedName>
    <definedName name="KEY" localSheetId="8">#REF!</definedName>
    <definedName name="KEY" localSheetId="9">#REF!</definedName>
    <definedName name="KEY">#REF!</definedName>
    <definedName name="Kh" localSheetId="8">#REF!</definedName>
    <definedName name="Kh" localSheetId="9">#REF!</definedName>
    <definedName name="Kh">#REF!</definedName>
    <definedName name="Kh___0" localSheetId="8">#REF!</definedName>
    <definedName name="Kh___0" localSheetId="9">#REF!</definedName>
    <definedName name="Kh___0">#REF!</definedName>
    <definedName name="Kh___13" localSheetId="8">#REF!</definedName>
    <definedName name="Kh___13" localSheetId="9">#REF!</definedName>
    <definedName name="Kh___13">#REF!</definedName>
    <definedName name="Ki" localSheetId="8">#REF!</definedName>
    <definedName name="Ki" localSheetId="9">#REF!</definedName>
    <definedName name="Ki">#REF!</definedName>
    <definedName name="Ki___0" localSheetId="8">#REF!</definedName>
    <definedName name="Ki___0" localSheetId="9">#REF!</definedName>
    <definedName name="Ki___0">#REF!</definedName>
    <definedName name="Ki___13" localSheetId="8">#REF!</definedName>
    <definedName name="Ki___13" localSheetId="9">#REF!</definedName>
    <definedName name="Ki___13">#REF!</definedName>
    <definedName name="Ki1___0" localSheetId="8">#REF!</definedName>
    <definedName name="Ki1___0" localSheetId="9">#REF!</definedName>
    <definedName name="Ki1___0">#REF!</definedName>
    <definedName name="Ki1___13" localSheetId="8">#REF!</definedName>
    <definedName name="Ki1___13" localSheetId="9">#REF!</definedName>
    <definedName name="Ki1___13">#REF!</definedName>
    <definedName name="Ki2___0" localSheetId="8">#REF!</definedName>
    <definedName name="Ki2___0" localSheetId="9">#REF!</definedName>
    <definedName name="Ki2___0">#REF!</definedName>
    <definedName name="Ki2___13" localSheetId="8">#REF!</definedName>
    <definedName name="Ki2___13" localSheetId="9">#REF!</definedName>
    <definedName name="Ki2___13">#REF!</definedName>
    <definedName name="Kii" localSheetId="8">#REF!</definedName>
    <definedName name="Kii" localSheetId="9">#REF!</definedName>
    <definedName name="Kii">#REF!</definedName>
    <definedName name="Kii___0" localSheetId="8">#REF!</definedName>
    <definedName name="Kii___0" localSheetId="9">#REF!</definedName>
    <definedName name="Kii___0">#REF!</definedName>
    <definedName name="Kii___13" localSheetId="8">#REF!</definedName>
    <definedName name="Kii___13" localSheetId="9">#REF!</definedName>
    <definedName name="Kii___13">#REF!</definedName>
    <definedName name="kk" localSheetId="8">#REF!</definedName>
    <definedName name="kk" localSheetId="9">#REF!</definedName>
    <definedName name="kk">#REF!</definedName>
    <definedName name="Km" localSheetId="8">#REF!</definedName>
    <definedName name="Km" localSheetId="9">#REF!</definedName>
    <definedName name="Km">#REF!</definedName>
    <definedName name="Km___0" localSheetId="8">#REF!</definedName>
    <definedName name="Km___0" localSheetId="9">#REF!</definedName>
    <definedName name="Km___0">#REF!</definedName>
    <definedName name="Km___13" localSheetId="8">#REF!</definedName>
    <definedName name="Km___13" localSheetId="9">#REF!</definedName>
    <definedName name="Km___13">#REF!</definedName>
    <definedName name="Ks" localSheetId="8">#REF!</definedName>
    <definedName name="Ks" localSheetId="9">#REF!</definedName>
    <definedName name="Ks">#REF!</definedName>
    <definedName name="Ks___0" localSheetId="8">#REF!</definedName>
    <definedName name="Ks___0" localSheetId="9">#REF!</definedName>
    <definedName name="Ks___0">#REF!</definedName>
    <definedName name="Ks___13" localSheetId="8">#REF!</definedName>
    <definedName name="Ks___13" localSheetId="9">#REF!</definedName>
    <definedName name="Ks___13">#REF!</definedName>
    <definedName name="l" localSheetId="8">#REF!</definedName>
    <definedName name="l" localSheetId="9">#REF!</definedName>
    <definedName name="l">#REF!</definedName>
    <definedName name="L___0" localSheetId="8">#REF!</definedName>
    <definedName name="L___0" localSheetId="9">#REF!</definedName>
    <definedName name="L___0">#REF!</definedName>
    <definedName name="L___13" localSheetId="8">#REF!</definedName>
    <definedName name="L___13" localSheetId="9">#REF!</definedName>
    <definedName name="L___13">#REF!</definedName>
    <definedName name="labourrecon" localSheetId="8">#REF!</definedName>
    <definedName name="labourrecon" localSheetId="9">#REF!</definedName>
    <definedName name="labourrecon">#REF!</definedName>
    <definedName name="LAbrec" localSheetId="8">#REF!</definedName>
    <definedName name="LAbrec" localSheetId="9">#REF!</definedName>
    <definedName name="LAbrec">#REF!</definedName>
    <definedName name="LAMP" localSheetId="8">#REF!</definedName>
    <definedName name="LAMP" localSheetId="9">#REF!</definedName>
    <definedName name="LAMP">#REF!</definedName>
    <definedName name="LAMP___0" localSheetId="8">#REF!</definedName>
    <definedName name="LAMP___0" localSheetId="9">#REF!</definedName>
    <definedName name="LAMP___0">#REF!</definedName>
    <definedName name="LAMP___13" localSheetId="8">#REF!</definedName>
    <definedName name="LAMP___13" localSheetId="9">#REF!</definedName>
    <definedName name="LAMP___13">#REF!</definedName>
    <definedName name="Land_adv" localSheetId="8">#REF!</definedName>
    <definedName name="Land_adv" localSheetId="9">#REF!</definedName>
    <definedName name="Land_adv">#REF!</definedName>
    <definedName name="Lc" localSheetId="8">#REF!</definedName>
    <definedName name="Lc" localSheetId="9">#REF!</definedName>
    <definedName name="Lc">#REF!</definedName>
    <definedName name="Lc___0" localSheetId="8">#REF!</definedName>
    <definedName name="Lc___0" localSheetId="9">#REF!</definedName>
    <definedName name="Lc___0">#REF!</definedName>
    <definedName name="Lc___13" localSheetId="8">#REF!</definedName>
    <definedName name="Lc___13" localSheetId="9">#REF!</definedName>
    <definedName name="Lc___13">#REF!</definedName>
    <definedName name="Lead" localSheetId="8">#REF!</definedName>
    <definedName name="Lead" localSheetId="9">#REF!</definedName>
    <definedName name="Lead">#REF!</definedName>
    <definedName name="lef" localSheetId="8">#REF!</definedName>
    <definedName name="lef" localSheetId="9">#REF!</definedName>
    <definedName name="lef">#REF!</definedName>
    <definedName name="lel" localSheetId="8">#REF!</definedName>
    <definedName name="lel" localSheetId="9">#REF!</definedName>
    <definedName name="lel">#REF!</definedName>
    <definedName name="len" localSheetId="8">#REF!</definedName>
    <definedName name="len" localSheetId="9">#REF!</definedName>
    <definedName name="len">#REF!</definedName>
    <definedName name="Lift_Lobby" localSheetId="8">#REF!</definedName>
    <definedName name="Lift_Lobby" localSheetId="9">#REF!</definedName>
    <definedName name="Lift_Lobby">#REF!</definedName>
    <definedName name="limcount" hidden="1">1</definedName>
    <definedName name="liner" localSheetId="8" hidden="1">{#N/A,#N/A,TRUE,"Front";#N/A,#N/A,TRUE,"Simple Letter";#N/A,#N/A,TRUE,"Inside";#N/A,#N/A,TRUE,"Contents";#N/A,#N/A,TRUE,"Basis";#N/A,#N/A,TRUE,"Inclusions";#N/A,#N/A,TRUE,"Exclusions";#N/A,#N/A,TRUE,"Areas";#N/A,#N/A,TRUE,"Summary";#N/A,#N/A,TRUE,"Detail"}</definedName>
    <definedName name="liner" localSheetId="9" hidden="1">{#N/A,#N/A,TRUE,"Front";#N/A,#N/A,TRUE,"Simple Letter";#N/A,#N/A,TRUE,"Inside";#N/A,#N/A,TRUE,"Contents";#N/A,#N/A,TRUE,"Basis";#N/A,#N/A,TRUE,"Inclusions";#N/A,#N/A,TRUE,"Exclusions";#N/A,#N/A,TRUE,"Areas";#N/A,#N/A,TRUE,"Summary";#N/A,#N/A,TRUE,"Detail"}</definedName>
    <definedName name="liner" hidden="1">{#N/A,#N/A,TRUE,"Front";#N/A,#N/A,TRUE,"Simple Letter";#N/A,#N/A,TRUE,"Inside";#N/A,#N/A,TRUE,"Contents";#N/A,#N/A,TRUE,"Basis";#N/A,#N/A,TRUE,"Inclusions";#N/A,#N/A,TRUE,"Exclusions";#N/A,#N/A,TRUE,"Areas";#N/A,#N/A,TRUE,"Summary";#N/A,#N/A,TRUE,"Detail"}</definedName>
    <definedName name="LL" localSheetId="8">#REF!</definedName>
    <definedName name="LL" localSheetId="9">#REF!</definedName>
    <definedName name="LL">#REF!</definedName>
    <definedName name="lll" localSheetId="8">'[25]Fill this out first...'!#REF!</definedName>
    <definedName name="lll" localSheetId="9">'[25]Fill this out first...'!#REF!</definedName>
    <definedName name="lll">'[25]Fill this out first...'!#REF!</definedName>
    <definedName name="lo" localSheetId="8">[16]Lowside!#REF!</definedName>
    <definedName name="lo" localSheetId="9">[16]Lowside!#REF!</definedName>
    <definedName name="lo">[16]Lowside!#REF!</definedName>
    <definedName name="loans_adv" localSheetId="8">#REF!</definedName>
    <definedName name="loans_adv" localSheetId="9">#REF!</definedName>
    <definedName name="loans_adv">#REF!</definedName>
    <definedName name="Lobby" localSheetId="8">#REF!</definedName>
    <definedName name="Lobby" localSheetId="9">#REF!</definedName>
    <definedName name="Lobby">#REF!</definedName>
    <definedName name="LOCAL_STAFF">'[35]RES-PLANNING'!$A$452:$D$478</definedName>
    <definedName name="LOCAL_STAFF_ENTRY">'[35]INPUT SHEET'!$B$437:$B$461</definedName>
    <definedName name="Location" localSheetId="8">City&amp;" "&amp;State</definedName>
    <definedName name="Location" localSheetId="9">[0]!City&amp;"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k" localSheetId="8">#REF!</definedName>
    <definedName name="look" localSheetId="9">#REF!</definedName>
    <definedName name="look">#REF!</definedName>
    <definedName name="LOOP" localSheetId="8">#REF!</definedName>
    <definedName name="LOOP" localSheetId="9">#REF!</definedName>
    <definedName name="LOOP">#REF!</definedName>
    <definedName name="LOWSIDE" localSheetId="8">'[37]Non-Factory'!#REF!</definedName>
    <definedName name="LOWSIDE" localSheetId="9">'[37]Non-Factory'!#REF!</definedName>
    <definedName name="LOWSIDE">'[37]Non-Factory'!#REF!</definedName>
    <definedName name="Lr" localSheetId="8">#REF!</definedName>
    <definedName name="Lr" localSheetId="9">#REF!</definedName>
    <definedName name="Lr">#REF!</definedName>
    <definedName name="Lr___0" localSheetId="8">#REF!</definedName>
    <definedName name="Lr___0" localSheetId="9">#REF!</definedName>
    <definedName name="Lr___0">#REF!</definedName>
    <definedName name="Lr___13" localSheetId="8">#REF!</definedName>
    <definedName name="Lr___13" localSheetId="9">#REF!</definedName>
    <definedName name="Lr___13">#REF!</definedName>
    <definedName name="LSD_4100" localSheetId="8">#REF!</definedName>
    <definedName name="LSD_4100" localSheetId="9">#REF!</definedName>
    <definedName name="LSD_4100">#REF!</definedName>
    <definedName name="LSNO1">[38]Lead!$P$6</definedName>
    <definedName name="LSNO13">[38]Lead!$P$22</definedName>
    <definedName name="LSNO14">[38]Lead!$P$23</definedName>
    <definedName name="LSNO2">[38]Lead!$P$7</definedName>
    <definedName name="LSNO23">[38]Lead!$P$31</definedName>
    <definedName name="LSNO25">[38]Lead!$P$32</definedName>
    <definedName name="LSNO3">[38]Lead!$P$8</definedName>
    <definedName name="LUMEN" localSheetId="8">#REF!</definedName>
    <definedName name="LUMEN" localSheetId="9">#REF!</definedName>
    <definedName name="LUMEN">#REF!</definedName>
    <definedName name="LUMEN___0" localSheetId="8">#REF!</definedName>
    <definedName name="LUMEN___0" localSheetId="9">#REF!</definedName>
    <definedName name="LUMEN___0">#REF!</definedName>
    <definedName name="LUMEN___13" localSheetId="8">#REF!</definedName>
    <definedName name="LUMEN___13" localSheetId="9">#REF!</definedName>
    <definedName name="LUMEN___13">#REF!</definedName>
    <definedName name="Lump_Sum_Discount" localSheetId="8">#REF!</definedName>
    <definedName name="Lump_Sum_Discount" localSheetId="9">#REF!</definedName>
    <definedName name="Lump_Sum_Discount">#REF!</definedName>
    <definedName name="LUX" localSheetId="8">#REF!</definedName>
    <definedName name="LUX" localSheetId="9">#REF!</definedName>
    <definedName name="LUX">#REF!</definedName>
    <definedName name="LUX___0" localSheetId="8">#REF!</definedName>
    <definedName name="LUX___0" localSheetId="9">#REF!</definedName>
    <definedName name="LUX___0">#REF!</definedName>
    <definedName name="LUX___13" localSheetId="8">#REF!</definedName>
    <definedName name="LUX___13" localSheetId="9">#REF!</definedName>
    <definedName name="LUX___13">#REF!</definedName>
    <definedName name="Lx" localSheetId="8">#REF!</definedName>
    <definedName name="Lx" localSheetId="9">#REF!</definedName>
    <definedName name="Lx">#REF!</definedName>
    <definedName name="Lx___0" localSheetId="8">#REF!</definedName>
    <definedName name="Lx___0" localSheetId="9">#REF!</definedName>
    <definedName name="Lx___0">#REF!</definedName>
    <definedName name="Lx___13" localSheetId="8">#REF!</definedName>
    <definedName name="Lx___13" localSheetId="9">#REF!</definedName>
    <definedName name="Lx___13">#REF!</definedName>
    <definedName name="M" localSheetId="8">#REF!</definedName>
    <definedName name="M" localSheetId="9">#REF!</definedName>
    <definedName name="M">#REF!</definedName>
    <definedName name="m___0" localSheetId="8">#REF!</definedName>
    <definedName name="m___0" localSheetId="9">#REF!</definedName>
    <definedName name="m___0">#REF!</definedName>
    <definedName name="m___13" localSheetId="8">#REF!</definedName>
    <definedName name="m___13" localSheetId="9">#REF!</definedName>
    <definedName name="m___13">#REF!</definedName>
    <definedName name="M1x" localSheetId="8">[9]Design!#REF!</definedName>
    <definedName name="M1x" localSheetId="9">[9]Design!#REF!</definedName>
    <definedName name="M1x">[9]Design!#REF!</definedName>
    <definedName name="M1y" localSheetId="8">[9]Design!#REF!</definedName>
    <definedName name="M1y" localSheetId="9">[9]Design!#REF!</definedName>
    <definedName name="M1y">[9]Design!#REF!</definedName>
    <definedName name="M2x" localSheetId="8">[9]Design!#REF!</definedName>
    <definedName name="M2x" localSheetId="9">[9]Design!#REF!</definedName>
    <definedName name="M2x">[9]Design!#REF!</definedName>
    <definedName name="M2y" localSheetId="8">[9]Design!#REF!</definedName>
    <definedName name="M2y" localSheetId="9">[9]Design!#REF!</definedName>
    <definedName name="M2y">[9]Design!#REF!</definedName>
    <definedName name="MACHINE_EQUIPMENT">'[35]RES-PLANNING'!$M$452:$P$478</definedName>
    <definedName name="MACHINE_EQUIPMENT_ENTRY">'[35]INPUT SHEET'!$B$487:$B$511</definedName>
    <definedName name="man" localSheetId="8">#REF!</definedName>
    <definedName name="man" localSheetId="9">#REF!</definedName>
    <definedName name="man">#REF!</definedName>
    <definedName name="man___0" localSheetId="8">#REF!</definedName>
    <definedName name="man___0" localSheetId="9">#REF!</definedName>
    <definedName name="man___0">#REF!</definedName>
    <definedName name="man___11" localSheetId="8">#REF!</definedName>
    <definedName name="man___11" localSheetId="9">#REF!</definedName>
    <definedName name="man___11">#REF!</definedName>
    <definedName name="man___12" localSheetId="8">#REF!</definedName>
    <definedName name="man___12" localSheetId="9">#REF!</definedName>
    <definedName name="man___12">#REF!</definedName>
    <definedName name="manday1" localSheetId="8">#REF!</definedName>
    <definedName name="manday1" localSheetId="9">#REF!</definedName>
    <definedName name="manday1">#REF!</definedName>
    <definedName name="manday1___0" localSheetId="8">#REF!</definedName>
    <definedName name="manday1___0" localSheetId="9">#REF!</definedName>
    <definedName name="manday1___0">#REF!</definedName>
    <definedName name="manday1___11" localSheetId="8">#REF!</definedName>
    <definedName name="manday1___11" localSheetId="9">#REF!</definedName>
    <definedName name="manday1___11">#REF!</definedName>
    <definedName name="manday1___12" localSheetId="8">#REF!</definedName>
    <definedName name="manday1___12" localSheetId="9">#REF!</definedName>
    <definedName name="manday1___12">#REF!</definedName>
    <definedName name="manpower_details" localSheetId="8">#REF!</definedName>
    <definedName name="manpower_details" localSheetId="9">#REF!</definedName>
    <definedName name="manpower_details">#REF!</definedName>
    <definedName name="MarketType" localSheetId="8">#REF!</definedName>
    <definedName name="MarketType" localSheetId="9">#REF!</definedName>
    <definedName name="MarketType">#REF!</definedName>
    <definedName name="MarketType_Text" localSheetId="8">#REF!</definedName>
    <definedName name="MarketType_Text" localSheetId="9">#REF!</definedName>
    <definedName name="MarketType_Text">#REF!</definedName>
    <definedName name="Mat">[39]Pay_Sep06!$H$59</definedName>
    <definedName name="MAT_RATE_ENTRY">'[35]INPUT SHEET'!$B$540:$D$555</definedName>
    <definedName name="Material_rate_entry" localSheetId="8">#REF!</definedName>
    <definedName name="Material_rate_entry" localSheetId="9">#REF!</definedName>
    <definedName name="Material_rate_entry">#REF!</definedName>
    <definedName name="MAY" localSheetId="8" hidden="1">'[5]final abstract'!#REF!</definedName>
    <definedName name="MAY" localSheetId="9" hidden="1">'[5]final abstract'!#REF!</definedName>
    <definedName name="MAY" hidden="1">'[5]final abstract'!#REF!</definedName>
    <definedName name="MAY03PH2" localSheetId="8">#REF!</definedName>
    <definedName name="MAY03PH2" localSheetId="9">#REF!</definedName>
    <definedName name="MAY03PH2">#REF!</definedName>
    <definedName name="MB10Length" localSheetId="8">#REF!</definedName>
    <definedName name="MB10Length" localSheetId="9">#REF!</definedName>
    <definedName name="MB10Length">#REF!</definedName>
    <definedName name="MB11Length" localSheetId="8">#REF!</definedName>
    <definedName name="MB11Length" localSheetId="9">#REF!</definedName>
    <definedName name="MB11Length">#REF!</definedName>
    <definedName name="MB12Length" localSheetId="8">#REF!</definedName>
    <definedName name="MB12Length" localSheetId="9">#REF!</definedName>
    <definedName name="MB12Length">#REF!</definedName>
    <definedName name="MB13Length" localSheetId="8">#REF!</definedName>
    <definedName name="MB13Length" localSheetId="9">#REF!</definedName>
    <definedName name="MB13Length">#REF!</definedName>
    <definedName name="MB14Length" localSheetId="8">#REF!</definedName>
    <definedName name="MB14Length" localSheetId="9">#REF!</definedName>
    <definedName name="MB14Length">#REF!</definedName>
    <definedName name="MB1Length" localSheetId="8">#REF!</definedName>
    <definedName name="MB1Length" localSheetId="9">#REF!</definedName>
    <definedName name="MB1Length">#REF!</definedName>
    <definedName name="MB2Length" localSheetId="8">#REF!</definedName>
    <definedName name="MB2Length" localSheetId="9">#REF!</definedName>
    <definedName name="MB2Length">#REF!</definedName>
    <definedName name="MB3Length" localSheetId="8">#REF!</definedName>
    <definedName name="MB3Length" localSheetId="9">#REF!</definedName>
    <definedName name="MB3Length">#REF!</definedName>
    <definedName name="MB4Length" localSheetId="8">#REF!</definedName>
    <definedName name="MB4Length" localSheetId="9">#REF!</definedName>
    <definedName name="MB4Length">#REF!</definedName>
    <definedName name="MB5Length" localSheetId="8">#REF!</definedName>
    <definedName name="MB5Length" localSheetId="9">#REF!</definedName>
    <definedName name="MB5Length">#REF!</definedName>
    <definedName name="MB6Length" localSheetId="8">#REF!</definedName>
    <definedName name="MB6Length" localSheetId="9">#REF!</definedName>
    <definedName name="MB6Length">#REF!</definedName>
    <definedName name="MB7Length" localSheetId="8">#REF!</definedName>
    <definedName name="MB7Length" localSheetId="9">#REF!</definedName>
    <definedName name="MB7Length">#REF!</definedName>
    <definedName name="MB8Length" localSheetId="8">#REF!</definedName>
    <definedName name="MB8Length" localSheetId="9">#REF!</definedName>
    <definedName name="MB8Length">#REF!</definedName>
    <definedName name="MB9Length" localSheetId="8">#REF!</definedName>
    <definedName name="MB9Length" localSheetId="9">#REF!</definedName>
    <definedName name="MB9Length">#REF!</definedName>
    <definedName name="mci" localSheetId="8">[9]Design!#REF!</definedName>
    <definedName name="mci" localSheetId="9">[9]Design!#REF!</definedName>
    <definedName name="mci">[9]Design!#REF!</definedName>
    <definedName name="MEASUREMENT" localSheetId="8">#REF!</definedName>
    <definedName name="MEASUREMENT" localSheetId="9">#REF!</definedName>
    <definedName name="MEASUREMENT">#REF!</definedName>
    <definedName name="MECHANICAL" localSheetId="8">#REF!</definedName>
    <definedName name="MECHANICAL" localSheetId="9">#REF!</definedName>
    <definedName name="MECHANICAL">#REF!</definedName>
    <definedName name="MENU" localSheetId="8">#REF!</definedName>
    <definedName name="MENU" localSheetId="9">#REF!</definedName>
    <definedName name="MENU">#REF!</definedName>
    <definedName name="MER">'[40]Project Budget Worksheet'!$A$1:$H$106</definedName>
    <definedName name="MF" localSheetId="8">#REF!</definedName>
    <definedName name="MF" localSheetId="9">#REF!</definedName>
    <definedName name="MF">#REF!</definedName>
    <definedName name="MF___0" localSheetId="8">#REF!</definedName>
    <definedName name="MF___0" localSheetId="9">#REF!</definedName>
    <definedName name="MF___0">#REF!</definedName>
    <definedName name="MF___13" localSheetId="8">#REF!</definedName>
    <definedName name="MF___13" localSheetId="9">#REF!</definedName>
    <definedName name="MF___13">#REF!</definedName>
    <definedName name="MODELE" localSheetId="8">#REF!</definedName>
    <definedName name="MODELE" localSheetId="9">#REF!</definedName>
    <definedName name="MODELE">#REF!</definedName>
    <definedName name="MONTH_CONDITION" localSheetId="8">#REF!</definedName>
    <definedName name="MONTH_CONDITION" localSheetId="9">#REF!</definedName>
    <definedName name="MONTH_CONDITION">#REF!</definedName>
    <definedName name="MONTH_DETAILS" localSheetId="8">#REF!</definedName>
    <definedName name="MONTH_DETAILS" localSheetId="9">#REF!</definedName>
    <definedName name="MONTH_DETAILS">#REF!</definedName>
    <definedName name="mortar" localSheetId="8">#REF!</definedName>
    <definedName name="mortar" localSheetId="9">#REF!</definedName>
    <definedName name="mortar">#REF!</definedName>
    <definedName name="n" localSheetId="8">#REF!</definedName>
    <definedName name="n" localSheetId="9">#REF!</definedName>
    <definedName name="n">#REF!</definedName>
    <definedName name="N___0" localSheetId="8">#REF!</definedName>
    <definedName name="N___0" localSheetId="9">#REF!</definedName>
    <definedName name="N___0">#REF!</definedName>
    <definedName name="N___13" localSheetId="8">#REF!</definedName>
    <definedName name="N___13" localSheetId="9">#REF!</definedName>
    <definedName name="N___13">#REF!</definedName>
    <definedName name="nachi" localSheetId="8">#REF!</definedName>
    <definedName name="nachi" localSheetId="9">#REF!</definedName>
    <definedName name="nachi">#REF!</definedName>
    <definedName name="nam" localSheetId="8" hidden="1">{#N/A,#N/A,TRUE,"Front";#N/A,#N/A,TRUE,"Simple Letter";#N/A,#N/A,TRUE,"Inside";#N/A,#N/A,TRUE,"Contents";#N/A,#N/A,TRUE,"Basis";#N/A,#N/A,TRUE,"Inclusions";#N/A,#N/A,TRUE,"Exclusions";#N/A,#N/A,TRUE,"Areas";#N/A,#N/A,TRUE,"Summary";#N/A,#N/A,TRUE,"Detail"}</definedName>
    <definedName name="nam" localSheetId="9" hidden="1">{#N/A,#N/A,TRUE,"Front";#N/A,#N/A,TRUE,"Simple Letter";#N/A,#N/A,TRUE,"Inside";#N/A,#N/A,TRUE,"Contents";#N/A,#N/A,TRUE,"Basis";#N/A,#N/A,TRUE,"Inclusions";#N/A,#N/A,TRUE,"Exclusions";#N/A,#N/A,TRUE,"Areas";#N/A,#N/A,TRUE,"Summary";#N/A,#N/A,TRUE,"Detail"}</definedName>
    <definedName name="nam" hidden="1">{#N/A,#N/A,TRUE,"Front";#N/A,#N/A,TRUE,"Simple Letter";#N/A,#N/A,TRUE,"Inside";#N/A,#N/A,TRUE,"Contents";#N/A,#N/A,TRUE,"Basis";#N/A,#N/A,TRUE,"Inclusions";#N/A,#N/A,TRUE,"Exclusions";#N/A,#N/A,TRUE,"Areas";#N/A,#N/A,TRUE,"Summary";#N/A,#N/A,TRUE,"Detail"}</definedName>
    <definedName name="ND" localSheetId="8">#REF!</definedName>
    <definedName name="ND" localSheetId="9">#REF!</definedName>
    <definedName name="ND">#REF!</definedName>
    <definedName name="new" localSheetId="8">#REF!</definedName>
    <definedName name="new" localSheetId="9">#REF!</definedName>
    <definedName name="new">#REF!</definedName>
    <definedName name="nn" localSheetId="8">#REF!</definedName>
    <definedName name="nn" localSheetId="9">#REF!</definedName>
    <definedName name="nn">#REF!</definedName>
    <definedName name="NN___0" localSheetId="8">#REF!</definedName>
    <definedName name="NN___0" localSheetId="9">#REF!</definedName>
    <definedName name="NN___0">#REF!</definedName>
    <definedName name="NN___13" localSheetId="8">#REF!</definedName>
    <definedName name="NN___13" localSheetId="9">#REF!</definedName>
    <definedName name="NN___13">#REF!</definedName>
    <definedName name="nnn" localSheetId="8">#REF!</definedName>
    <definedName name="nnn" localSheetId="9">#REF!</definedName>
    <definedName name="nnn">#REF!</definedName>
    <definedName name="nnnnm" localSheetId="8">#REF!</definedName>
    <definedName name="nnnnm" localSheetId="9">#REF!</definedName>
    <definedName name="nnnnm">#REF!</definedName>
    <definedName name="NODE_DEM" localSheetId="8">#REF!</definedName>
    <definedName name="NODE_DEM" localSheetId="9">#REF!</definedName>
    <definedName name="NODE_DEM">#REF!</definedName>
    <definedName name="NODE_DESC" localSheetId="8">#REF!</definedName>
    <definedName name="NODE_DESC" localSheetId="9">#REF!</definedName>
    <definedName name="NODE_DESC">#REF!</definedName>
    <definedName name="NODE_ELEV" localSheetId="8">#REF!</definedName>
    <definedName name="NODE_ELEV" localSheetId="9">#REF!</definedName>
    <definedName name="NODE_ELEV">#REF!</definedName>
    <definedName name="NODE_HGL" localSheetId="8">#REF!</definedName>
    <definedName name="NODE_HGL" localSheetId="9">#REF!</definedName>
    <definedName name="NODE_HGL">#REF!</definedName>
    <definedName name="NODE_ID" localSheetId="8">#REF!</definedName>
    <definedName name="NODE_ID" localSheetId="9">#REF!</definedName>
    <definedName name="NODE_ID">#REF!</definedName>
    <definedName name="NODE_PRES" localSheetId="8">#REF!</definedName>
    <definedName name="NODE_PRES" localSheetId="9">#REF!</definedName>
    <definedName name="NODE_PRES">#REF!</definedName>
    <definedName name="NODE_STATUS" localSheetId="8">#REF!</definedName>
    <definedName name="NODE_STATUS" localSheetId="9">#REF!</definedName>
    <definedName name="NODE_STATUS">#REF!</definedName>
    <definedName name="NODE_TABLE" localSheetId="8">#REF!</definedName>
    <definedName name="NODE_TABLE" localSheetId="9">#REF!</definedName>
    <definedName name="NODE_TABLE">#REF!</definedName>
    <definedName name="NODE_X" localSheetId="8">#REF!</definedName>
    <definedName name="NODE_X" localSheetId="9">#REF!</definedName>
    <definedName name="NODE_X">#REF!</definedName>
    <definedName name="NODE_Y" localSheetId="8">#REF!</definedName>
    <definedName name="NODE_Y" localSheetId="9">#REF!</definedName>
    <definedName name="NODE_Y">#REF!</definedName>
    <definedName name="NS" localSheetId="8">#REF!</definedName>
    <definedName name="NS" localSheetId="9">#REF!</definedName>
    <definedName name="NS">#REF!</definedName>
    <definedName name="NW" localSheetId="8">#REF!</definedName>
    <definedName name="NW" localSheetId="9">#REF!</definedName>
    <definedName name="NW">#REF!</definedName>
    <definedName name="Nx" localSheetId="8">#REF!</definedName>
    <definedName name="Nx" localSheetId="9">#REF!</definedName>
    <definedName name="Nx">#REF!</definedName>
    <definedName name="Nx___0" localSheetId="8">#REF!</definedName>
    <definedName name="Nx___0" localSheetId="9">#REF!</definedName>
    <definedName name="Nx___0">#REF!</definedName>
    <definedName name="Nx___13" localSheetId="8">#REF!</definedName>
    <definedName name="Nx___13" localSheetId="9">#REF!</definedName>
    <definedName name="Nx___13">#REF!</definedName>
    <definedName name="Ny" localSheetId="8">#REF!</definedName>
    <definedName name="Ny" localSheetId="9">#REF!</definedName>
    <definedName name="Ny">#REF!</definedName>
    <definedName name="Ny___0" localSheetId="8">#REF!</definedName>
    <definedName name="Ny___0" localSheetId="9">#REF!</definedName>
    <definedName name="Ny___0">#REF!</definedName>
    <definedName name="Ny___13" localSheetId="8">#REF!</definedName>
    <definedName name="Ny___13" localSheetId="9">#REF!</definedName>
    <definedName name="Ny___13">#REF!</definedName>
    <definedName name="o" localSheetId="8" hidden="1">{#N/A,#N/A,TRUE,"Front";#N/A,#N/A,TRUE,"Simple Letter";#N/A,#N/A,TRUE,"Inside";#N/A,#N/A,TRUE,"Contents";#N/A,#N/A,TRUE,"Basis";#N/A,#N/A,TRUE,"Inclusions";#N/A,#N/A,TRUE,"Exclusions";#N/A,#N/A,TRUE,"Areas";#N/A,#N/A,TRUE,"Summary";#N/A,#N/A,TRUE,"Detail"}</definedName>
    <definedName name="o" localSheetId="9" hidden="1">{#N/A,#N/A,TRUE,"Front";#N/A,#N/A,TRUE,"Simple Letter";#N/A,#N/A,TRUE,"Inside";#N/A,#N/A,TRUE,"Contents";#N/A,#N/A,TRUE,"Basis";#N/A,#N/A,TRUE,"Inclusions";#N/A,#N/A,TRUE,"Exclusions";#N/A,#N/A,TRUE,"Areas";#N/A,#N/A,TRUE,"Summary";#N/A,#N/A,TRUE,"Detail"}</definedName>
    <definedName name="o" hidden="1">{#N/A,#N/A,TRUE,"Front";#N/A,#N/A,TRUE,"Simple Letter";#N/A,#N/A,TRUE,"Inside";#N/A,#N/A,TRUE,"Contents";#N/A,#N/A,TRUE,"Basis";#N/A,#N/A,TRUE,"Inclusions";#N/A,#N/A,TRUE,"Exclusions";#N/A,#N/A,TRUE,"Areas";#N/A,#N/A,TRUE,"Summary";#N/A,#N/A,TRUE,"Detail"}</definedName>
    <definedName name="obpl" localSheetId="8">#REF!</definedName>
    <definedName name="obpl" localSheetId="9">#REF!</definedName>
    <definedName name="obpl">#REF!</definedName>
    <definedName name="off">#N/A</definedName>
    <definedName name="offtop1" localSheetId="8">#REF!</definedName>
    <definedName name="offtop1" localSheetId="9">#REF!</definedName>
    <definedName name="offtop1">#REF!</definedName>
    <definedName name="OLE_LINK2" localSheetId="8">#REF!</definedName>
    <definedName name="OLE_LINK2" localSheetId="9">#REF!</definedName>
    <definedName name="OLE_LINK2">#REF!</definedName>
    <definedName name="OLE_LINK2___1" localSheetId="8">#REF!</definedName>
    <definedName name="OLE_LINK2___1" localSheetId="9">#REF!</definedName>
    <definedName name="OLE_LINK2___1">#REF!</definedName>
    <definedName name="OLE_LINK2___8" localSheetId="8">#REF!</definedName>
    <definedName name="OLE_LINK2___8" localSheetId="9">#REF!</definedName>
    <definedName name="OLE_LINK2___8">#REF!</definedName>
    <definedName name="ooopp" localSheetId="8">#REF!</definedName>
    <definedName name="ooopp" localSheetId="9">#REF!</definedName>
    <definedName name="ooopp">#REF!</definedName>
    <definedName name="ordinary_blocks" localSheetId="8">#REF!</definedName>
    <definedName name="ordinary_blocks" localSheetId="9">#REF!</definedName>
    <definedName name="ordinary_blocks">#REF!</definedName>
    <definedName name="OUTTERWALLLength" localSheetId="8">#REF!</definedName>
    <definedName name="OUTTERWALLLength" localSheetId="9">#REF!</definedName>
    <definedName name="OUTTERWALLLength">#REF!</definedName>
    <definedName name="OVER_HEADS_ENTRY">'[35]INPUT SHEET'!$B$512:$B$536</definedName>
    <definedName name="Overall_Summary_Title" localSheetId="8">#REF!</definedName>
    <definedName name="Overall_Summary_Title" localSheetId="9">#REF!</definedName>
    <definedName name="Overall_Summary_Title">#REF!</definedName>
    <definedName name="OVERHEADS">'[35]RES-PLANNING'!$R$452:$S$478</definedName>
    <definedName name="OwnAcctNum" localSheetId="8">#REF!</definedName>
    <definedName name="OwnAcctNum" localSheetId="9">#REF!</definedName>
    <definedName name="OwnAcctNum">#REF!</definedName>
    <definedName name="P" localSheetId="8">'[34]Site Dev BOQ'!#REF!</definedName>
    <definedName name="P" localSheetId="9">'[34]Site Dev BOQ'!#REF!</definedName>
    <definedName name="P">'[34]Site Dev BOQ'!#REF!</definedName>
    <definedName name="p___0" localSheetId="8">#REF!</definedName>
    <definedName name="p___0" localSheetId="9">#REF!</definedName>
    <definedName name="p___0">#REF!</definedName>
    <definedName name="p___13" localSheetId="8">#REF!</definedName>
    <definedName name="p___13" localSheetId="9">#REF!</definedName>
    <definedName name="p___13">#REF!</definedName>
    <definedName name="P1R" localSheetId="8">'[25]Fill this out first...'!#REF!</definedName>
    <definedName name="P1R" localSheetId="9">'[25]Fill this out first...'!#REF!</definedName>
    <definedName name="P1R">'[25]Fill this out first...'!#REF!</definedName>
    <definedName name="P2R" localSheetId="8">'[25]Fill this out first...'!#REF!</definedName>
    <definedName name="P2R" localSheetId="9">'[25]Fill this out first...'!#REF!</definedName>
    <definedName name="P2R">'[25]Fill this out first...'!#REF!</definedName>
    <definedName name="P3R" localSheetId="8">'[25]Fill this out first...'!#REF!</definedName>
    <definedName name="P3R" localSheetId="9">'[25]Fill this out first...'!#REF!</definedName>
    <definedName name="P3R">'[25]Fill this out first...'!#REF!</definedName>
    <definedName name="P4R" localSheetId="8">'[25]Fill this out first...'!#REF!</definedName>
    <definedName name="P4R" localSheetId="9">'[25]Fill this out first...'!#REF!</definedName>
    <definedName name="P4R">'[25]Fill this out first...'!#REF!</definedName>
    <definedName name="P5R" localSheetId="8">'[25]Fill this out first...'!#REF!</definedName>
    <definedName name="P5R" localSheetId="9">'[25]Fill this out first...'!#REF!</definedName>
    <definedName name="P5R">'[25]Fill this out first...'!#REF!</definedName>
    <definedName name="pa" localSheetId="8">#REF!</definedName>
    <definedName name="pa" localSheetId="9">#REF!</definedName>
    <definedName name="pa">#REF!</definedName>
    <definedName name="pa___0" localSheetId="8">#REF!</definedName>
    <definedName name="pa___0" localSheetId="9">#REF!</definedName>
    <definedName name="pa___0">#REF!</definedName>
    <definedName name="pa___13" localSheetId="8">#REF!</definedName>
    <definedName name="pa___13" localSheetId="9">#REF!</definedName>
    <definedName name="pa___13">#REF!</definedName>
    <definedName name="PAD" localSheetId="8">#REF!</definedName>
    <definedName name="PAD" localSheetId="9">#REF!</definedName>
    <definedName name="PAD">#REF!</definedName>
    <definedName name="Pane2" localSheetId="8">#REF!</definedName>
    <definedName name="Pane2" localSheetId="9">#REF!</definedName>
    <definedName name="Pane2">#REF!</definedName>
    <definedName name="Pane2___0" localSheetId="8">#REF!</definedName>
    <definedName name="Pane2___0" localSheetId="9">#REF!</definedName>
    <definedName name="Pane2___0">#REF!</definedName>
    <definedName name="Pane2___13" localSheetId="8">#REF!</definedName>
    <definedName name="Pane2___13" localSheetId="9">#REF!</definedName>
    <definedName name="Pane2___13">#REF!</definedName>
    <definedName name="patil" localSheetId="8">#REF!</definedName>
    <definedName name="patil" localSheetId="9">#REF!</definedName>
    <definedName name="patil">#REF!</definedName>
    <definedName name="paul">50000</definedName>
    <definedName name="payment" localSheetId="8">#REF!</definedName>
    <definedName name="payment" localSheetId="9">#REF!</definedName>
    <definedName name="payment">#REF!</definedName>
    <definedName name="payment_1" localSheetId="8">#REF!</definedName>
    <definedName name="payment_1" localSheetId="9">#REF!</definedName>
    <definedName name="payment_1">#REF!</definedName>
    <definedName name="payment_2" localSheetId="8">#REF!</definedName>
    <definedName name="payment_2" localSheetId="9">#REF!</definedName>
    <definedName name="payment_2">#REF!</definedName>
    <definedName name="pb" localSheetId="8">#REF!</definedName>
    <definedName name="pb" localSheetId="9">#REF!</definedName>
    <definedName name="pb">#REF!</definedName>
    <definedName name="pb___0" localSheetId="8">#REF!</definedName>
    <definedName name="pb___0" localSheetId="9">#REF!</definedName>
    <definedName name="pb___0">#REF!</definedName>
    <definedName name="pb___11" localSheetId="8">#REF!</definedName>
    <definedName name="pb___11" localSheetId="9">#REF!</definedName>
    <definedName name="pb___11">#REF!</definedName>
    <definedName name="pb___12" localSheetId="8">#REF!</definedName>
    <definedName name="pb___12" localSheetId="9">#REF!</definedName>
    <definedName name="pb___12">#REF!</definedName>
    <definedName name="Pbx" localSheetId="8">[9]Design!#REF!</definedName>
    <definedName name="Pbx" localSheetId="9">[9]Design!#REF!</definedName>
    <definedName name="Pbx">[9]Design!#REF!</definedName>
    <definedName name="Pby" localSheetId="8">[9]Design!#REF!</definedName>
    <definedName name="Pby" localSheetId="9">[9]Design!#REF!</definedName>
    <definedName name="Pby">[9]Design!#REF!</definedName>
    <definedName name="PCC" localSheetId="8">'[41]RCC,Ret. Wall'!#REF!</definedName>
    <definedName name="PCC" localSheetId="9">'[41]RCC,Ret. Wall'!#REF!</definedName>
    <definedName name="PCC">'[41]RCC,Ret. Wall'!#REF!</definedName>
    <definedName name="PG" localSheetId="8">#REF!</definedName>
    <definedName name="PG" localSheetId="9">#REF!</definedName>
    <definedName name="PG">#REF!</definedName>
    <definedName name="pH" localSheetId="8">#REF!</definedName>
    <definedName name="pH" localSheetId="9">#REF!</definedName>
    <definedName name="pH">#REF!</definedName>
    <definedName name="pH___0" localSheetId="8">#REF!</definedName>
    <definedName name="pH___0" localSheetId="9">#REF!</definedName>
    <definedName name="pH___0">#REF!</definedName>
    <definedName name="pH___13" localSheetId="8">#REF!</definedName>
    <definedName name="pH___13" localSheetId="9">#REF!</definedName>
    <definedName name="pH___13">#REF!</definedName>
    <definedName name="PhaseCode">'[25]Fill this out first...'!$D$17</definedName>
    <definedName name="Picture4" localSheetId="8">#REF!</definedName>
    <definedName name="Picture4" localSheetId="9">#REF!</definedName>
    <definedName name="Picture4">#REF!</definedName>
    <definedName name="pilecap" localSheetId="8">City&amp;" "&amp;State</definedName>
    <definedName name="pilecap" localSheetId="9">[0]!City&amp;" "&amp;State</definedName>
    <definedName name="pilecap">City&amp;" "&amp;State</definedName>
    <definedName name="pileinraftCount" localSheetId="8">#REF!</definedName>
    <definedName name="pileinraftCount" localSheetId="9">#REF!</definedName>
    <definedName name="pileinraftCount">#REF!</definedName>
    <definedName name="PIPE_DESC" localSheetId="8">#REF!</definedName>
    <definedName name="PIPE_DESC" localSheetId="9">#REF!</definedName>
    <definedName name="PIPE_DESC">#REF!</definedName>
    <definedName name="PIPE_DIA" localSheetId="8">#REF!</definedName>
    <definedName name="PIPE_DIA" localSheetId="9">#REF!</definedName>
    <definedName name="PIPE_DIA">#REF!</definedName>
    <definedName name="PIPE_DNN" localSheetId="8">#REF!</definedName>
    <definedName name="PIPE_DNN" localSheetId="9">#REF!</definedName>
    <definedName name="PIPE_DNN">#REF!</definedName>
    <definedName name="PIPE_FLOW" localSheetId="8">#REF!</definedName>
    <definedName name="PIPE_FLOW" localSheetId="9">#REF!</definedName>
    <definedName name="PIPE_FLOW">#REF!</definedName>
    <definedName name="PIPE_HL" localSheetId="8">#REF!</definedName>
    <definedName name="PIPE_HL" localSheetId="9">#REF!</definedName>
    <definedName name="PIPE_HL">#REF!</definedName>
    <definedName name="PIPE_ID" localSheetId="8">#REF!</definedName>
    <definedName name="PIPE_ID" localSheetId="9">#REF!</definedName>
    <definedName name="PIPE_ID">#REF!</definedName>
    <definedName name="PIPE_LEN" localSheetId="8">#REF!</definedName>
    <definedName name="PIPE_LEN" localSheetId="9">#REF!</definedName>
    <definedName name="PIPE_LEN">#REF!</definedName>
    <definedName name="PIPE_ROUGH" localSheetId="8">#REF!</definedName>
    <definedName name="PIPE_ROUGH" localSheetId="9">#REF!</definedName>
    <definedName name="PIPE_ROUGH">#REF!</definedName>
    <definedName name="PIPE_STATUS" localSheetId="8">#REF!</definedName>
    <definedName name="PIPE_STATUS" localSheetId="9">#REF!</definedName>
    <definedName name="PIPE_STATUS">#REF!</definedName>
    <definedName name="PIPE_TABLE" localSheetId="8">#REF!</definedName>
    <definedName name="PIPE_TABLE" localSheetId="9">#REF!</definedName>
    <definedName name="PIPE_TABLE">#REF!</definedName>
    <definedName name="PIPE_UPN" localSheetId="8">#REF!</definedName>
    <definedName name="PIPE_UPN" localSheetId="9">#REF!</definedName>
    <definedName name="PIPE_UPN">#REF!</definedName>
    <definedName name="PIPE_VEL" localSheetId="8">#REF!</definedName>
    <definedName name="PIPE_VEL" localSheetId="9">#REF!</definedName>
    <definedName name="PIPE_VEL">#REF!</definedName>
    <definedName name="plan" localSheetId="8">#REF!</definedName>
    <definedName name="plan" localSheetId="9">#REF!</definedName>
    <definedName name="plan">#REF!</definedName>
    <definedName name="plastering" localSheetId="8">#REF!</definedName>
    <definedName name="plastering" localSheetId="9">#REF!</definedName>
    <definedName name="plastering">#REF!</definedName>
    <definedName name="po" localSheetId="8">#REF!</definedName>
    <definedName name="po" localSheetId="9">#REF!</definedName>
    <definedName name="po">#REF!</definedName>
    <definedName name="PRA" localSheetId="8">#REF!</definedName>
    <definedName name="PRA" localSheetId="9">#REF!</definedName>
    <definedName name="PRA">#REF!</definedName>
    <definedName name="Prelm_Exp" localSheetId="8">#REF!</definedName>
    <definedName name="Prelm_Exp" localSheetId="9">#REF!</definedName>
    <definedName name="Prelm_Exp">#REF!</definedName>
    <definedName name="PrevYears" localSheetId="8">'[25]Fill this out first...'!#REF!</definedName>
    <definedName name="PrevYears" localSheetId="9">'[25]Fill this out first...'!#REF!</definedName>
    <definedName name="PrevYears">'[25]Fill this out first...'!#REF!</definedName>
    <definedName name="PrimeAddress" localSheetId="8">#REF!</definedName>
    <definedName name="PrimeAddress" localSheetId="9">#REF!</definedName>
    <definedName name="PrimeAddress">#REF!</definedName>
    <definedName name="PrimeCity" localSheetId="8">#REF!</definedName>
    <definedName name="PrimeCity" localSheetId="9">#REF!</definedName>
    <definedName name="PrimeCity">#REF!</definedName>
    <definedName name="PrimeName" localSheetId="8">#REF!</definedName>
    <definedName name="PrimeName" localSheetId="9">#REF!</definedName>
    <definedName name="PrimeName">#REF!</definedName>
    <definedName name="PrimePostal" localSheetId="8">#REF!</definedName>
    <definedName name="PrimePostal" localSheetId="9">#REF!</definedName>
    <definedName name="PrimePostal">#REF!</definedName>
    <definedName name="PrimePrio" localSheetId="8">#REF!</definedName>
    <definedName name="PrimePrio" localSheetId="9">#REF!</definedName>
    <definedName name="PrimePrio">#REF!</definedName>
    <definedName name="PrimePrio_Text" localSheetId="8">#REF!</definedName>
    <definedName name="PrimePrio_Text" localSheetId="9">#REF!</definedName>
    <definedName name="PrimePrio_Text">#REF!</definedName>
    <definedName name="PrimeState" localSheetId="8">#REF!</definedName>
    <definedName name="PrimeState" localSheetId="9">#REF!</definedName>
    <definedName name="PrimeState">#REF!</definedName>
    <definedName name="Principal" localSheetId="8">#REF!</definedName>
    <definedName name="Principal" localSheetId="9">#REF!</definedName>
    <definedName name="Principal">#REF!</definedName>
    <definedName name="_xlnm.Print_Area" localSheetId="8">'PHE R1 SUMMARY'!$A$1:$F$21</definedName>
    <definedName name="_xlnm.Print_Area" localSheetId="9">'PHE WORKS-R1'!$A$1:$I$224</definedName>
    <definedName name="_xlnm.Print_Area">#REF!</definedName>
    <definedName name="PRINT_AREA_MI" localSheetId="8">#REF!</definedName>
    <definedName name="PRINT_AREA_MI" localSheetId="9">#REF!</definedName>
    <definedName name="PRINT_AREA_MI">#REF!</definedName>
    <definedName name="PRINT_AREA_MI___0" localSheetId="8">#REF!</definedName>
    <definedName name="PRINT_AREA_MI___0" localSheetId="9">#REF!</definedName>
    <definedName name="PRINT_AREA_MI___0">#REF!</definedName>
    <definedName name="Print_Range" localSheetId="8">#REF!</definedName>
    <definedName name="Print_Range" localSheetId="9">#REF!</definedName>
    <definedName name="Print_Range">#REF!</definedName>
    <definedName name="_xlnm.Print_Titles">#REF!</definedName>
    <definedName name="Print_Titles_MI" localSheetId="8">#REF!</definedName>
    <definedName name="Print_Titles_MI" localSheetId="9">#REF!</definedName>
    <definedName name="Print_Titles_MI">#REF!</definedName>
    <definedName name="ProdCode1" localSheetId="8">#REF!</definedName>
    <definedName name="ProdCode1" localSheetId="9">#REF!</definedName>
    <definedName name="ProdCode1">#REF!</definedName>
    <definedName name="ProdCode1_Text" localSheetId="8">#REF!</definedName>
    <definedName name="ProdCode1_Text" localSheetId="9">#REF!</definedName>
    <definedName name="ProdCode1_Text">#REF!</definedName>
    <definedName name="ProdCode2" localSheetId="8">#REF!</definedName>
    <definedName name="ProdCode2" localSheetId="9">#REF!</definedName>
    <definedName name="ProdCode2">#REF!</definedName>
    <definedName name="ProdCode2_Text" localSheetId="8">#REF!</definedName>
    <definedName name="ProdCode2_Text" localSheetId="9">#REF!</definedName>
    <definedName name="ProdCode2_Text">#REF!</definedName>
    <definedName name="ProdCode3" localSheetId="8">#REF!</definedName>
    <definedName name="ProdCode3" localSheetId="9">#REF!</definedName>
    <definedName name="ProdCode3">#REF!</definedName>
    <definedName name="ProdCode3_Text" localSheetId="8">#REF!</definedName>
    <definedName name="ProdCode3_Text" localSheetId="9">#REF!</definedName>
    <definedName name="ProdCode3_Text">#REF!</definedName>
    <definedName name="ProdCode4" localSheetId="8">#REF!</definedName>
    <definedName name="ProdCode4" localSheetId="9">#REF!</definedName>
    <definedName name="ProdCode4">#REF!</definedName>
    <definedName name="ProdCode4_Text" localSheetId="8">#REF!</definedName>
    <definedName name="ProdCode4_Text" localSheetId="9">#REF!</definedName>
    <definedName name="ProdCode4_Text">#REF!</definedName>
    <definedName name="ProdCode5" localSheetId="8">#REF!</definedName>
    <definedName name="ProdCode5" localSheetId="9">#REF!</definedName>
    <definedName name="ProdCode5">#REF!</definedName>
    <definedName name="ProdCode5_Text" localSheetId="8">#REF!</definedName>
    <definedName name="ProdCode5_Text" localSheetId="9">#REF!</definedName>
    <definedName name="ProdCode5_Text">#REF!</definedName>
    <definedName name="ProdPct1" localSheetId="8">#REF!</definedName>
    <definedName name="ProdPct1" localSheetId="9">#REF!</definedName>
    <definedName name="ProdPct1">#REF!</definedName>
    <definedName name="ProdPct2" localSheetId="8">#REF!</definedName>
    <definedName name="ProdPct2" localSheetId="9">#REF!</definedName>
    <definedName name="ProdPct2">#REF!</definedName>
    <definedName name="ProdPct3" localSheetId="8">#REF!</definedName>
    <definedName name="ProdPct3" localSheetId="9">#REF!</definedName>
    <definedName name="ProdPct3">#REF!</definedName>
    <definedName name="ProdPct4" localSheetId="8">#REF!</definedName>
    <definedName name="ProdPct4" localSheetId="9">#REF!</definedName>
    <definedName name="ProdPct4">#REF!</definedName>
    <definedName name="ProdPct5" localSheetId="8">#REF!</definedName>
    <definedName name="ProdPct5" localSheetId="9">#REF!</definedName>
    <definedName name="ProdPct5">#REF!</definedName>
    <definedName name="ProjAddress1" localSheetId="8">#REF!</definedName>
    <definedName name="ProjAddress1" localSheetId="9">#REF!</definedName>
    <definedName name="ProjAddress1">#REF!</definedName>
    <definedName name="ProjAddress2" localSheetId="8">#REF!</definedName>
    <definedName name="ProjAddress2" localSheetId="9">#REF!</definedName>
    <definedName name="ProjAddress2">#REF!</definedName>
    <definedName name="ProjCity" localSheetId="8">#REF!</definedName>
    <definedName name="ProjCity" localSheetId="9">#REF!</definedName>
    <definedName name="ProjCity">#REF!</definedName>
    <definedName name="ProjCountry" localSheetId="8">#REF!</definedName>
    <definedName name="ProjCountry" localSheetId="9">#REF!</definedName>
    <definedName name="ProjCountry">#REF!</definedName>
    <definedName name="ProjCounty" localSheetId="8">#REF!</definedName>
    <definedName name="ProjCounty" localSheetId="9">#REF!</definedName>
    <definedName name="ProjCounty">#REF!</definedName>
    <definedName name="project" localSheetId="8">#REF!</definedName>
    <definedName name="project" localSheetId="9">#REF!</definedName>
    <definedName name="project">#REF!</definedName>
    <definedName name="ProjectLocation">'[25]Fill this out first...'!$D$10</definedName>
    <definedName name="ProjectNumber">'[25]Fill this out first...'!$D$16</definedName>
    <definedName name="ProjectSubtitle">'[25]Fill this out first...'!$D$9</definedName>
    <definedName name="ProjectTitle">'[25]Fill this out first...'!$D$8</definedName>
    <definedName name="ProjName" localSheetId="8">#REF!</definedName>
    <definedName name="ProjName" localSheetId="9">#REF!</definedName>
    <definedName name="ProjName">#REF!</definedName>
    <definedName name="ProjNum" localSheetId="8">#REF!</definedName>
    <definedName name="ProjNum" localSheetId="9">#REF!</definedName>
    <definedName name="ProjNum">#REF!</definedName>
    <definedName name="ProjPostal" localSheetId="8">#REF!</definedName>
    <definedName name="ProjPostal" localSheetId="9">#REF!</definedName>
    <definedName name="ProjPostal">#REF!</definedName>
    <definedName name="ProjState" localSheetId="8">#REF!</definedName>
    <definedName name="ProjState" localSheetId="9">#REF!</definedName>
    <definedName name="ProjState">#REF!</definedName>
    <definedName name="PRV_CKVSTATE" localSheetId="8">#REF!</definedName>
    <definedName name="PRV_CKVSTATE" localSheetId="9">#REF!</definedName>
    <definedName name="PRV_CKVSTATE">#REF!</definedName>
    <definedName name="PRV_CVKPRESENT" localSheetId="8">#REF!</definedName>
    <definedName name="PRV_CVKPRESENT" localSheetId="9">#REF!</definedName>
    <definedName name="PRV_CVKPRESENT">#REF!</definedName>
    <definedName name="PRV_DESC" localSheetId="8">#REF!</definedName>
    <definedName name="PRV_DESC" localSheetId="9">#REF!</definedName>
    <definedName name="PRV_DESC">#REF!</definedName>
    <definedName name="PRV_OPENK" localSheetId="8">#REF!</definedName>
    <definedName name="PRV_OPENK" localSheetId="9">#REF!</definedName>
    <definedName name="PRV_OPENK">#REF!</definedName>
    <definedName name="PRV_PID" localSheetId="8">#REF!</definedName>
    <definedName name="PRV_PID" localSheetId="9">#REF!</definedName>
    <definedName name="PRV_PID">#REF!</definedName>
    <definedName name="PRV_PRVLOSS" localSheetId="8">#REF!</definedName>
    <definedName name="PRV_PRVLOSS" localSheetId="9">#REF!</definedName>
    <definedName name="PRV_PRVLOSS">#REF!</definedName>
    <definedName name="PRV_PSETTTING" localSheetId="8">#REF!</definedName>
    <definedName name="PRV_PSETTTING" localSheetId="9">#REF!</definedName>
    <definedName name="PRV_PSETTTING">#REF!</definedName>
    <definedName name="PRV_SRCNID" localSheetId="8">#REF!</definedName>
    <definedName name="PRV_SRCNID" localSheetId="9">#REF!</definedName>
    <definedName name="PRV_SRCNID">#REF!</definedName>
    <definedName name="PRV_STATUS" localSheetId="8">#REF!</definedName>
    <definedName name="PRV_STATUS" localSheetId="9">#REF!</definedName>
    <definedName name="PRV_STATUS">#REF!</definedName>
    <definedName name="PRV_TABLE" localSheetId="8">#REF!</definedName>
    <definedName name="PRV_TABLE" localSheetId="9">#REF!</definedName>
    <definedName name="PRV_TABLE">#REF!</definedName>
    <definedName name="PS" localSheetId="8">#REF!</definedName>
    <definedName name="PS" localSheetId="9">#REF!</definedName>
    <definedName name="PS">#REF!</definedName>
    <definedName name="PS___0" localSheetId="8">#REF!</definedName>
    <definedName name="PS___0" localSheetId="9">#REF!</definedName>
    <definedName name="PS___0">#REF!</definedName>
    <definedName name="PS___13" localSheetId="8">#REF!</definedName>
    <definedName name="PS___13" localSheetId="9">#REF!</definedName>
    <definedName name="PS___13">#REF!</definedName>
    <definedName name="ps_app" localSheetId="8">#REF!</definedName>
    <definedName name="ps_app" localSheetId="9">#REF!</definedName>
    <definedName name="ps_app">#REF!</definedName>
    <definedName name="ps_est" localSheetId="8">#REF!</definedName>
    <definedName name="ps_est" localSheetId="9">#REF!</definedName>
    <definedName name="ps_est">#REF!</definedName>
    <definedName name="ps_max" localSheetId="8">#REF!</definedName>
    <definedName name="ps_max" localSheetId="9">#REF!</definedName>
    <definedName name="ps_max">#REF!</definedName>
    <definedName name="ps_paid" localSheetId="8">#REF!</definedName>
    <definedName name="ps_paid" localSheetId="9">#REF!</definedName>
    <definedName name="ps_paid">#REF!</definedName>
    <definedName name="ps_quo" localSheetId="8">#REF!</definedName>
    <definedName name="ps_quo" localSheetId="9">#REF!</definedName>
    <definedName name="ps_quo">#REF!</definedName>
    <definedName name="ps_rec" localSheetId="8">#REF!</definedName>
    <definedName name="ps_rec" localSheetId="9">#REF!</definedName>
    <definedName name="ps_rec">#REF!</definedName>
    <definedName name="PSABillingMethod" localSheetId="8">#REF!</definedName>
    <definedName name="PSABillingMethod" localSheetId="9">#REF!</definedName>
    <definedName name="PSABillingMethod">#REF!</definedName>
    <definedName name="PSV_DESC" localSheetId="8">#REF!</definedName>
    <definedName name="PSV_DESC" localSheetId="9">#REF!</definedName>
    <definedName name="PSV_DESC">#REF!</definedName>
    <definedName name="PSV_DNDEMAND" localSheetId="8">#REF!</definedName>
    <definedName name="PSV_DNDEMAND" localSheetId="9">#REF!</definedName>
    <definedName name="PSV_DNDEMAND">#REF!</definedName>
    <definedName name="PSV_DNNODE" localSheetId="8">#REF!</definedName>
    <definedName name="PSV_DNNODE" localSheetId="9">#REF!</definedName>
    <definedName name="PSV_DNNODE">#REF!</definedName>
    <definedName name="PSV_NID" localSheetId="8">#REF!</definedName>
    <definedName name="PSV_NID" localSheetId="9">#REF!</definedName>
    <definedName name="PSV_NID">#REF!</definedName>
    <definedName name="PSV_OPTION" localSheetId="8">#REF!</definedName>
    <definedName name="PSV_OPTION" localSheetId="9">#REF!</definedName>
    <definedName name="PSV_OPTION">#REF!</definedName>
    <definedName name="PSV_OUTPRESS" localSheetId="8">#REF!</definedName>
    <definedName name="PSV_OUTPRESS" localSheetId="9">#REF!</definedName>
    <definedName name="PSV_OUTPRESS">#REF!</definedName>
    <definedName name="PSV_PSETTING" localSheetId="8">#REF!</definedName>
    <definedName name="PSV_PSETTING" localSheetId="9">#REF!</definedName>
    <definedName name="PSV_PSETTING">#REF!</definedName>
    <definedName name="PSV_SRCNID" localSheetId="8">#REF!</definedName>
    <definedName name="PSV_SRCNID" localSheetId="9">#REF!</definedName>
    <definedName name="PSV_SRCNID">#REF!</definedName>
    <definedName name="PSV_STATUS" localSheetId="8">#REF!</definedName>
    <definedName name="PSV_STATUS" localSheetId="9">#REF!</definedName>
    <definedName name="PSV_STATUS">#REF!</definedName>
    <definedName name="PSV_TABLE" localSheetId="8">#REF!</definedName>
    <definedName name="PSV_TABLE" localSheetId="9">#REF!</definedName>
    <definedName name="PSV_TABLE">#REF!</definedName>
    <definedName name="pummm" localSheetId="8">#REF!</definedName>
    <definedName name="pummm" localSheetId="9">#REF!</definedName>
    <definedName name="pummm">#REF!</definedName>
    <definedName name="PUMP1" localSheetId="8">#REF!</definedName>
    <definedName name="PUMP1" localSheetId="9">#REF!</definedName>
    <definedName name="PUMP1">#REF!</definedName>
    <definedName name="PUMP2" localSheetId="8">#REF!</definedName>
    <definedName name="PUMP2" localSheetId="9">#REF!</definedName>
    <definedName name="PUMP2">#REF!</definedName>
    <definedName name="PUMP3" localSheetId="8">#REF!</definedName>
    <definedName name="PUMP3" localSheetId="9">#REF!</definedName>
    <definedName name="PUMP3">#REF!</definedName>
    <definedName name="PUMP4" localSheetId="8">#REF!</definedName>
    <definedName name="PUMP4" localSheetId="9">#REF!</definedName>
    <definedName name="PUMP4">#REF!</definedName>
    <definedName name="Puz" localSheetId="8">[9]Design!#REF!</definedName>
    <definedName name="Puz" localSheetId="9">[9]Design!#REF!</definedName>
    <definedName name="Puz">[9]Design!#REF!</definedName>
    <definedName name="q" localSheetId="8">#REF!</definedName>
    <definedName name="q" localSheetId="9">#REF!</definedName>
    <definedName name="q">#REF!</definedName>
    <definedName name="Qc" localSheetId="8">#REF!</definedName>
    <definedName name="Qc" localSheetId="9">#REF!</definedName>
    <definedName name="Qc">#REF!</definedName>
    <definedName name="Qc___0" localSheetId="8">#REF!</definedName>
    <definedName name="Qc___0" localSheetId="9">#REF!</definedName>
    <definedName name="Qc___0">#REF!</definedName>
    <definedName name="Qc___13" localSheetId="8">#REF!</definedName>
    <definedName name="Qc___13" localSheetId="9">#REF!</definedName>
    <definedName name="Qc___13">#REF!</definedName>
    <definedName name="Qf" localSheetId="8">#REF!</definedName>
    <definedName name="Qf" localSheetId="9">#REF!</definedName>
    <definedName name="Qf">#REF!</definedName>
    <definedName name="Qf___0" localSheetId="8">#REF!</definedName>
    <definedName name="Qf___0" localSheetId="9">#REF!</definedName>
    <definedName name="Qf___0">#REF!</definedName>
    <definedName name="Qf___13" localSheetId="8">#REF!</definedName>
    <definedName name="Qf___13" localSheetId="9">#REF!</definedName>
    <definedName name="Qf___13">#REF!</definedName>
    <definedName name="Qi" localSheetId="8">#REF!</definedName>
    <definedName name="Qi" localSheetId="9">#REF!</definedName>
    <definedName name="Qi">#REF!</definedName>
    <definedName name="Qi___0" localSheetId="8">#REF!</definedName>
    <definedName name="Qi___0" localSheetId="9">#REF!</definedName>
    <definedName name="Qi___0">#REF!</definedName>
    <definedName name="Qi___13" localSheetId="8">#REF!</definedName>
    <definedName name="Qi___13" localSheetId="9">#REF!</definedName>
    <definedName name="Qi___13">#REF!</definedName>
    <definedName name="Ql" localSheetId="8">#REF!</definedName>
    <definedName name="Ql" localSheetId="9">#REF!</definedName>
    <definedName name="Ql">#REF!</definedName>
    <definedName name="Ql___0" localSheetId="8">#REF!</definedName>
    <definedName name="Ql___0" localSheetId="9">#REF!</definedName>
    <definedName name="Ql___0">#REF!</definedName>
    <definedName name="Ql___13" localSheetId="8">#REF!</definedName>
    <definedName name="Ql___13" localSheetId="9">#REF!</definedName>
    <definedName name="Ql___13">#REF!</definedName>
    <definedName name="qqqqqqqqqqqqqqqqq" localSheetId="8">#REF!</definedName>
    <definedName name="qqqqqqqqqqqqqqqqq" localSheetId="9">#REF!</definedName>
    <definedName name="qqqqqqqqqqqqqqqqq">#REF!</definedName>
    <definedName name="Qspan" localSheetId="8">#REF!</definedName>
    <definedName name="Qspan" localSheetId="9">#REF!</definedName>
    <definedName name="Qspan">#REF!</definedName>
    <definedName name="QtyB01">'[15]Detail 1A'!$A$84:$R$1757</definedName>
    <definedName name="QtyB02" localSheetId="8">#REF!</definedName>
    <definedName name="QtyB02" localSheetId="9">#REF!</definedName>
    <definedName name="QtyB02">#REF!</definedName>
    <definedName name="QtyB05" localSheetId="8">#REF!</definedName>
    <definedName name="QtyB05" localSheetId="9">#REF!</definedName>
    <definedName name="QtyB05">#REF!</definedName>
    <definedName name="QtyB06" localSheetId="8">#REF!</definedName>
    <definedName name="QtyB06" localSheetId="9">#REF!</definedName>
    <definedName name="QtyB06">#REF!</definedName>
    <definedName name="QtyB07" localSheetId="8">#REF!</definedName>
    <definedName name="QtyB07" localSheetId="9">#REF!</definedName>
    <definedName name="QtyB07">#REF!</definedName>
    <definedName name="quarterly_report" localSheetId="8">#REF!</definedName>
    <definedName name="quarterly_report" localSheetId="9">#REF!</definedName>
    <definedName name="quarterly_report">#REF!</definedName>
    <definedName name="QUARTZ" localSheetId="8">#REF!</definedName>
    <definedName name="QUARTZ" localSheetId="9">#REF!</definedName>
    <definedName name="QUARTZ">#REF!</definedName>
    <definedName name="qwe" localSheetId="8" hidden="1">{#N/A,#N/A,TRUE,"Front";#N/A,#N/A,TRUE,"Simple Letter";#N/A,#N/A,TRUE,"Inside";#N/A,#N/A,TRUE,"Contents";#N/A,#N/A,TRUE,"Basis";#N/A,#N/A,TRUE,"Inclusions";#N/A,#N/A,TRUE,"Exclusions";#N/A,#N/A,TRUE,"Areas";#N/A,#N/A,TRUE,"Summary";#N/A,#N/A,TRUE,"Detail"}</definedName>
    <definedName name="qwe" localSheetId="9"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RADAR">[1]radar!$F$10</definedName>
    <definedName name="RAFTArea" localSheetId="8">#REF!</definedName>
    <definedName name="RAFTArea" localSheetId="9">#REF!</definedName>
    <definedName name="RAFTArea">#REF!</definedName>
    <definedName name="RAFTPerimeter" localSheetId="8">#REF!</definedName>
    <definedName name="RAFTPerimeter" localSheetId="9">#REF!</definedName>
    <definedName name="RAFTPerimeter">#REF!</definedName>
    <definedName name="Raj" localSheetId="8" hidden="1">{"'Sheet1'!$A$4386:$N$4591"}</definedName>
    <definedName name="Raj" localSheetId="9" hidden="1">{"'Sheet1'!$A$4386:$N$4591"}</definedName>
    <definedName name="Raj" hidden="1">{"'Sheet1'!$A$4386:$N$4591"}</definedName>
    <definedName name="RateB06">[15]Rate!$Q$1:$T$279</definedName>
    <definedName name="ravi" localSheetId="8" hidden="1">{#N/A,#N/A,TRUE,"Front";#N/A,#N/A,TRUE,"Simple Letter";#N/A,#N/A,TRUE,"Inside";#N/A,#N/A,TRUE,"Contents";#N/A,#N/A,TRUE,"Basis";#N/A,#N/A,TRUE,"Inclusions";#N/A,#N/A,TRUE,"Exclusions";#N/A,#N/A,TRUE,"Areas";#N/A,#N/A,TRUE,"Summary";#N/A,#N/A,TRUE,"Detail"}</definedName>
    <definedName name="ravi" localSheetId="9"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CCABSTRACT">'[42]P.Well( RCC)'!$A$1:$H$142</definedName>
    <definedName name="RCCMEASUREMENT">'[42]P.Well( RCC)'!$I$17:$P$74</definedName>
    <definedName name="Re" localSheetId="8">#REF!</definedName>
    <definedName name="Re" localSheetId="9">#REF!</definedName>
    <definedName name="Re">#REF!</definedName>
    <definedName name="Re___0" localSheetId="8">#REF!</definedName>
    <definedName name="Re___0" localSheetId="9">#REF!</definedName>
    <definedName name="Re___0">#REF!</definedName>
    <definedName name="Re___13" localSheetId="8">#REF!</definedName>
    <definedName name="Re___13" localSheetId="9">#REF!</definedName>
    <definedName name="Re___13">#REF!</definedName>
    <definedName name="rebar_10mm" localSheetId="8">#REF!</definedName>
    <definedName name="rebar_10mm" localSheetId="9">#REF!</definedName>
    <definedName name="rebar_10mm">#REF!</definedName>
    <definedName name="rebar_12mm" localSheetId="8">#REF!</definedName>
    <definedName name="rebar_12mm" localSheetId="9">#REF!</definedName>
    <definedName name="rebar_12mm">#REF!</definedName>
    <definedName name="Rebar_16mm" localSheetId="8">#REF!</definedName>
    <definedName name="Rebar_16mm" localSheetId="9">#REF!</definedName>
    <definedName name="Rebar_16mm">#REF!</definedName>
    <definedName name="rebar_8mm" localSheetId="8">#REF!</definedName>
    <definedName name="rebar_8mm" localSheetId="9">#REF!</definedName>
    <definedName name="rebar_8mm">#REF!</definedName>
    <definedName name="RECON" localSheetId="8">'[43]Main-Material'!#REF!</definedName>
    <definedName name="RECON" localSheetId="9">'[43]Main-Material'!#REF!</definedName>
    <definedName name="RECON">'[43]Main-Material'!#REF!</definedName>
    <definedName name="_xlnm.Recorder" localSheetId="8">#REF!</definedName>
    <definedName name="_xlnm.Recorder" localSheetId="9">#REF!</definedName>
    <definedName name="_xlnm.Recorder">#REF!</definedName>
    <definedName name="rect_4_415" localSheetId="8">#REF!</definedName>
    <definedName name="rect_4_415" localSheetId="9">#REF!</definedName>
    <definedName name="rect_4_415">#REF!</definedName>
    <definedName name="REG" localSheetId="8">#REF!</definedName>
    <definedName name="REG" localSheetId="9">#REF!</definedName>
    <definedName name="REG">#REF!</definedName>
    <definedName name="REGULAR_STAFF">'[35]RES-PLANNING'!$H$452:$K$478</definedName>
    <definedName name="REGULAR_STAFF_ENTRY">'[35]INPUT SHEET'!$B$462:$B$486</definedName>
    <definedName name="rel" localSheetId="8">#REF!</definedName>
    <definedName name="rel" localSheetId="9">#REF!</definedName>
    <definedName name="rel">#REF!</definedName>
    <definedName name="RetaingWallLength" localSheetId="8">#REF!</definedName>
    <definedName name="RetaingWallLength" localSheetId="9">#REF!</definedName>
    <definedName name="RetaingWallLength">#REF!</definedName>
    <definedName name="Rev" localSheetId="8">#REF!</definedName>
    <definedName name="Rev" localSheetId="9">#REF!</definedName>
    <definedName name="Rev">#REF!</definedName>
    <definedName name="Revision" localSheetId="8">#REF!</definedName>
    <definedName name="Revision" localSheetId="9">#REF!</definedName>
    <definedName name="Revision">#REF!</definedName>
    <definedName name="rig" localSheetId="8">#REF!</definedName>
    <definedName name="rig" localSheetId="9">#REF!</definedName>
    <definedName name="rig">#REF!</definedName>
    <definedName name="Rl" localSheetId="8">#REF!</definedName>
    <definedName name="Rl" localSheetId="9">#REF!</definedName>
    <definedName name="Rl">#REF!</definedName>
    <definedName name="Rl___0" localSheetId="8">#REF!</definedName>
    <definedName name="Rl___0" localSheetId="9">#REF!</definedName>
    <definedName name="Rl___0">#REF!</definedName>
    <definedName name="Rl___13" localSheetId="8">#REF!</definedName>
    <definedName name="Rl___13" localSheetId="9">#REF!</definedName>
    <definedName name="Rl___13">#REF!</definedName>
    <definedName name="RMC" localSheetId="8">#REF!</definedName>
    <definedName name="RMC" localSheetId="9">#REF!</definedName>
    <definedName name="RMC">#REF!</definedName>
    <definedName name="Road">#N/A</definedName>
    <definedName name="robot" localSheetId="8">#REF!</definedName>
    <definedName name="robot" localSheetId="9">#REF!</definedName>
    <definedName name="robot">#REF!</definedName>
    <definedName name="rosid" localSheetId="8">#REF!</definedName>
    <definedName name="rosid" localSheetId="9">#REF!</definedName>
    <definedName name="rosid">#REF!</definedName>
    <definedName name="Rs" localSheetId="8">#REF!</definedName>
    <definedName name="Rs" localSheetId="9">#REF!</definedName>
    <definedName name="Rs">#REF!</definedName>
    <definedName name="Rs___0" localSheetId="8">#REF!</definedName>
    <definedName name="Rs___0" localSheetId="9">#REF!</definedName>
    <definedName name="Rs___0">#REF!</definedName>
    <definedName name="Rs___13" localSheetId="8">#REF!</definedName>
    <definedName name="Rs___13" localSheetId="9">#REF!</definedName>
    <definedName name="Rs___13">#REF!</definedName>
    <definedName name="Rse" localSheetId="8">#REF!</definedName>
    <definedName name="Rse" localSheetId="9">#REF!</definedName>
    <definedName name="Rse">#REF!</definedName>
    <definedName name="Rse___0" localSheetId="8">#REF!</definedName>
    <definedName name="Rse___0" localSheetId="9">#REF!</definedName>
    <definedName name="Rse___0">#REF!</definedName>
    <definedName name="Rse___13" localSheetId="8">#REF!</definedName>
    <definedName name="Rse___13" localSheetId="9">#REF!</definedName>
    <definedName name="Rse___13">#REF!</definedName>
    <definedName name="S">10.764</definedName>
    <definedName name="S0" localSheetId="8">#REF!</definedName>
    <definedName name="S0" localSheetId="9">#REF!</definedName>
    <definedName name="S0">#REF!</definedName>
    <definedName name="s11Area" localSheetId="8">#REF!</definedName>
    <definedName name="s11Area" localSheetId="9">#REF!</definedName>
    <definedName name="s11Area">#REF!</definedName>
    <definedName name="s11Perimeter" localSheetId="8">#REF!</definedName>
    <definedName name="s11Perimeter" localSheetId="9">#REF!</definedName>
    <definedName name="s11Perimeter">#REF!</definedName>
    <definedName name="sa" localSheetId="8">#REF!</definedName>
    <definedName name="sa" localSheetId="9">#REF!</definedName>
    <definedName name="sa">#REF!</definedName>
    <definedName name="SAD" localSheetId="8">#REF!</definedName>
    <definedName name="SAD" localSheetId="9">#REF!</definedName>
    <definedName name="SAD">#REF!</definedName>
    <definedName name="SalesMgr" localSheetId="8">#REF!</definedName>
    <definedName name="SalesMgr" localSheetId="9">#REF!</definedName>
    <definedName name="SalesMgr">#REF!</definedName>
    <definedName name="sandstones" localSheetId="8">#REF!</definedName>
    <definedName name="sandstones" localSheetId="9">#REF!</definedName>
    <definedName name="sandstones">#REF!</definedName>
    <definedName name="Sanitary">"$#REF!.$#REF!$#REF!"</definedName>
    <definedName name="sasa" localSheetId="8">#REF!</definedName>
    <definedName name="sasa" localSheetId="9">#REF!</definedName>
    <definedName name="sasa">#REF!</definedName>
    <definedName name="saud" localSheetId="8">#REF!</definedName>
    <definedName name="saud" localSheetId="9">#REF!</definedName>
    <definedName name="saud">#REF!</definedName>
    <definedName name="sauf" localSheetId="8">#REF!</definedName>
    <definedName name="sauf" localSheetId="9">#REF!</definedName>
    <definedName name="sauf">#REF!</definedName>
    <definedName name="sauif" localSheetId="8">#REF!</definedName>
    <definedName name="sauif" localSheetId="9">#REF!</definedName>
    <definedName name="sauif">#REF!</definedName>
    <definedName name="schools" localSheetId="8">#REF!</definedName>
    <definedName name="schools" localSheetId="9">#REF!</definedName>
    <definedName name="schools">#REF!</definedName>
    <definedName name="sd" localSheetId="8">#REF!</definedName>
    <definedName name="sd" localSheetId="9">#REF!</definedName>
    <definedName name="sd">#REF!</definedName>
    <definedName name="Sdate" localSheetId="8">#REF!</definedName>
    <definedName name="Sdate" localSheetId="9">#REF!</definedName>
    <definedName name="Sdate">#REF!</definedName>
    <definedName name="sdpl" localSheetId="8">#REF!</definedName>
    <definedName name="sdpl" localSheetId="9">#REF!</definedName>
    <definedName name="sdpl">#REF!</definedName>
    <definedName name="SDPLBS" localSheetId="8">#REF!</definedName>
    <definedName name="SDPLBS" localSheetId="9">#REF!</definedName>
    <definedName name="SDPLBS">#REF!</definedName>
    <definedName name="SDPLFA" localSheetId="8">#REF!</definedName>
    <definedName name="SDPLFA" localSheetId="9">#REF!</definedName>
    <definedName name="SDPLFA">#REF!</definedName>
    <definedName name="SDPLPL" localSheetId="8">#REF!</definedName>
    <definedName name="SDPLPL" localSheetId="9">#REF!</definedName>
    <definedName name="SDPLPL">#REF!</definedName>
    <definedName name="se" localSheetId="8">#REF!</definedName>
    <definedName name="se" localSheetId="9">#REF!</definedName>
    <definedName name="se">#REF!</definedName>
    <definedName name="SEC" localSheetId="8">#REF!</definedName>
    <definedName name="SEC" localSheetId="9">#REF!</definedName>
    <definedName name="SEC">#REF!</definedName>
    <definedName name="sec_deposit" localSheetId="8">#REF!</definedName>
    <definedName name="sec_deposit" localSheetId="9">#REF!</definedName>
    <definedName name="sec_deposit">#REF!</definedName>
    <definedName name="SECTION">#NAME?</definedName>
    <definedName name="Section_1_Title" localSheetId="8">#REF!</definedName>
    <definedName name="Section_1_Title" localSheetId="9">#REF!</definedName>
    <definedName name="Section_1_Title">#REF!</definedName>
    <definedName name="Section_2_Title" localSheetId="8">#REF!</definedName>
    <definedName name="Section_2_Title" localSheetId="9">#REF!</definedName>
    <definedName name="Section_2_Title">#REF!</definedName>
    <definedName name="Section_3_Title" localSheetId="8">#REF!</definedName>
    <definedName name="Section_3_Title" localSheetId="9">#REF!</definedName>
    <definedName name="Section_3_Title">#REF!</definedName>
    <definedName name="Section_4_Title" localSheetId="8">#REF!</definedName>
    <definedName name="Section_4_Title" localSheetId="9">#REF!</definedName>
    <definedName name="Section_4_Title">#REF!</definedName>
    <definedName name="Section_5_Title" localSheetId="8">#REF!</definedName>
    <definedName name="Section_5_Title" localSheetId="9">#REF!</definedName>
    <definedName name="Section_5_Title">#REF!</definedName>
    <definedName name="Section_6_Title" localSheetId="8">#REF!</definedName>
    <definedName name="Section_6_Title" localSheetId="9">#REF!</definedName>
    <definedName name="Section_6_Title">#REF!</definedName>
    <definedName name="Section_7_Title" localSheetId="8">#REF!</definedName>
    <definedName name="Section_7_Title" localSheetId="9">#REF!</definedName>
    <definedName name="Section_7_Title">#REF!</definedName>
    <definedName name="Section_8_Title" localSheetId="8">#REF!</definedName>
    <definedName name="Section_8_Title" localSheetId="9">#REF!</definedName>
    <definedName name="Section_8_Title">#REF!</definedName>
    <definedName name="secured" localSheetId="8">#REF!</definedName>
    <definedName name="secured" localSheetId="9">#REF!</definedName>
    <definedName name="secured">#REF!</definedName>
    <definedName name="SelectedLanguage" localSheetId="8">#REF!</definedName>
    <definedName name="SelectedLanguage" localSheetId="9">#REF!</definedName>
    <definedName name="SelectedLanguage">#REF!</definedName>
    <definedName name="sencount" hidden="1">1</definedName>
    <definedName name="SEPCONC" localSheetId="8">#REF!</definedName>
    <definedName name="SEPCONC" localSheetId="9">#REF!</definedName>
    <definedName name="SEPCONC">#REF!</definedName>
    <definedName name="Services" localSheetId="8">#REF!</definedName>
    <definedName name="Services" localSheetId="9">#REF!</definedName>
    <definedName name="Services">#REF!</definedName>
    <definedName name="SF" localSheetId="8">#REF!</definedName>
    <definedName name="SF" localSheetId="9">#REF!</definedName>
    <definedName name="SF">#REF!</definedName>
    <definedName name="sfdsfsd" localSheetId="8">[9]Design!#REF!</definedName>
    <definedName name="sfdsfsd" localSheetId="9">[9]Design!#REF!</definedName>
    <definedName name="sfdsfsd">[9]Design!#REF!</definedName>
    <definedName name="sheet1" localSheetId="8">#REF!</definedName>
    <definedName name="sheet1" localSheetId="9">#REF!</definedName>
    <definedName name="sheet1">#REF!</definedName>
    <definedName name="sheet1___0" localSheetId="8">#REF!</definedName>
    <definedName name="sheet1___0" localSheetId="9">#REF!</definedName>
    <definedName name="sheet1___0">#REF!</definedName>
    <definedName name="sheet1___13" localSheetId="8">#REF!</definedName>
    <definedName name="sheet1___13" localSheetId="9">#REF!</definedName>
    <definedName name="sheet1___13">#REF!</definedName>
    <definedName name="shiva" localSheetId="8">#REF!</definedName>
    <definedName name="shiva" localSheetId="9">#REF!</definedName>
    <definedName name="shiva">#REF!</definedName>
    <definedName name="shut" localSheetId="8">#REF!</definedName>
    <definedName name="shut" localSheetId="9">#REF!</definedName>
    <definedName name="shut">#REF!</definedName>
    <definedName name="shut_reqt" localSheetId="8">#REF!</definedName>
    <definedName name="shut_reqt" localSheetId="9">#REF!</definedName>
    <definedName name="shut_reqt">#REF!</definedName>
    <definedName name="shutter" localSheetId="8">#REF!</definedName>
    <definedName name="shutter" localSheetId="9">#REF!</definedName>
    <definedName name="shutter">#REF!</definedName>
    <definedName name="si" localSheetId="8">#REF!</definedName>
    <definedName name="si" localSheetId="9">#REF!</definedName>
    <definedName name="si">#REF!</definedName>
    <definedName name="sigma0.2" localSheetId="8">#REF!</definedName>
    <definedName name="sigma0.2" localSheetId="9">#REF!</definedName>
    <definedName name="sigma0.2">#REF!</definedName>
    <definedName name="sigma0_2" localSheetId="8">#REF!</definedName>
    <definedName name="sigma0_2" localSheetId="9">#REF!</definedName>
    <definedName name="sigma0_2">#REF!</definedName>
    <definedName name="sigmab" localSheetId="8">#REF!</definedName>
    <definedName name="sigmab" localSheetId="9">#REF!</definedName>
    <definedName name="sigmab">#REF!</definedName>
    <definedName name="sigmah" localSheetId="8">#REF!</definedName>
    <definedName name="sigmah" localSheetId="9">#REF!</definedName>
    <definedName name="sigmah">#REF!</definedName>
    <definedName name="sigmat" localSheetId="8">#REF!</definedName>
    <definedName name="sigmat" localSheetId="9">#REF!</definedName>
    <definedName name="sigmat">#REF!</definedName>
    <definedName name="sil">[39]Pay_Sep06!$H$59</definedName>
    <definedName name="SIPOREX" localSheetId="8">City&amp;" "&amp;State</definedName>
    <definedName name="SIPOREX" localSheetId="9">[0]!City&amp;" "&amp;State</definedName>
    <definedName name="SIPOREX">City&amp;" "&amp;State</definedName>
    <definedName name="SiteEstablishmentandOH">5.5/100</definedName>
    <definedName name="SiteID" localSheetId="8">#REF!</definedName>
    <definedName name="SiteID" localSheetId="9">#REF!</definedName>
    <definedName name="SiteID">#REF!</definedName>
    <definedName name="SiteType" localSheetId="8">#REF!</definedName>
    <definedName name="SiteType" localSheetId="9">#REF!</definedName>
    <definedName name="SiteType">#REF!</definedName>
    <definedName name="SITEWORKS" localSheetId="8">#REF!</definedName>
    <definedName name="SITEWORKS" localSheetId="9">#REF!</definedName>
    <definedName name="SITEWORKS">#REF!</definedName>
    <definedName name="Skirting" localSheetId="8">#REF!</definedName>
    <definedName name="Skirting" localSheetId="9">#REF!</definedName>
    <definedName name="Skirting">#REF!</definedName>
    <definedName name="SlabArea" localSheetId="8">#REF!</definedName>
    <definedName name="SlabArea" localSheetId="9">#REF!</definedName>
    <definedName name="SlabArea">#REF!</definedName>
    <definedName name="slabconArea" localSheetId="8">#REF!</definedName>
    <definedName name="slabconArea" localSheetId="9">#REF!</definedName>
    <definedName name="slabconArea">#REF!</definedName>
    <definedName name="slabconPerimeter" localSheetId="8">#REF!</definedName>
    <definedName name="slabconPerimeter" localSheetId="9">#REF!</definedName>
    <definedName name="slabconPerimeter">#REF!</definedName>
    <definedName name="SlabPerimeter" localSheetId="8">#REF!</definedName>
    <definedName name="SlabPerimeter" localSheetId="9">#REF!</definedName>
    <definedName name="SlabPerimeter">#REF!</definedName>
    <definedName name="SmallProj" localSheetId="8">#REF!</definedName>
    <definedName name="SmallProj" localSheetId="9">#REF!</definedName>
    <definedName name="SmallProj">#REF!</definedName>
    <definedName name="SmallProj_Text" localSheetId="8">#REF!</definedName>
    <definedName name="SmallProj_Text" localSheetId="9">#REF!</definedName>
    <definedName name="SmallProj_Text">#REF!</definedName>
    <definedName name="SO" localSheetId="8">#REF!</definedName>
    <definedName name="SO" localSheetId="9">#REF!</definedName>
    <definedName name="SO">#REF!</definedName>
    <definedName name="SOFITEL" localSheetId="8">#REF!</definedName>
    <definedName name="SOFITEL" localSheetId="9">#REF!</definedName>
    <definedName name="SOFITEL">#REF!</definedName>
    <definedName name="solid_blocks" localSheetId="8">#REF!</definedName>
    <definedName name="solid_blocks" localSheetId="9">#REF!</definedName>
    <definedName name="solid_blocks">#REF!</definedName>
    <definedName name="SP1Branch" localSheetId="8">#REF!</definedName>
    <definedName name="SP1Branch" localSheetId="9">#REF!</definedName>
    <definedName name="SP1Branch">#REF!</definedName>
    <definedName name="SP1Credit" localSheetId="8">#REF!</definedName>
    <definedName name="SP1Credit" localSheetId="9">#REF!</definedName>
    <definedName name="SP1Credit">#REF!</definedName>
    <definedName name="SP1Name" localSheetId="8">#REF!</definedName>
    <definedName name="SP1Name" localSheetId="9">#REF!</definedName>
    <definedName name="SP1Name">#REF!</definedName>
    <definedName name="SP1Number" localSheetId="8">#REF!</definedName>
    <definedName name="SP1Number" localSheetId="9">#REF!</definedName>
    <definedName name="SP1Number">#REF!</definedName>
    <definedName name="SP2Branch" localSheetId="8">#REF!</definedName>
    <definedName name="SP2Branch" localSheetId="9">#REF!</definedName>
    <definedName name="SP2Branch">#REF!</definedName>
    <definedName name="SP2Credit" localSheetId="8">#REF!</definedName>
    <definedName name="SP2Credit" localSheetId="9">#REF!</definedName>
    <definedName name="SP2Credit">#REF!</definedName>
    <definedName name="SP2Name" localSheetId="8">#REF!</definedName>
    <definedName name="SP2Name" localSheetId="9">#REF!</definedName>
    <definedName name="SP2Name">#REF!</definedName>
    <definedName name="SP2Number" localSheetId="8">#REF!</definedName>
    <definedName name="SP2Number" localSheetId="9">#REF!</definedName>
    <definedName name="SP2Number">#REF!</definedName>
    <definedName name="SP3Branch" localSheetId="8">#REF!</definedName>
    <definedName name="SP3Branch" localSheetId="9">#REF!</definedName>
    <definedName name="SP3Branch">#REF!</definedName>
    <definedName name="SP3Credit" localSheetId="8">#REF!</definedName>
    <definedName name="SP3Credit" localSheetId="9">#REF!</definedName>
    <definedName name="SP3Credit">#REF!</definedName>
    <definedName name="SP3Name" localSheetId="8">#REF!</definedName>
    <definedName name="SP3Name" localSheetId="9">#REF!</definedName>
    <definedName name="SP3Name">#REF!</definedName>
    <definedName name="SP3Number" localSheetId="8">#REF!</definedName>
    <definedName name="SP3Number" localSheetId="9">#REF!</definedName>
    <definedName name="SP3Number">#REF!</definedName>
    <definedName name="SP4Branch" localSheetId="8">#REF!</definedName>
    <definedName name="SP4Branch" localSheetId="9">#REF!</definedName>
    <definedName name="SP4Branch">#REF!</definedName>
    <definedName name="SP4Credit" localSheetId="8">#REF!</definedName>
    <definedName name="SP4Credit" localSheetId="9">#REF!</definedName>
    <definedName name="SP4Credit">#REF!</definedName>
    <definedName name="SP4Name" localSheetId="8">#REF!</definedName>
    <definedName name="SP4Name" localSheetId="9">#REF!</definedName>
    <definedName name="SP4Name">#REF!</definedName>
    <definedName name="SP4Number" localSheetId="8">#REF!</definedName>
    <definedName name="SP4Number" localSheetId="9">#REF!</definedName>
    <definedName name="SP4Number">#REF!</definedName>
    <definedName name="SP5Branch" localSheetId="8">#REF!</definedName>
    <definedName name="SP5Branch" localSheetId="9">#REF!</definedName>
    <definedName name="SP5Branch">#REF!</definedName>
    <definedName name="SP5Credit" localSheetId="8">#REF!</definedName>
    <definedName name="SP5Credit" localSheetId="9">#REF!</definedName>
    <definedName name="SP5Credit">#REF!</definedName>
    <definedName name="SP5Name" localSheetId="8">#REF!</definedName>
    <definedName name="SP5Name" localSheetId="9">#REF!</definedName>
    <definedName name="SP5Name">#REF!</definedName>
    <definedName name="SP5Number" localSheetId="8">#REF!</definedName>
    <definedName name="SP5Number" localSheetId="9">#REF!</definedName>
    <definedName name="SP5Number">#REF!</definedName>
    <definedName name="SpecClass" localSheetId="8">#REF!</definedName>
    <definedName name="SpecClass" localSheetId="9">#REF!</definedName>
    <definedName name="SpecClass">#REF!</definedName>
    <definedName name="SpecClass_Text" localSheetId="8">#REF!</definedName>
    <definedName name="SpecClass_Text" localSheetId="9">#REF!</definedName>
    <definedName name="SpecClass_Text">#REF!</definedName>
    <definedName name="SpecEnv1" localSheetId="8">#REF!</definedName>
    <definedName name="SpecEnv1" localSheetId="9">#REF!</definedName>
    <definedName name="SpecEnv1">#REF!</definedName>
    <definedName name="SpecEnv1_Text" localSheetId="8">#REF!</definedName>
    <definedName name="SpecEnv1_Text" localSheetId="9">#REF!</definedName>
    <definedName name="SpecEnv1_Text">#REF!</definedName>
    <definedName name="SpecEnv2" localSheetId="8">#REF!</definedName>
    <definedName name="SpecEnv2" localSheetId="9">#REF!</definedName>
    <definedName name="SpecEnv2">#REF!</definedName>
    <definedName name="SpecEnv2_Text" localSheetId="8">#REF!</definedName>
    <definedName name="SpecEnv2_Text" localSheetId="9">#REF!</definedName>
    <definedName name="SpecEnv2_Text">#REF!</definedName>
    <definedName name="SQRT__1___0.6___1.0" localSheetId="8">#REF!</definedName>
    <definedName name="SQRT__1___0.6___1.0" localSheetId="9">#REF!</definedName>
    <definedName name="SQRT__1___0.6___1.0">#REF!</definedName>
    <definedName name="SQRT__1___0_6___1_0" localSheetId="8">#REF!</definedName>
    <definedName name="SQRT__1___0_6___1_0" localSheetId="9">#REF!</definedName>
    <definedName name="SQRT__1___0_6___1_0">#REF!</definedName>
    <definedName name="SQRT__1___0_6___1_0___0" localSheetId="8">#REF!</definedName>
    <definedName name="SQRT__1___0_6___1_0___0" localSheetId="9">#REF!</definedName>
    <definedName name="SQRT__1___0_6___1_0___0">#REF!</definedName>
    <definedName name="SQRT__1___0_6___1_0___13" localSheetId="8">#REF!</definedName>
    <definedName name="SQRT__1___0_6___1_0___13" localSheetId="9">#REF!</definedName>
    <definedName name="SQRT__1___0_6___1_0___13">#REF!</definedName>
    <definedName name="SRI" localSheetId="8" hidden="1">'[5]final abstract'!#REF!</definedName>
    <definedName name="SRI" localSheetId="9" hidden="1">'[5]final abstract'!#REF!</definedName>
    <definedName name="SRI" hidden="1">'[5]final abstract'!#REF!</definedName>
    <definedName name="SrvcCode1" localSheetId="8">#REF!</definedName>
    <definedName name="SrvcCode1" localSheetId="9">#REF!</definedName>
    <definedName name="SrvcCode1">#REF!</definedName>
    <definedName name="SrvcCode1_Text" localSheetId="8">#REF!</definedName>
    <definedName name="SrvcCode1_Text" localSheetId="9">#REF!</definedName>
    <definedName name="SrvcCode1_Text">#REF!</definedName>
    <definedName name="SrvcCode2" localSheetId="8">#REF!</definedName>
    <definedName name="SrvcCode2" localSheetId="9">#REF!</definedName>
    <definedName name="SrvcCode2">#REF!</definedName>
    <definedName name="SrvcCode2_Text" localSheetId="8">#REF!</definedName>
    <definedName name="SrvcCode2_Text" localSheetId="9">#REF!</definedName>
    <definedName name="SrvcCode2_Text">#REF!</definedName>
    <definedName name="SrvcCode3" localSheetId="8">#REF!</definedName>
    <definedName name="SrvcCode3" localSheetId="9">#REF!</definedName>
    <definedName name="SrvcCode3">#REF!</definedName>
    <definedName name="SrvcCode3_Text" localSheetId="8">#REF!</definedName>
    <definedName name="SrvcCode3_Text" localSheetId="9">#REF!</definedName>
    <definedName name="SrvcCode3_Text">#REF!</definedName>
    <definedName name="SrvcCode4" localSheetId="8">#REF!</definedName>
    <definedName name="SrvcCode4" localSheetId="9">#REF!</definedName>
    <definedName name="SrvcCode4">#REF!</definedName>
    <definedName name="SrvcCode4_Text" localSheetId="8">#REF!</definedName>
    <definedName name="SrvcCode4_Text" localSheetId="9">#REF!</definedName>
    <definedName name="SrvcCode4_Text">#REF!</definedName>
    <definedName name="SrvcCode5" localSheetId="8">#REF!</definedName>
    <definedName name="SrvcCode5" localSheetId="9">#REF!</definedName>
    <definedName name="SrvcCode5">#REF!</definedName>
    <definedName name="SrvcCode5_Text" localSheetId="8">#REF!</definedName>
    <definedName name="SrvcCode5_Text" localSheetId="9">#REF!</definedName>
    <definedName name="SrvcCode5_Text">#REF!</definedName>
    <definedName name="ssd" localSheetId="8">City&amp;" "&amp;State</definedName>
    <definedName name="ssd" localSheetId="9">[0]!City&amp;" "&amp;State</definedName>
    <definedName name="ssd">City&amp;" "&amp;State</definedName>
    <definedName name="sta" localSheetId="8">City&amp;" "&amp;State</definedName>
    <definedName name="sta" localSheetId="9">[0]!City&amp;" "&amp;State</definedName>
    <definedName name="sta">City&amp;" "&amp;State</definedName>
    <definedName name="Stage">'[25]Fill this out first...'!$D$12</definedName>
    <definedName name="Staircase" localSheetId="8">#REF!</definedName>
    <definedName name="Staircase" localSheetId="9">#REF!</definedName>
    <definedName name="Staircase">#REF!</definedName>
    <definedName name="Start_Date" localSheetId="8">#REF!</definedName>
    <definedName name="Start_Date" localSheetId="9">#REF!</definedName>
    <definedName name="Start_Date">#REF!</definedName>
    <definedName name="StartDate" localSheetId="8">#REF!</definedName>
    <definedName name="StartDate" localSheetId="9">#REF!</definedName>
    <definedName name="StartDate">#REF!</definedName>
    <definedName name="StrID" localSheetId="8">#REF!</definedName>
    <definedName name="StrID" localSheetId="9">#REF!</definedName>
    <definedName name="StrID">#REF!</definedName>
    <definedName name="Strucsteel" localSheetId="8">#REF!</definedName>
    <definedName name="Strucsteel" localSheetId="9">#REF!</definedName>
    <definedName name="Strucsteel">#REF!</definedName>
    <definedName name="STRUCTURAL" localSheetId="8">#REF!</definedName>
    <definedName name="STRUCTURAL" localSheetId="9">#REF!</definedName>
    <definedName name="STRUCTURAL">#REF!</definedName>
    <definedName name="structure" localSheetId="8">#REF!</definedName>
    <definedName name="structure" localSheetId="9">#REF!</definedName>
    <definedName name="structure">#REF!</definedName>
    <definedName name="StudioArea" localSheetId="8">#REF!</definedName>
    <definedName name="StudioArea" localSheetId="9">#REF!</definedName>
    <definedName name="StudioArea">#REF!</definedName>
    <definedName name="StudioPerimeter" localSheetId="8">#REF!</definedName>
    <definedName name="StudioPerimeter" localSheetId="9">#REF!</definedName>
    <definedName name="StudioPerimeter">#REF!</definedName>
    <definedName name="Subject" localSheetId="8">#REF!</definedName>
    <definedName name="Subject" localSheetId="9">#REF!</definedName>
    <definedName name="Subject">#REF!</definedName>
    <definedName name="substructure" localSheetId="8">#REF!</definedName>
    <definedName name="substructure" localSheetId="9">#REF!</definedName>
    <definedName name="substructure">#REF!</definedName>
    <definedName name="suite17Area" localSheetId="8">#REF!</definedName>
    <definedName name="suite17Area" localSheetId="9">#REF!</definedName>
    <definedName name="suite17Area">#REF!</definedName>
    <definedName name="suite17Perimeter" localSheetId="8">#REF!</definedName>
    <definedName name="suite17Perimeter" localSheetId="9">#REF!</definedName>
    <definedName name="suite17Perimeter">#REF!</definedName>
    <definedName name="SUM" localSheetId="8">#REF!</definedName>
    <definedName name="SUM" localSheetId="9">#REF!</definedName>
    <definedName name="SUM">#REF!</definedName>
    <definedName name="SUNIL" localSheetId="8">#REF!</definedName>
    <definedName name="SUNIL" localSheetId="9">#REF!</definedName>
    <definedName name="SUNIL">#REF!</definedName>
    <definedName name="SUNIL1" localSheetId="8">#REF!</definedName>
    <definedName name="SUNIL1" localSheetId="9">#REF!</definedName>
    <definedName name="SUNIL1">#REF!</definedName>
    <definedName name="SUNIL3" localSheetId="8">#REF!</definedName>
    <definedName name="SUNIL3" localSheetId="9">#REF!</definedName>
    <definedName name="SUNIL3">#REF!</definedName>
    <definedName name="superstructure" localSheetId="8">#REF!</definedName>
    <definedName name="superstructure" localSheetId="9">#REF!</definedName>
    <definedName name="superstructure">#REF!</definedName>
    <definedName name="Supply_of_toilet_mirrors_Tower_A_in_2nd_floor" localSheetId="8">#REF!</definedName>
    <definedName name="Supply_of_toilet_mirrors_Tower_A_in_2nd_floor" localSheetId="9">#REF!</definedName>
    <definedName name="Supply_of_toilet_mirrors_Tower_A_in_2nd_floor">#REF!</definedName>
    <definedName name="SURYA" localSheetId="8">#REF!</definedName>
    <definedName name="SURYA" localSheetId="9">#REF!</definedName>
    <definedName name="SURYA">#REF!</definedName>
    <definedName name="swf" localSheetId="8">#REF!</definedName>
    <definedName name="swf" localSheetId="9">#REF!</definedName>
    <definedName name="swf">#REF!</definedName>
    <definedName name="T" localSheetId="8">#REF!</definedName>
    <definedName name="T" localSheetId="9">#REF!</definedName>
    <definedName name="T">#REF!</definedName>
    <definedName name="t___0" localSheetId="8">#REF!</definedName>
    <definedName name="t___0" localSheetId="9">#REF!</definedName>
    <definedName name="t___0">#REF!</definedName>
    <definedName name="t___13" localSheetId="8">#REF!</definedName>
    <definedName name="t___13" localSheetId="9">#REF!</definedName>
    <definedName name="t___13">#REF!</definedName>
    <definedName name="T0" localSheetId="8">#REF!</definedName>
    <definedName name="T0" localSheetId="9">#REF!</definedName>
    <definedName name="T0">#REF!</definedName>
    <definedName name="Table" localSheetId="8">#REF!</definedName>
    <definedName name="Table" localSheetId="9">#REF!</definedName>
    <definedName name="Table">#REF!</definedName>
    <definedName name="table1">'[2]SPT vs PHI'!$E$2:$F$47</definedName>
    <definedName name="TABLE2" localSheetId="8">#REF!</definedName>
    <definedName name="TABLE2" localSheetId="9">#REF!</definedName>
    <definedName name="TABLE2">#REF!</definedName>
    <definedName name="TableRange" localSheetId="8">#REF!</definedName>
    <definedName name="TableRange" localSheetId="9">#REF!</definedName>
    <definedName name="TableRange">#REF!</definedName>
    <definedName name="TaxTV">10%</definedName>
    <definedName name="TaxXL">5%</definedName>
    <definedName name="temp" localSheetId="8" hidden="1">{#N/A,#N/A,TRUE,"Front";#N/A,#N/A,TRUE,"Simple Letter";#N/A,#N/A,TRUE,"Inside";#N/A,#N/A,TRUE,"Contents";#N/A,#N/A,TRUE,"Basis";#N/A,#N/A,TRUE,"Inclusions";#N/A,#N/A,TRUE,"Exclusions";#N/A,#N/A,TRUE,"Areas";#N/A,#N/A,TRUE,"Summary";#N/A,#N/A,TRUE,"Detail"}</definedName>
    <definedName name="temp" localSheetId="9"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8" hidden="1">{#N/A,#N/A,TRUE,"Front";#N/A,#N/A,TRUE,"Simple Letter";#N/A,#N/A,TRUE,"Inside";#N/A,#N/A,TRUE,"Contents";#N/A,#N/A,TRUE,"Basis";#N/A,#N/A,TRUE,"Inclusions";#N/A,#N/A,TRUE,"Exclusions";#N/A,#N/A,TRUE,"Areas";#N/A,#N/A,TRUE,"Summary";#N/A,#N/A,TRUE,"Detail"}</definedName>
    <definedName name="temp1" localSheetId="9"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s" localSheetId="8">#REF!</definedName>
    <definedName name="TEs" localSheetId="9">#REF!</definedName>
    <definedName name="TEs">#REF!</definedName>
    <definedName name="TEs___0" localSheetId="8">#REF!</definedName>
    <definedName name="TEs___0" localSheetId="9">#REF!</definedName>
    <definedName name="TEs___0">#REF!</definedName>
    <definedName name="TEs___13" localSheetId="8">#REF!</definedName>
    <definedName name="TEs___13" localSheetId="9">#REF!</definedName>
    <definedName name="TEs___13">#REF!</definedName>
    <definedName name="TEt" localSheetId="8">#REF!</definedName>
    <definedName name="TEt" localSheetId="9">#REF!</definedName>
    <definedName name="TEt">#REF!</definedName>
    <definedName name="TEt___0" localSheetId="8">#REF!</definedName>
    <definedName name="TEt___0" localSheetId="9">#REF!</definedName>
    <definedName name="TEt___0">#REF!</definedName>
    <definedName name="TEt___13" localSheetId="8">#REF!</definedName>
    <definedName name="TEt___13" localSheetId="9">#REF!</definedName>
    <definedName name="TEt___13">#REF!</definedName>
    <definedName name="TF" localSheetId="8">#REF!</definedName>
    <definedName name="TF" localSheetId="9">#REF!</definedName>
    <definedName name="TF">#REF!</definedName>
    <definedName name="TierCode" localSheetId="8">#REF!</definedName>
    <definedName name="TierCode" localSheetId="9">#REF!</definedName>
    <definedName name="TierCode">#REF!</definedName>
    <definedName name="TierCode_Text" localSheetId="8">#REF!</definedName>
    <definedName name="TierCode_Text" localSheetId="9">#REF!</definedName>
    <definedName name="TierCode_Text">#REF!</definedName>
    <definedName name="Title">'[44]Civil Boq'!$D$3</definedName>
    <definedName name="Title1" localSheetId="8">#REF!</definedName>
    <definedName name="Title1" localSheetId="9">#REF!</definedName>
    <definedName name="Title1">#REF!</definedName>
    <definedName name="Title2" localSheetId="8">#REF!</definedName>
    <definedName name="Title2" localSheetId="9">#REF!</definedName>
    <definedName name="Title2">#REF!</definedName>
    <definedName name="tol" localSheetId="8">#REF!</definedName>
    <definedName name="tol" localSheetId="9">#REF!</definedName>
    <definedName name="tol">#REF!</definedName>
    <definedName name="topl" localSheetId="8">#REF!</definedName>
    <definedName name="topl" localSheetId="9">#REF!</definedName>
    <definedName name="topl">#REF!</definedName>
    <definedName name="topn" localSheetId="8">#REF!</definedName>
    <definedName name="topn" localSheetId="9">#REF!</definedName>
    <definedName name="topn">#REF!</definedName>
    <definedName name="TOTAL_CONSUMPTION">'[35]RES-PLANNING'!$B$437</definedName>
    <definedName name="TowerA" localSheetId="8">#REF!</definedName>
    <definedName name="TowerA" localSheetId="9">#REF!</definedName>
    <definedName name="TowerA">#REF!</definedName>
    <definedName name="tS" localSheetId="8">#REF!</definedName>
    <definedName name="tS" localSheetId="9">#REF!</definedName>
    <definedName name="tS">#REF!</definedName>
    <definedName name="tS___0" localSheetId="8">#REF!</definedName>
    <definedName name="tS___0" localSheetId="9">#REF!</definedName>
    <definedName name="tS___0">#REF!</definedName>
    <definedName name="tS___13" localSheetId="8">#REF!</definedName>
    <definedName name="tS___13" localSheetId="9">#REF!</definedName>
    <definedName name="tS___13">#REF!</definedName>
    <definedName name="TUES1" localSheetId="8">#REF!</definedName>
    <definedName name="TUES1" localSheetId="9">#REF!</definedName>
    <definedName name="TUES1">#REF!</definedName>
    <definedName name="type">'[25]Fill this out first...'!$D$13</definedName>
    <definedName name="Type1" localSheetId="8">#REF!</definedName>
    <definedName name="Type1" localSheetId="9">#REF!</definedName>
    <definedName name="Type1">#REF!</definedName>
    <definedName name="Type2" localSheetId="8">#REF!</definedName>
    <definedName name="Type2" localSheetId="9">#REF!</definedName>
    <definedName name="Type2">#REF!</definedName>
    <definedName name="U" localSheetId="8">#REF!</definedName>
    <definedName name="U" localSheetId="9">#REF!</definedName>
    <definedName name="U">#REF!</definedName>
    <definedName name="UBArea" localSheetId="8">#REF!</definedName>
    <definedName name="UBArea" localSheetId="9">#REF!</definedName>
    <definedName name="UBArea">#REF!</definedName>
    <definedName name="UBPerimeter" localSheetId="8">#REF!</definedName>
    <definedName name="UBPerimeter" localSheetId="9">#REF!</definedName>
    <definedName name="UBPerimeter">#REF!</definedName>
    <definedName name="UCRABSTRACT" localSheetId="8">#REF!</definedName>
    <definedName name="UCRABSTRACT" localSheetId="9">#REF!</definedName>
    <definedName name="UCRABSTRACT">#REF!</definedName>
    <definedName name="UG_SUMP">[1]UG!$A:$IV</definedName>
    <definedName name="ujt" localSheetId="8">#REF!</definedName>
    <definedName name="ujt" localSheetId="9">#REF!</definedName>
    <definedName name="ujt">#REF!</definedName>
    <definedName name="UNITS" localSheetId="8">#REF!</definedName>
    <definedName name="UNITS" localSheetId="9">#REF!</definedName>
    <definedName name="UNITS">#REF!</definedName>
    <definedName name="unsecured" localSheetId="8">#REF!</definedName>
    <definedName name="unsecured" localSheetId="9">#REF!</definedName>
    <definedName name="unsecured">#REF!</definedName>
    <definedName name="Use_Alternates" localSheetId="8">#REF!</definedName>
    <definedName name="Use_Alternates" localSheetId="9">#REF!</definedName>
    <definedName name="Use_Alternates">#REF!</definedName>
    <definedName name="uu" localSheetId="8">#REF!</definedName>
    <definedName name="uu" localSheetId="9">#REF!</definedName>
    <definedName name="uu">#REF!</definedName>
    <definedName name="V" localSheetId="8">#REF!</definedName>
    <definedName name="V" localSheetId="9">#REF!</definedName>
    <definedName name="V">#REF!</definedName>
    <definedName name="v_app" localSheetId="8">#REF!</definedName>
    <definedName name="v_app" localSheetId="9">#REF!</definedName>
    <definedName name="v_app">#REF!</definedName>
    <definedName name="v_est" localSheetId="8">#REF!</definedName>
    <definedName name="v_est" localSheetId="9">#REF!</definedName>
    <definedName name="v_est">#REF!</definedName>
    <definedName name="v_paid" localSheetId="8">#REF!</definedName>
    <definedName name="v_paid" localSheetId="9">#REF!</definedName>
    <definedName name="v_paid">#REF!</definedName>
    <definedName name="v_quo" localSheetId="8">#REF!</definedName>
    <definedName name="v_quo" localSheetId="9">#REF!</definedName>
    <definedName name="v_quo">#REF!</definedName>
    <definedName name="v_rec" localSheetId="8">#REF!</definedName>
    <definedName name="v_rec" localSheetId="9">#REF!</definedName>
    <definedName name="v_rec">#REF!</definedName>
    <definedName name="v_tot" localSheetId="8">#REF!</definedName>
    <definedName name="v_tot" localSheetId="9">#REF!</definedName>
    <definedName name="v_tot">#REF!</definedName>
    <definedName name="va" localSheetId="8">#REF!</definedName>
    <definedName name="va" localSheetId="9">#REF!</definedName>
    <definedName name="va">#REF!</definedName>
    <definedName name="va___0" localSheetId="8">#REF!</definedName>
    <definedName name="va___0" localSheetId="9">#REF!</definedName>
    <definedName name="va___0">#REF!</definedName>
    <definedName name="va___13" localSheetId="8">#REF!</definedName>
    <definedName name="va___13" localSheetId="9">#REF!</definedName>
    <definedName name="va___13">#REF!</definedName>
    <definedName name="VANDEMATARAM" localSheetId="8">#REF!</definedName>
    <definedName name="VANDEMATARAM" localSheetId="9">#REF!</definedName>
    <definedName name="VANDEMATARAM">#REF!</definedName>
    <definedName name="vatf" localSheetId="8">#REF!</definedName>
    <definedName name="vatf" localSheetId="9">#REF!</definedName>
    <definedName name="vatf">#REF!</definedName>
    <definedName name="VB" localSheetId="8">#REF!</definedName>
    <definedName name="VB" localSheetId="9">#REF!</definedName>
    <definedName name="VB">#REF!</definedName>
    <definedName name="VD" localSheetId="8">#REF!</definedName>
    <definedName name="VD" localSheetId="9">#REF!</definedName>
    <definedName name="VD">#REF!</definedName>
    <definedName name="Vend" localSheetId="8">#REF!</definedName>
    <definedName name="Vend" localSheetId="9">#REF!</definedName>
    <definedName name="Vend">#REF!</definedName>
    <definedName name="Vf" localSheetId="8">#REF!</definedName>
    <definedName name="Vf" localSheetId="9">#REF!</definedName>
    <definedName name="Vf">#REF!</definedName>
    <definedName name="VIVEKANANDA" localSheetId="8">#REF!</definedName>
    <definedName name="VIVEKANANDA" localSheetId="9">#REF!</definedName>
    <definedName name="VIVEKANANDA">#REF!</definedName>
    <definedName name="vjkdsfbisdhfk" localSheetId="8">#REF!</definedName>
    <definedName name="vjkdsfbisdhfk" localSheetId="9">#REF!</definedName>
    <definedName name="vjkdsfbisdhfk">#REF!</definedName>
    <definedName name="Vsigma" localSheetId="8">#REF!</definedName>
    <definedName name="Vsigma" localSheetId="9">#REF!</definedName>
    <definedName name="Vsigma">#REF!</definedName>
    <definedName name="vvv" localSheetId="8">#REF!</definedName>
    <definedName name="vvv" localSheetId="9">#REF!</definedName>
    <definedName name="vvv">#REF!</definedName>
    <definedName name="Vz" localSheetId="8">#REF!</definedName>
    <definedName name="Vz" localSheetId="9">#REF!</definedName>
    <definedName name="Vz">#REF!</definedName>
    <definedName name="W" localSheetId="8">#REF!</definedName>
    <definedName name="W" localSheetId="9">#REF!</definedName>
    <definedName name="W">#REF!</definedName>
    <definedName name="Waiting">"Picture 1"</definedName>
    <definedName name="Wall_Fin" localSheetId="8">#REF!</definedName>
    <definedName name="Wall_Fin" localSheetId="9">#REF!</definedName>
    <definedName name="Wall_Fin">#REF!</definedName>
    <definedName name="WALLFINISHESArea" localSheetId="8">#REF!</definedName>
    <definedName name="WALLFINISHESArea" localSheetId="9">#REF!</definedName>
    <definedName name="WALLFINISHESArea">#REF!</definedName>
    <definedName name="WALLFINISHESPerimeter" localSheetId="8">#REF!</definedName>
    <definedName name="WALLFINISHESPerimeter" localSheetId="9">#REF!</definedName>
    <definedName name="WALLFINISHESPerimeter">#REF!</definedName>
    <definedName name="WaterandPower">1.5/100</definedName>
    <definedName name="wd" localSheetId="8">#REF!</definedName>
    <definedName name="wd" localSheetId="9">#REF!</definedName>
    <definedName name="wd">#REF!</definedName>
    <definedName name="werweasdfwd" localSheetId="8">#REF!</definedName>
    <definedName name="werweasdfwd" localSheetId="9">#REF!</definedName>
    <definedName name="werweasdfwd">#REF!</definedName>
    <definedName name="WF" localSheetId="8">#REF!</definedName>
    <definedName name="WF" localSheetId="9">#REF!</definedName>
    <definedName name="WF">#REF!</definedName>
    <definedName name="wid" localSheetId="8">#REF!</definedName>
    <definedName name="wid" localSheetId="9">#REF!</definedName>
    <definedName name="wid">#REF!</definedName>
    <definedName name="wip" localSheetId="8">#REF!</definedName>
    <definedName name="wip" localSheetId="9">#REF!</definedName>
    <definedName name="wip">#REF!</definedName>
    <definedName name="WLP" localSheetId="8">#REF!</definedName>
    <definedName name="WLP" localSheetId="9">#REF!</definedName>
    <definedName name="WLP">#REF!</definedName>
    <definedName name="Wooden_Poles" localSheetId="8">#REF!</definedName>
    <definedName name="Wooden_Poles" localSheetId="9">#REF!</definedName>
    <definedName name="Wooden_Poles">#REF!</definedName>
    <definedName name="work" localSheetId="8">#REF!</definedName>
    <definedName name="work" localSheetId="9">#REF!</definedName>
    <definedName name="work">#REF!</definedName>
    <definedName name="WP" localSheetId="8">#REF!</definedName>
    <definedName name="WP" localSheetId="9">#REF!</definedName>
    <definedName name="WP">#REF!</definedName>
    <definedName name="wrn.Full._.Report." localSheetId="8" hidden="1">{#N/A,#N/A,TRUE,"Front";#N/A,#N/A,TRUE,"Simple Letter";#N/A,#N/A,TRUE,"Inside";#N/A,#N/A,TRUE,"Contents";#N/A,#N/A,TRUE,"Basis";#N/A,#N/A,TRUE,"Inclusions";#N/A,#N/A,TRUE,"Exclusions";#N/A,#N/A,TRUE,"Areas";#N/A,#N/A,TRUE,"Summary";#N/A,#N/A,TRUE,"Detail"}</definedName>
    <definedName name="wrn.Full._.Report." localSheetId="9"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a" localSheetId="8" hidden="1">{#N/A,#N/A,TRUE,"Front";#N/A,#N/A,TRUE,"Simple Letter";#N/A,#N/A,TRUE,"Inside";#N/A,#N/A,TRUE,"Contents";#N/A,#N/A,TRUE,"Basis";#N/A,#N/A,TRUE,"Inclusions";#N/A,#N/A,TRUE,"Exclusions";#N/A,#N/A,TRUE,"Areas";#N/A,#N/A,TRUE,"Summary";#N/A,#N/A,TRUE,"Detail"}</definedName>
    <definedName name="wrnfulla" localSheetId="9"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W" localSheetId="8">#REF!</definedName>
    <definedName name="WW" localSheetId="9">#REF!</definedName>
    <definedName name="WW">#REF!</definedName>
    <definedName name="x" localSheetId="8">#REF!</definedName>
    <definedName name="x" localSheetId="9">#REF!</definedName>
    <definedName name="x">#REF!</definedName>
    <definedName name="X980210_payment_printing_List">#NAME?</definedName>
    <definedName name="xdfghdfxhg" localSheetId="8">#REF!</definedName>
    <definedName name="xdfghdfxhg" localSheetId="9">#REF!</definedName>
    <definedName name="xdfghdfxhg">#REF!</definedName>
    <definedName name="Xl" localSheetId="8">#REF!</definedName>
    <definedName name="Xl" localSheetId="9">#REF!</definedName>
    <definedName name="Xl">#REF!</definedName>
    <definedName name="Xl___0" localSheetId="8">#REF!</definedName>
    <definedName name="Xl___0" localSheetId="9">#REF!</definedName>
    <definedName name="Xl___0">#REF!</definedName>
    <definedName name="Xl___13" localSheetId="8">#REF!</definedName>
    <definedName name="Xl___13" localSheetId="9">#REF!</definedName>
    <definedName name="Xl___13">#REF!</definedName>
    <definedName name="Y" localSheetId="8">#REF!</definedName>
    <definedName name="Y" localSheetId="9">#REF!</definedName>
    <definedName name="Y">#REF!</definedName>
    <definedName name="Yes" localSheetId="8">#REF!</definedName>
    <definedName name="Yes" localSheetId="9">#REF!</definedName>
    <definedName name="Yes">#REF!</definedName>
    <definedName name="z" localSheetId="8" hidden="1">{#N/A,#N/A,TRUE,"Front";#N/A,#N/A,TRUE,"Simple Letter";#N/A,#N/A,TRUE,"Inside";#N/A,#N/A,TRUE,"Contents";#N/A,#N/A,TRUE,"Basis";#N/A,#N/A,TRUE,"Inclusions";#N/A,#N/A,TRUE,"Exclusions";#N/A,#N/A,TRUE,"Areas";#N/A,#N/A,TRUE,"Summary";#N/A,#N/A,TRUE,"Detail"}</definedName>
    <definedName name="z" localSheetId="9" hidden="1">{#N/A,#N/A,TRUE,"Front";#N/A,#N/A,TRUE,"Simple Letter";#N/A,#N/A,TRUE,"Inside";#N/A,#N/A,TRUE,"Contents";#N/A,#N/A,TRUE,"Basis";#N/A,#N/A,TRUE,"Inclusions";#N/A,#N/A,TRUE,"Exclusions";#N/A,#N/A,TRUE,"Areas";#N/A,#N/A,TRUE,"Summary";#N/A,#N/A,TRUE,"Detail"}</definedName>
    <definedName name="z" hidden="1">{#N/A,#N/A,TRUE,"Front";#N/A,#N/A,TRUE,"Simple Letter";#N/A,#N/A,TRUE,"Inside";#N/A,#N/A,TRUE,"Contents";#N/A,#N/A,TRUE,"Basis";#N/A,#N/A,TRUE,"Inclusions";#N/A,#N/A,TRUE,"Exclusions";#N/A,#N/A,TRUE,"Areas";#N/A,#N/A,TRUE,"Summary";#N/A,#N/A,TRUE,"Detail"}</definedName>
    <definedName name="Zip1" localSheetId="8" hidden="1">{#N/A,#N/A,TRUE,"Front";#N/A,#N/A,TRUE,"Simple Letter";#N/A,#N/A,TRUE,"Inside";#N/A,#N/A,TRUE,"Contents";#N/A,#N/A,TRUE,"Basis";#N/A,#N/A,TRUE,"Inclusions";#N/A,#N/A,TRUE,"Exclusions";#N/A,#N/A,TRUE,"Areas";#N/A,#N/A,TRUE,"Summary";#N/A,#N/A,TRUE,"Detail"}</definedName>
    <definedName name="Zip1" localSheetId="9"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l" localSheetId="8">#REF!</definedName>
    <definedName name="zl" localSheetId="9">#REF!</definedName>
    <definedName name="zl">#REF!</definedName>
    <definedName name="zl___0" localSheetId="8">#REF!</definedName>
    <definedName name="zl___0" localSheetId="9">#REF!</definedName>
    <definedName name="zl___0">#REF!</definedName>
    <definedName name="zl___13" localSheetId="8">#REF!</definedName>
    <definedName name="zl___13" localSheetId="9">#REF!</definedName>
    <definedName name="zl___13">#REF!</definedName>
    <definedName name="zlpu" localSheetId="8">#REF!</definedName>
    <definedName name="zlpu" localSheetId="9">#REF!</definedName>
    <definedName name="zlpu">#REF!</definedName>
    <definedName name="zlpu___0" localSheetId="8">#REF!</definedName>
    <definedName name="zlpu___0" localSheetId="9">#REF!</definedName>
    <definedName name="zlpu___0">#REF!</definedName>
    <definedName name="zlpu___13" localSheetId="8">#REF!</definedName>
    <definedName name="zlpu___13" localSheetId="9">#REF!</definedName>
    <definedName name="zlpu___13">#REF!</definedName>
    <definedName name="zs" localSheetId="8">#REF!</definedName>
    <definedName name="zs" localSheetId="9">#REF!</definedName>
    <definedName name="zs">#REF!</definedName>
    <definedName name="zs___0" localSheetId="8">#REF!</definedName>
    <definedName name="zs___0" localSheetId="9">#REF!</definedName>
    <definedName name="zs___0">#REF!</definedName>
    <definedName name="zs___13" localSheetId="8">#REF!</definedName>
    <definedName name="zs___13" localSheetId="9">#REF!</definedName>
    <definedName name="zs___13">#REF!</definedName>
    <definedName name="zspu" localSheetId="8">#REF!</definedName>
    <definedName name="zspu" localSheetId="9">#REF!</definedName>
    <definedName name="zspu">#REF!</definedName>
    <definedName name="zspu___0" localSheetId="8">#REF!</definedName>
    <definedName name="zspu___0" localSheetId="9">#REF!</definedName>
    <definedName name="zspu___0">#REF!</definedName>
    <definedName name="zspu___13" localSheetId="8">#REF!</definedName>
    <definedName name="zspu___13" localSheetId="9">#REF!</definedName>
    <definedName name="zspu___13">#REF!</definedName>
    <definedName name="ZSS" localSheetId="8">#REF!</definedName>
    <definedName name="ZSS" localSheetId="9">#REF!</definedName>
    <definedName name="ZSS">#REF!</definedName>
    <definedName name="ZSS___0" localSheetId="8">#REF!</definedName>
    <definedName name="ZSS___0" localSheetId="9">#REF!</definedName>
    <definedName name="ZSS___0">#REF!</definedName>
    <definedName name="ZSS___13" localSheetId="8">#REF!</definedName>
    <definedName name="ZSS___13" localSheetId="9">#REF!</definedName>
    <definedName name="ZSS___13">#REF!</definedName>
    <definedName name="ztpu" localSheetId="8">#REF!</definedName>
    <definedName name="ztpu" localSheetId="9">#REF!</definedName>
    <definedName name="ztpu">#REF!</definedName>
    <definedName name="ztpu___0" localSheetId="8">#REF!</definedName>
    <definedName name="ztpu___0" localSheetId="9">#REF!</definedName>
    <definedName name="ztpu___0">#REF!</definedName>
    <definedName name="ztpu___13" localSheetId="8">#REF!</definedName>
    <definedName name="ztpu___13" localSheetId="9">#REF!</definedName>
    <definedName name="ztpu___13">#REF!</definedName>
    <definedName name="ZY" localSheetId="8">#REF!</definedName>
    <definedName name="ZY" localSheetId="9">#REF!</definedName>
    <definedName name="ZY">#REF!</definedName>
    <definedName name="ZY___0" localSheetId="8">#REF!</definedName>
    <definedName name="ZY___0" localSheetId="9">#REF!</definedName>
    <definedName name="ZY___0">#REF!</definedName>
    <definedName name="ZY___13" localSheetId="8">#REF!</definedName>
    <definedName name="ZY___13" localSheetId="9">#REF!</definedName>
    <definedName name="ZY___13">#REF!</definedName>
    <definedName name="zzz" localSheetId="8">#REF!</definedName>
    <definedName name="zzz" localSheetId="9">#REF!</definedName>
    <definedName name="zzz">#REF!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37" i="1" l="1"/>
  <c r="G42" i="1"/>
  <c r="G88" i="1" s="1"/>
  <c r="D23" i="10"/>
  <c r="D17" i="10"/>
  <c r="D19" i="10"/>
  <c r="I8" i="6" l="1"/>
  <c r="M8" i="6" s="1"/>
  <c r="A9" i="6"/>
  <c r="A10" i="6" s="1"/>
  <c r="A11" i="6" s="1"/>
  <c r="A12" i="6" s="1"/>
  <c r="A13" i="6" s="1"/>
  <c r="A14" i="6" s="1"/>
  <c r="A15" i="6" s="1"/>
  <c r="A16" i="6" s="1"/>
  <c r="A18" i="6" s="1"/>
  <c r="A19" i="6" s="1"/>
  <c r="A21" i="6" s="1"/>
  <c r="A23" i="6" s="1"/>
  <c r="A25" i="6" s="1"/>
  <c r="A28" i="6" s="1"/>
  <c r="A32" i="6" s="1"/>
  <c r="A36" i="6" s="1"/>
  <c r="I9" i="6"/>
  <c r="M9" i="6" s="1"/>
  <c r="D10" i="6"/>
  <c r="I10" i="6" s="1"/>
  <c r="I11" i="6"/>
  <c r="M11" i="6" s="1"/>
  <c r="I12" i="6"/>
  <c r="M12" i="6"/>
  <c r="I13" i="6"/>
  <c r="M13" i="6" s="1"/>
  <c r="I14" i="6"/>
  <c r="M14" i="6"/>
  <c r="I15" i="6"/>
  <c r="M15" i="6" s="1"/>
  <c r="M17" i="6"/>
  <c r="D18" i="6"/>
  <c r="D19" i="6" s="1"/>
  <c r="I18" i="6"/>
  <c r="M18" i="6" s="1"/>
  <c r="M20" i="6"/>
  <c r="M22" i="6"/>
  <c r="I23" i="6"/>
  <c r="M23" i="6" s="1"/>
  <c r="M24" i="6"/>
  <c r="I25" i="6"/>
  <c r="M25" i="6" s="1"/>
  <c r="E26" i="6"/>
  <c r="I26" i="6" s="1"/>
  <c r="M26" i="6" s="1"/>
  <c r="M27" i="6"/>
  <c r="M28" i="6"/>
  <c r="E30" i="6"/>
  <c r="F30" i="6"/>
  <c r="M31" i="6"/>
  <c r="M32" i="6"/>
  <c r="E34" i="6"/>
  <c r="F34" i="6"/>
  <c r="G34" i="6"/>
  <c r="M35" i="6"/>
  <c r="I36" i="6"/>
  <c r="M36" i="6"/>
  <c r="I40" i="6"/>
  <c r="M40" i="6" s="1"/>
  <c r="A41" i="6"/>
  <c r="D41" i="6"/>
  <c r="I41" i="6" s="1"/>
  <c r="A42" i="6"/>
  <c r="A43" i="6" s="1"/>
  <c r="A44" i="6" s="1"/>
  <c r="A45" i="6" s="1"/>
  <c r="A46" i="6" s="1"/>
  <c r="A48" i="6" s="1"/>
  <c r="A49" i="6" s="1"/>
  <c r="A51" i="6" s="1"/>
  <c r="A53" i="6" s="1"/>
  <c r="A55" i="6" s="1"/>
  <c r="A58" i="6" s="1"/>
  <c r="I42" i="6"/>
  <c r="M42" i="6" s="1"/>
  <c r="I43" i="6"/>
  <c r="M43" i="6" s="1"/>
  <c r="I44" i="6"/>
  <c r="M44" i="6" s="1"/>
  <c r="I45" i="6"/>
  <c r="M45" i="6" s="1"/>
  <c r="D48" i="6"/>
  <c r="D56" i="6" s="1"/>
  <c r="I53" i="6"/>
  <c r="M53" i="6" s="1"/>
  <c r="E56" i="6"/>
  <c r="F56" i="6"/>
  <c r="I58" i="6"/>
  <c r="M58" i="6" s="1"/>
  <c r="I63" i="6"/>
  <c r="M63" i="6"/>
  <c r="A64" i="6"/>
  <c r="A65" i="6" s="1"/>
  <c r="A66" i="6" s="1"/>
  <c r="A67" i="6" s="1"/>
  <c r="A68" i="6" s="1"/>
  <c r="A69" i="6" s="1"/>
  <c r="A70" i="6" s="1"/>
  <c r="A72" i="6" s="1"/>
  <c r="A73" i="6" s="1"/>
  <c r="A75" i="6" s="1"/>
  <c r="A77" i="6" s="1"/>
  <c r="A79" i="6" s="1"/>
  <c r="A82" i="6" s="1"/>
  <c r="A86" i="6" s="1"/>
  <c r="A90" i="6" s="1"/>
  <c r="I64" i="6"/>
  <c r="M64" i="6"/>
  <c r="D65" i="6"/>
  <c r="I65" i="6" s="1"/>
  <c r="M65" i="6" s="1"/>
  <c r="E66" i="6"/>
  <c r="I66" i="6" s="1"/>
  <c r="M66" i="6" s="1"/>
  <c r="I67" i="6"/>
  <c r="M67" i="6" s="1"/>
  <c r="I68" i="6"/>
  <c r="M68" i="6"/>
  <c r="I69" i="6"/>
  <c r="M69" i="6" s="1"/>
  <c r="D72" i="6"/>
  <c r="D73" i="6" s="1"/>
  <c r="E77" i="6"/>
  <c r="I77" i="6"/>
  <c r="M77" i="6" s="1"/>
  <c r="I79" i="6"/>
  <c r="M79" i="6" s="1"/>
  <c r="E80" i="6"/>
  <c r="E83" i="6" s="1"/>
  <c r="I80" i="6"/>
  <c r="M80" i="6" s="1"/>
  <c r="E84" i="6"/>
  <c r="F84" i="6"/>
  <c r="E88" i="6"/>
  <c r="F88" i="6"/>
  <c r="G88" i="6"/>
  <c r="I90" i="6"/>
  <c r="M90" i="6" s="1"/>
  <c r="I96" i="6"/>
  <c r="M96" i="6"/>
  <c r="M97" i="6"/>
  <c r="I100" i="6"/>
  <c r="M100" i="6"/>
  <c r="A102" i="6"/>
  <c r="I102" i="6"/>
  <c r="M102" i="6" s="1"/>
  <c r="M107" i="6"/>
  <c r="I110" i="6"/>
  <c r="M110" i="6" s="1"/>
  <c r="I112" i="6"/>
  <c r="M112" i="6" s="1"/>
  <c r="M113" i="6"/>
  <c r="I114" i="6"/>
  <c r="M114" i="6" s="1"/>
  <c r="I120" i="6"/>
  <c r="I122" i="6" s="1"/>
  <c r="M122" i="6" s="1"/>
  <c r="M120" i="6"/>
  <c r="I124" i="6"/>
  <c r="M124" i="6" s="1"/>
  <c r="I129" i="6"/>
  <c r="I130" i="6"/>
  <c r="M130" i="6"/>
  <c r="I133" i="6"/>
  <c r="M133" i="6" s="1"/>
  <c r="M137" i="6"/>
  <c r="I138" i="6"/>
  <c r="M138" i="6"/>
  <c r="A139" i="6"/>
  <c r="A140" i="6" s="1"/>
  <c r="A141" i="6" s="1"/>
  <c r="A142" i="6" s="1"/>
  <c r="D139" i="6"/>
  <c r="I139" i="6"/>
  <c r="M139" i="6" s="1"/>
  <c r="I140" i="6"/>
  <c r="M140" i="6" s="1"/>
  <c r="I141" i="6"/>
  <c r="M150" i="6"/>
  <c r="D34" i="6" l="1"/>
  <c r="I19" i="6"/>
  <c r="M19" i="6" s="1"/>
  <c r="I56" i="6"/>
  <c r="M56" i="6" s="1"/>
  <c r="E29" i="6"/>
  <c r="E33" i="6" s="1"/>
  <c r="I33" i="6" s="1"/>
  <c r="M33" i="6" s="1"/>
  <c r="D30" i="6"/>
  <c r="I142" i="6"/>
  <c r="M142" i="6" s="1"/>
  <c r="M125" i="6"/>
  <c r="M104" i="6"/>
  <c r="I83" i="6"/>
  <c r="M83" i="6" s="1"/>
  <c r="E87" i="6"/>
  <c r="I87" i="6" s="1"/>
  <c r="M87" i="6" s="1"/>
  <c r="M116" i="6"/>
  <c r="I34" i="6"/>
  <c r="M34" i="6" s="1"/>
  <c r="I131" i="6"/>
  <c r="M131" i="6" s="1"/>
  <c r="D84" i="6"/>
  <c r="I84" i="6" s="1"/>
  <c r="M84" i="6" s="1"/>
  <c r="I48" i="6"/>
  <c r="M48" i="6" s="1"/>
  <c r="I30" i="6"/>
  <c r="M30" i="6" s="1"/>
  <c r="D49" i="6"/>
  <c r="I49" i="6" s="1"/>
  <c r="M49" i="6" s="1"/>
  <c r="I21" i="6"/>
  <c r="M21" i="6" s="1"/>
  <c r="I46" i="6"/>
  <c r="M46" i="6" s="1"/>
  <c r="M41" i="6"/>
  <c r="I16" i="6"/>
  <c r="M16" i="6" s="1"/>
  <c r="M10" i="6"/>
  <c r="I73" i="6"/>
  <c r="M73" i="6" s="1"/>
  <c r="D88" i="6"/>
  <c r="I88" i="6" s="1"/>
  <c r="M88" i="6" s="1"/>
  <c r="I70" i="6"/>
  <c r="M70" i="6" s="1"/>
  <c r="M141" i="6"/>
  <c r="M144" i="6" s="1"/>
  <c r="M129" i="6"/>
  <c r="I72" i="6"/>
  <c r="G16" i="3"/>
  <c r="D15" i="11"/>
  <c r="C15" i="11"/>
  <c r="H223" i="12"/>
  <c r="G223" i="12"/>
  <c r="H220" i="12"/>
  <c r="G220" i="12"/>
  <c r="H218" i="12"/>
  <c r="G218" i="12"/>
  <c r="H215" i="12"/>
  <c r="G215" i="12"/>
  <c r="H212" i="12"/>
  <c r="G212" i="12"/>
  <c r="H211" i="12"/>
  <c r="G211" i="12"/>
  <c r="H208" i="12"/>
  <c r="G208" i="12"/>
  <c r="H192" i="12"/>
  <c r="G192" i="12"/>
  <c r="H188" i="12"/>
  <c r="G188" i="12"/>
  <c r="H178" i="12"/>
  <c r="G178" i="12"/>
  <c r="H174" i="12"/>
  <c r="G174" i="12"/>
  <c r="H170" i="12"/>
  <c r="G170" i="12"/>
  <c r="H166" i="12"/>
  <c r="G166" i="12"/>
  <c r="H164" i="12"/>
  <c r="G164" i="12"/>
  <c r="H138" i="12"/>
  <c r="G138" i="12"/>
  <c r="H137" i="12"/>
  <c r="G137" i="12"/>
  <c r="H136" i="12"/>
  <c r="G136" i="12"/>
  <c r="H135" i="12"/>
  <c r="G135" i="12"/>
  <c r="H134" i="12"/>
  <c r="G134" i="12"/>
  <c r="H133" i="12"/>
  <c r="G133" i="12"/>
  <c r="H131" i="12"/>
  <c r="G131" i="12"/>
  <c r="H130" i="12"/>
  <c r="G130" i="12"/>
  <c r="H126" i="12"/>
  <c r="G126" i="12"/>
  <c r="H123" i="12"/>
  <c r="G123" i="12"/>
  <c r="H120" i="12"/>
  <c r="G120" i="12"/>
  <c r="H119" i="12"/>
  <c r="G119" i="12"/>
  <c r="H116" i="12"/>
  <c r="G116" i="12"/>
  <c r="H108" i="12"/>
  <c r="G108" i="12"/>
  <c r="H104" i="12"/>
  <c r="G104" i="12"/>
  <c r="H98" i="12"/>
  <c r="G98" i="12"/>
  <c r="H87" i="12"/>
  <c r="G87" i="12"/>
  <c r="H83" i="12"/>
  <c r="G83" i="12"/>
  <c r="H82" i="12"/>
  <c r="G82" i="12"/>
  <c r="H81" i="12"/>
  <c r="G81" i="12"/>
  <c r="H80" i="12"/>
  <c r="G80" i="12"/>
  <c r="H69" i="12"/>
  <c r="G69" i="12"/>
  <c r="H68" i="12"/>
  <c r="G68" i="12"/>
  <c r="H67" i="12"/>
  <c r="G67" i="12"/>
  <c r="H66" i="12"/>
  <c r="G66" i="12"/>
  <c r="H65" i="12"/>
  <c r="G65" i="12"/>
  <c r="H64" i="12"/>
  <c r="G64" i="12"/>
  <c r="H63" i="12"/>
  <c r="G63" i="12"/>
  <c r="H62" i="12"/>
  <c r="G62" i="12"/>
  <c r="H54" i="12"/>
  <c r="G54" i="12"/>
  <c r="H53" i="12"/>
  <c r="G53" i="12"/>
  <c r="H52" i="12"/>
  <c r="G52" i="12"/>
  <c r="H48" i="12"/>
  <c r="G48" i="12"/>
  <c r="H45" i="12"/>
  <c r="G45" i="12"/>
  <c r="H38" i="12"/>
  <c r="G38" i="12"/>
  <c r="H33" i="12"/>
  <c r="G33" i="12"/>
  <c r="H32" i="12"/>
  <c r="G32" i="12"/>
  <c r="H31" i="12"/>
  <c r="G31" i="12"/>
  <c r="H30" i="12"/>
  <c r="G30" i="12"/>
  <c r="H29" i="12"/>
  <c r="G29" i="12"/>
  <c r="H28" i="12"/>
  <c r="G28" i="12"/>
  <c r="H27" i="12"/>
  <c r="G27" i="12"/>
  <c r="H23" i="12"/>
  <c r="G23" i="12"/>
  <c r="H22" i="12"/>
  <c r="G22" i="12"/>
  <c r="H14" i="12"/>
  <c r="G14" i="12"/>
  <c r="H12" i="12"/>
  <c r="G12" i="12"/>
  <c r="H10" i="12"/>
  <c r="G10" i="12"/>
  <c r="H8" i="12"/>
  <c r="G8" i="12"/>
  <c r="H6" i="12"/>
  <c r="G6" i="12"/>
  <c r="G9" i="5"/>
  <c r="G7" i="5"/>
  <c r="G76" i="4"/>
  <c r="G72" i="4"/>
  <c r="G71" i="4"/>
  <c r="G65" i="4"/>
  <c r="G59" i="4"/>
  <c r="G54" i="4"/>
  <c r="G49" i="4"/>
  <c r="G48" i="4"/>
  <c r="G47" i="4"/>
  <c r="G46" i="4"/>
  <c r="G45" i="4"/>
  <c r="G44" i="4"/>
  <c r="G43" i="4"/>
  <c r="G33" i="4"/>
  <c r="G24" i="4"/>
  <c r="G69" i="3"/>
  <c r="G62" i="3"/>
  <c r="G58" i="3"/>
  <c r="G54" i="3"/>
  <c r="G50" i="3"/>
  <c r="G46" i="3"/>
  <c r="G42" i="3"/>
  <c r="G28" i="3"/>
  <c r="G22" i="3"/>
  <c r="G30" i="2"/>
  <c r="G28" i="2"/>
  <c r="G23" i="2"/>
  <c r="G19" i="2"/>
  <c r="G15" i="2"/>
  <c r="G9" i="2"/>
  <c r="G67" i="1"/>
  <c r="G65" i="1"/>
  <c r="G61" i="1"/>
  <c r="G59" i="1"/>
  <c r="G58" i="1"/>
  <c r="G50" i="1"/>
  <c r="G46" i="1"/>
  <c r="G53" i="1" s="1"/>
  <c r="D21" i="10" s="1"/>
  <c r="G40" i="1"/>
  <c r="G34" i="1"/>
  <c r="G26" i="1"/>
  <c r="G9" i="1"/>
  <c r="I29" i="6" l="1"/>
  <c r="M29" i="6" s="1"/>
  <c r="G29" i="1"/>
  <c r="M134" i="6"/>
  <c r="M37" i="6"/>
  <c r="C4" i="9" s="1"/>
  <c r="H56" i="12"/>
  <c r="D9" i="11" s="1"/>
  <c r="H179" i="12"/>
  <c r="D17" i="11" s="1"/>
  <c r="G56" i="12"/>
  <c r="C9" i="11" s="1"/>
  <c r="G112" i="12"/>
  <c r="C11" i="11" s="1"/>
  <c r="G140" i="12"/>
  <c r="C13" i="11" s="1"/>
  <c r="G179" i="12"/>
  <c r="C17" i="11" s="1"/>
  <c r="H112" i="12"/>
  <c r="D11" i="11" s="1"/>
  <c r="H140" i="12"/>
  <c r="D13" i="11" s="1"/>
  <c r="H224" i="12"/>
  <c r="D19" i="11" s="1"/>
  <c r="H18" i="12"/>
  <c r="D7" i="11" s="1"/>
  <c r="G224" i="12"/>
  <c r="C19" i="11" s="1"/>
  <c r="G18" i="12"/>
  <c r="C7" i="11" s="1"/>
  <c r="I51" i="6"/>
  <c r="M51" i="6" s="1"/>
  <c r="M59" i="6" s="1"/>
  <c r="C6" i="9" s="1"/>
  <c r="I75" i="6"/>
  <c r="M75" i="6" s="1"/>
  <c r="M72" i="6"/>
  <c r="I148" i="6"/>
  <c r="M148" i="6" s="1"/>
  <c r="M152" i="6" s="1"/>
  <c r="C20" i="9" s="1"/>
  <c r="G75" i="1"/>
  <c r="G34" i="2"/>
  <c r="D27" i="10" s="1"/>
  <c r="G80" i="4"/>
  <c r="D31" i="10" s="1"/>
  <c r="C18" i="9"/>
  <c r="C16" i="9"/>
  <c r="C14" i="9"/>
  <c r="C12" i="9"/>
  <c r="C10" i="9"/>
  <c r="E79" i="1"/>
  <c r="G79" i="1" s="1"/>
  <c r="G85" i="1" s="1"/>
  <c r="D25" i="10" s="1"/>
  <c r="M92" i="6" l="1"/>
  <c r="C8" i="9" s="1"/>
  <c r="A8" i="12"/>
  <c r="A10" i="12" s="1"/>
  <c r="A12" i="12" s="1"/>
  <c r="A14" i="12" s="1"/>
  <c r="A16" i="12" s="1"/>
  <c r="M158" i="6" l="1"/>
  <c r="E11" i="11"/>
  <c r="E13" i="11"/>
  <c r="E15" i="11"/>
  <c r="E17" i="11"/>
  <c r="C21" i="11"/>
  <c r="D21" i="11"/>
  <c r="E19" i="11"/>
  <c r="E9" i="11"/>
  <c r="E7" i="11"/>
  <c r="E21" i="11" l="1"/>
  <c r="G10" i="5" l="1"/>
  <c r="E89" i="3"/>
  <c r="G89" i="3" s="1"/>
  <c r="E81" i="3"/>
  <c r="G81" i="3" s="1"/>
  <c r="E77" i="3"/>
  <c r="G77" i="3" s="1"/>
  <c r="E73" i="3"/>
  <c r="G73" i="3" s="1"/>
  <c r="G91" i="3" l="1"/>
  <c r="D29" i="10" s="1"/>
  <c r="C22" i="9"/>
  <c r="G11" i="5"/>
  <c r="G13" i="5" s="1"/>
  <c r="D33" i="10" s="1"/>
  <c r="D35" i="10" l="1"/>
</calcChain>
</file>

<file path=xl/sharedStrings.xml><?xml version="1.0" encoding="utf-8"?>
<sst xmlns="http://schemas.openxmlformats.org/spreadsheetml/2006/main" count="985" uniqueCount="520">
  <si>
    <t>BILL OF QUANTITIES</t>
  </si>
  <si>
    <t>S.no</t>
  </si>
  <si>
    <t>Item No</t>
  </si>
  <si>
    <t>Description</t>
  </si>
  <si>
    <t>Unit</t>
  </si>
  <si>
    <t>Qty</t>
  </si>
  <si>
    <t>Rate</t>
  </si>
  <si>
    <t>Amount</t>
  </si>
  <si>
    <t>A</t>
  </si>
  <si>
    <t>Dem</t>
  </si>
  <si>
    <t>Demolition Works</t>
  </si>
  <si>
    <t xml:space="preserve">Rate </t>
  </si>
  <si>
    <t>DEM -01</t>
  </si>
  <si>
    <t>Demolishing blockwork</t>
  </si>
  <si>
    <t>Breaking/Demolishing of existing solid block masonry wall .  The rate shall be  inclusive of  all lead, lift, shifting, necessary scaffoldings, and disposal of debris outside site premises or dumping inside the site premises at location where directed for filling purposes as per the directions / instructions of site in charge. Care shall have to be taken while demolishing external / peripheral walls. Works shall be carried out  at any  level .Vendor shall provide sufficient covering to flooring to protect from getting damaged.</t>
  </si>
  <si>
    <t>Cum</t>
  </si>
  <si>
    <t>DEM - 02</t>
  </si>
  <si>
    <t>Removing and stacking the metallic rolling shutters and windows and stacking them at a place where directed as per the instructions of Engineer in charge. Care shall be taken to see that the area is protected. The rate shall include suitable scaffolding, tools, tackles, segregating usable and non usable parts and stackng the usable parts safely and disposing the non usable ones then and there. Rate shall include making good of the damaged surfaces if any while dismantling. Proper care shall have to be taken while dismantling the motorised rolling shutters from elecrical connections.</t>
  </si>
  <si>
    <t>LS</t>
  </si>
  <si>
    <t>Rolling Shutters</t>
  </si>
  <si>
    <t>R1 - 0.89x3.35</t>
  </si>
  <si>
    <t>R4 - 2.95x3.35</t>
  </si>
  <si>
    <t>R5 - 1.20x3.35</t>
  </si>
  <si>
    <t>R7 - 4.10x3.35</t>
  </si>
  <si>
    <t>R9 - 3.63x4.22</t>
  </si>
  <si>
    <t>B</t>
  </si>
  <si>
    <t>Windows</t>
  </si>
  <si>
    <t>R2 - 0.9x1.2</t>
  </si>
  <si>
    <t>R3 - 0.93x1.2</t>
  </si>
  <si>
    <t>R6 - 0.95x1.2</t>
  </si>
  <si>
    <t>R8 - 2.1x1.2</t>
  </si>
  <si>
    <t>DEM - 03</t>
  </si>
  <si>
    <t>Removing and stacking the metallic sheets from the existing shed roofs  and stacking them at a place where directed as per the instructions of Engineer in charge. Care shall be taken to see that the area is protected. The rate shall include suitable scaffolding, tools, tackles, segregating usable and non usable parts and stackng the usable parts safely and disposing the non usable ones then and there as directed by the site incharge. Rate shall include making good of the damaged surfaces if any while dismantling. Proper care shall have to be taken while dismantling the shed roofs from elecrical connections / services</t>
  </si>
  <si>
    <t>Demolition Works - Sub Total</t>
  </si>
  <si>
    <t>MAS</t>
  </si>
  <si>
    <t>Masonry Works</t>
  </si>
  <si>
    <t>MAS 01</t>
  </si>
  <si>
    <t>Providing and constructing   solid concrete block masonry walls  of varying thickness as specified in the drawing in cement mortar(1 cement :6 M.sand)using precast blocks of 400 x 200/ 100/150 x 200mm size with minimum crushing strength of 35 kg/sq. cm for construction with necessary scaffolding, staging, striking and raking out joints to at least 10mm depth, with all lead and lift at all levels, curing, loading and unloading, transportation and all other incidental charges etc., complete as directed by the Engineer-in-charge.</t>
  </si>
  <si>
    <t>MAS 02</t>
  </si>
  <si>
    <t>Providing and constructing   solid concrete block masonry walls  of 200mm thickness as specified in the drawing in cement mortar(1 cement :6 M.sand)using precast blocks of 400 x 200 x 200mm size with minimum crushing strength of 35 kg/sq. cm for construction with necessary scaffolding, staging, striking and raking out joints to at least 10mm depth, with all lead and lift at all levels, curing, loading and unloading, transportation and all other incidental charges etc., complete as directed by the Engineer-in-charge.</t>
  </si>
  <si>
    <t>Sqm</t>
  </si>
  <si>
    <t>MAS 03</t>
  </si>
  <si>
    <t>Providing and constructing   solid concrete block masonry walls  of 100mm thickness as specified in the drawing in cement mortar(1 cement :6 M.sand)using precast blocks of 400 x 100 x 200mm size with minimum crushing strength of 35 kg/sq. cm for construction with necessary scaffolding, staging, striking and raking out joints to at least 10mm depth, with all lead and lift at all levels, curing, loading and unloading, transportation and all other incidental charges etc., complete as directed by the Engineer-in-charge. Rate shall include providing 75mm thk cement concrete band with 8mm dia reinforcement rods at every 1m interval.</t>
  </si>
  <si>
    <t>Masonry Works - Sub Total</t>
  </si>
  <si>
    <t>C</t>
  </si>
  <si>
    <t>PL</t>
  </si>
  <si>
    <t>Plastering Works</t>
  </si>
  <si>
    <t>PL 01</t>
  </si>
  <si>
    <r>
      <t>Preparing the surface, Providing &amp; applying  plastering to internal</t>
    </r>
    <r>
      <rPr>
        <b/>
        <sz val="11"/>
        <rFont val="Aptos Narrow"/>
        <family val="2"/>
        <scheme val="minor"/>
      </rPr>
      <t xml:space="preserve"> masonry walls</t>
    </r>
    <r>
      <rPr>
        <sz val="11"/>
        <rFont val="Aptos Narrow"/>
        <family val="2"/>
        <scheme val="minor"/>
      </rPr>
      <t xml:space="preserve">, columns, beams, jambs etc.,  12mm thick in CM 1:6 (1 cement: 6 fine sand) with lime rendering in line at all levels including hacking to RCC surfaces, providing 150 mm wide GI plaster mesh  of Arpitha or equivalent approved make in the junctions of the masonry &amp; RCC works, over electrical conduiting and wherever applicable as per manufacturer's specifications,  plastering the mesh in CM 1:2. The work shall include cost of materials, labour, curing, all lead and lifts at all levels, loading and unloading, scaffolding and all other incidental charges etc., complete and as directed by the Engineer-in-charge. </t>
    </r>
  </si>
  <si>
    <t>PL 02</t>
  </si>
  <si>
    <r>
      <t xml:space="preserve">Preparing the surface, providing &amp; applying Sponge finish </t>
    </r>
    <r>
      <rPr>
        <b/>
        <sz val="11"/>
        <rFont val="Aptos Narrow"/>
        <family val="2"/>
        <scheme val="minor"/>
      </rPr>
      <t xml:space="preserve">Plastering for external walls </t>
    </r>
    <r>
      <rPr>
        <sz val="11"/>
        <rFont val="Aptos Narrow"/>
        <family val="2"/>
        <scheme val="minor"/>
      </rPr>
      <t xml:space="preserve"> in two layers with base coat 12mm thick in CM 1:6 &amp; finishing coat 8mm thick in CM 1:4 laid in panels with jointless finish as per design including Water Proofing Compound of approved make, cement punning of cornices/projection/grooves, drip mould of all shape and sizes, fixing of 150 mm wide GI plaster mesh Arpitha or equivalent approved make in the junctions of the masonry &amp; R.C.C work, over electrical conduiting, &amp; wherever applicable as per manufacturer's specifications and   plastering the mesh in CM 1:2. The work shall include cost of materials, labour, curing,approved waterproofing chemical, all lead and lifts at all levels, loading and unloading, scaffolding and all other incidental charges etc. , complete and as directed by the Engineer-in-charge.  The rate to include providing grooves , wherever required as per the drawings.</t>
    </r>
  </si>
  <si>
    <t>QRO</t>
  </si>
  <si>
    <t>PL 03</t>
  </si>
  <si>
    <t xml:space="preserve">Providing Rough Plastering for Tile Dado Backing in CM 1:6, 12mm thick for fixinf tile &amp; granite slabs, marble, at all levels including rough finishing to line and plumb , the cost of scaffolding, curing, Lead &amp; lifts etc.. Complete for walls including scarifying the surface to receive the tiles. Cost to include supplying &amp; fixing the plaster mesh made out of galvanized iron of nominal thickness 0.35mm with a Zinc coating of 120gms/sqmtr at the RCC and Masonry interface, with corner bead at column corners, wall corners with Galvanized nails etc.. wherever called for required size .
</t>
  </si>
  <si>
    <t>Plastering  Works - Sub Total</t>
  </si>
  <si>
    <t>D</t>
  </si>
  <si>
    <t>MIS</t>
  </si>
  <si>
    <t>MISCELLANEOUS WORKS</t>
  </si>
  <si>
    <t>MIS 01</t>
  </si>
  <si>
    <t>Fixing the stacked rolling shuter and painting the same with enamel painting after surface preparation . The rate shall include all the tools, tackles, hardware, handles etc complete.</t>
  </si>
  <si>
    <t>R01 - 3.3x3.0m - 1 No</t>
  </si>
  <si>
    <t>R02 - 3.99x3.53m - 1 No</t>
  </si>
  <si>
    <t>MIS 02</t>
  </si>
  <si>
    <t>Supplying, Providing and Fixing Mettalic rolling shutters with all leads and lifts, tools &amp; tackles etc complete ( R03 )</t>
  </si>
  <si>
    <t>MIS 03</t>
  </si>
  <si>
    <t>Supplying, Providing and Fixing SS wall guards conforming to SS 304 as per manufacturers recommendation</t>
  </si>
  <si>
    <t>Rmt</t>
  </si>
  <si>
    <t>MIS 04</t>
  </si>
  <si>
    <t xml:space="preserve"> Fixing SS Corner guards conforming to SS 304 as per manufacturers recommendation</t>
  </si>
  <si>
    <r>
      <rPr>
        <b/>
        <sz val="11"/>
        <rFont val="Aptos Narrow"/>
        <family val="2"/>
        <scheme val="minor"/>
      </rPr>
      <t xml:space="preserve">Providing and Fixing SS  railing ( glossy finish ) of 1.1m height  in the Ramp areas : </t>
    </r>
    <r>
      <rPr>
        <sz val="11"/>
        <rFont val="Aptos Narrow"/>
        <family val="2"/>
        <scheme val="minor"/>
      </rPr>
      <t>Providing, fixing, fabricating  50mm dia matt finish SS Pipe as top rail with 20 mm dia  SS pipe as support along with necessary fasteners as per the details and drawing.</t>
    </r>
    <r>
      <rPr>
        <b/>
        <sz val="11"/>
        <rFont val="Aptos Narrow"/>
        <family val="2"/>
        <scheme val="minor"/>
      </rPr>
      <t xml:space="preserve"> </t>
    </r>
    <r>
      <rPr>
        <b/>
        <sz val="11"/>
        <color rgb="FFFF0000"/>
        <rFont val="Aptos Narrow"/>
        <family val="2"/>
        <scheme val="minor"/>
      </rPr>
      <t>(SS pipe grade 304)</t>
    </r>
    <r>
      <rPr>
        <b/>
        <sz val="11"/>
        <rFont val="Aptos Narrow"/>
        <family val="2"/>
        <scheme val="minor"/>
      </rPr>
      <t xml:space="preserve"> </t>
    </r>
    <r>
      <rPr>
        <sz val="11"/>
        <rFont val="Aptos Narrow"/>
        <family val="2"/>
        <scheme val="minor"/>
      </rPr>
      <t xml:space="preserve"> SS rosette cover fixed with SS pins, dowels, clamps, rubber, screws, gaskets etc.  including required jointing and sealing with approved quality silicon sealant etc. all complete as per detail drawing, specification to entire satisfaction of PM. Work includes preparing shop drawings to scale with joinery and fixing details and further includes providing samples and preparing full scale mockup samples for approval.
</t>
    </r>
  </si>
  <si>
    <t>MIS 05</t>
  </si>
  <si>
    <t xml:space="preserve">Providing and fixing Gypsum dry wall partition 100mm thick with glass wool as insulation material as per architects drawing and manufacturers specification </t>
  </si>
  <si>
    <t>Miscellaneous Works - Sub Total</t>
  </si>
  <si>
    <t>E</t>
  </si>
  <si>
    <t>PA</t>
  </si>
  <si>
    <t>Painting Works</t>
  </si>
  <si>
    <t>PA 01</t>
  </si>
  <si>
    <r>
      <t xml:space="preserve">Providing and applying plastic emulsion paint for interiors walls with 2 coats of Birla white wall putty +1 coat of w/b primer and two coats of  emulsion paint of approved make, </t>
    </r>
    <r>
      <rPr>
        <b/>
        <sz val="11"/>
        <rFont val="Aptos Narrow"/>
        <family val="2"/>
        <scheme val="minor"/>
      </rPr>
      <t xml:space="preserve">for walls of approved colour. </t>
    </r>
    <r>
      <rPr>
        <sz val="11"/>
        <rFont val="Aptos Narrow"/>
        <family val="2"/>
        <scheme val="minor"/>
      </rPr>
      <t xml:space="preserve"> And preparing the surface by cleaning/sanding, filling up the cracks with crack filler, erecting and dismantling of scaffolding as &amp; when it is required, finishing the surface with roller etc., complete. Note: Contractor shall arrange for his own scaffolding materials, ladders etc., legs of the ladders shall be covered properly with gunny bags so that floor does not get damaged. Floor shall be properly covered with plastic sheets to avoid spillage of paint while applying etc., complete  with all leads &amp; lifts at all levels complete and as directed by Engineer-in-charge. </t>
    </r>
  </si>
  <si>
    <t>PA 02</t>
  </si>
  <si>
    <r>
      <t xml:space="preserve">Providing and applying External weather proof emulsion paint for interiors walls with 2 coats of Birla white wall putty +1 coat of w/b primer and two coats of  emulsion paint of approved make, </t>
    </r>
    <r>
      <rPr>
        <b/>
        <sz val="11"/>
        <rFont val="Aptos Narrow"/>
        <family val="2"/>
        <scheme val="minor"/>
      </rPr>
      <t xml:space="preserve">for walls . </t>
    </r>
    <r>
      <rPr>
        <sz val="11"/>
        <rFont val="Aptos Narrow"/>
        <family val="2"/>
        <scheme val="minor"/>
      </rPr>
      <t xml:space="preserve"> And preparing the surface by cleaning/sanding, filling up the cracks with crack filler, erecting and dismantling of scaffolding as &amp; when it is required, finishing the surface with roller etc., complete. Note: Contractor shall arrange for his own scaffolding materials, ladders etc.,   with all leads &amp; lifts at all levels complete and as directed by Engineer-in-charge. </t>
    </r>
  </si>
  <si>
    <t>Painting Works - Sub Total</t>
  </si>
  <si>
    <t>TOTAL</t>
  </si>
  <si>
    <t>F</t>
  </si>
  <si>
    <t>FC</t>
  </si>
  <si>
    <t>False Ceiling Works</t>
  </si>
  <si>
    <t>FC 01</t>
  </si>
  <si>
    <t>Gypsum False Ceiling Works with Grid</t>
  </si>
  <si>
    <t xml:space="preserve">Providing and fixing Gypsum False Ceiling of which includes G.I.Perimeter Channels of size .55mm thick (having One Flange of 20mm. and another flange of 30mm and a web of 27mm) along with perimeter of ceiling, screw fixed to brick wall / partition with the help of Nylon sleeves and screws at 610mm centres. Then suspending G.I. intermediate channels of size 45mm (0.9mm thick with 2 flanges of 15mm each)  from the soffit at 1220mm centres with ceiling angle of width 25mm X 10mm X 0.55mm thick fixed to soffit with G.I. cleat and steel expansion fasteners. Ceiling section of 0.55mm thick having knurled web of 51.5mm and 2  flanges of 26mm each with lips of 10.5mm are then fixed to the intermediate channel with the help of connecting clips and in direction perpendicular to the intermediate channel at 450 mm centres. </t>
  </si>
  <si>
    <t xml:space="preserve">12.5mm tapered edge Gypboard (conforming to IS 2095-1982) is then screw fixed to ceiling section with 25mm dry wall Philips screws at 230mm centres. Screw fixing is done mechanically  with drilling machine with suitable attachment. Finally  tapered edges of the Gyp boards are to be jointed and finished so as to have a flush look which includes filling and finishing with jointing compound, paper tape etc complete as per the recommended practices of India Gypsum. Rate to be included all kinds of  profiles and cut outs required for light fixtures, Speakers, Smoke detector, trap doors and AC grill , 6mm plywood templates in the ceiling                                                        </t>
  </si>
  <si>
    <t xml:space="preserve">Rate to include making light templates, MS support of 35mmx35mmx4mm wherever required for support for the ceiling, extra support for trap doors, services junction etc </t>
  </si>
  <si>
    <t>The rates to be inclusive of cove,grooves,offsets etc</t>
  </si>
  <si>
    <t>FC 02</t>
  </si>
  <si>
    <t>GI Metal Sheet with Grid and Powder Coated</t>
  </si>
  <si>
    <t xml:space="preserve">Providing and fixing Metal open cell ceiling system grid size of 150x150mm as per the architects drawings and manufacturers recommendation with invisible joints with grid like open cell design leaving open spaces between them. The rate shall include  main and cross bars, integral hooks, sliding clips suspension rods etc all as per the manufacturers recommendation. </t>
  </si>
  <si>
    <t>FC 03</t>
  </si>
  <si>
    <t xml:space="preserve">Moisture resistant Gyp Board False Ceiling </t>
  </si>
  <si>
    <t>Providing &amp; fixing False ceiling  with 12.5 mm moisture resistant gypsum board False ceiling , cut to all shapes &amp; size and in the required grid pattern supported on Powder coated aluminium frame work of approved make consisting of wall angles of section, bulbed Tees, main Tees,  cross tees as per the detailed drawings, including providing &amp; fixing MS tab hangers, 6 mm dia MS standard suspenders of required height and providing necessary opening &amp; additional frame work required for light &amp; AC fittings including provision for upturn as pelmets at ends along walls for return air in the false ceiling if required and painting the steel work  with one coat of red oxide zinc chromate primer etc., complete all as per  specification. Rate to include the provision for Trap doors ,drilling/cutting /providing holes for electrical fixtures /services and finishing the same .</t>
  </si>
  <si>
    <t>FC 04</t>
  </si>
  <si>
    <t>PVC Trap Doors</t>
  </si>
  <si>
    <t>Providing and fixing trap doors for access to the areas above false ceiling. The trap door shall have an external frame  on which the shutter is hinged. The shutter shall be moulded in level with the false ceiling forming a groove all around. Sufficient number of hinges and locks shall be provided to avoid sagging of the shutter. Key also shall be supplied. No extra rate shall be provided for suspenders or frame works alround for linking the trap door to gypboard false ceiling. Refer Architecural drawing for details and manufacturers recommendation.</t>
  </si>
  <si>
    <t>No</t>
  </si>
  <si>
    <t>The vendor to ensure the trap doors should not bend or sag after installtion.</t>
  </si>
  <si>
    <t>PNL 01</t>
  </si>
  <si>
    <t>Wall Panelling</t>
  </si>
  <si>
    <t>Providing and fixing moisture-resistant calcium silicate board wall panelling using 8 mm / 10 mm / 12 mm thick boards (as specified), fixed on GI metal framing system (floor channel, vertical studs at 600 mm c/c, top track), including corrosion-resistant screws, jointing tape, joint compound, edge finishing, and preparing the surface ready for painting. Installation to include all materials, labour, scaffolding, consumables, and accessories as per manufacturer’s recommendations.
Hilux / Everest / Ramco / Equivalen</t>
  </si>
  <si>
    <t>PNL 02</t>
  </si>
  <si>
    <t xml:space="preserve">Providing and fixing moisture-resistant gypsum board wall panelling using 12.5 mm thick MR gypsum boards fixed on GI metal framing system (floor channel, vertical studs at 600 mm c/c, top track), including necessary screws, jointing tape, joint compound (3-coat), finishing smooth, and ready for painting. All materials, labour, tools, accessories, and complete installation as per manufacturer’s specifications
Gyproc / USG Boral / Equivalent
</t>
  </si>
  <si>
    <t>SUB TOTAL ( F )- FALSE CEILING WORKS</t>
  </si>
  <si>
    <t>G</t>
  </si>
  <si>
    <t>FLR</t>
  </si>
  <si>
    <t>Flooring Works</t>
  </si>
  <si>
    <t>FLR 01</t>
  </si>
  <si>
    <t>Screed</t>
  </si>
  <si>
    <t xml:space="preserve">Providing and laying to required slope line Cement screed concrete(smooth finish) flooring of average  30 to  40 mm thick in cement concrete 1:2:4, M15 grade,using 12mm and down graded granite aggregate laid in alternative panels not exceeding 2.5 Sq.m in area laid to proper level, slope , making provision for earth pits, floor conduits etc and finishing, including cleaning of base, curing by ponding water, necessary shuttering with all leads and lifts  complete. Top should be finished with power trowel to required finish / as instructed by the Engineer .  </t>
  </si>
  <si>
    <t>The rate should be inclusive of necessary base cleaning,chipping of loose mortar.</t>
  </si>
  <si>
    <t>Rate quoted shall include for chipping for the conduits/ drain pipes etc and removal of debris from the working area , including carting away from the site, as desired and making good (in perfect condition). On inserting the services, the balance portion to  be neatly plastered of mix 1:3 , in proper line and level with the PCC floor</t>
  </si>
  <si>
    <t>FLR 02</t>
  </si>
  <si>
    <t>40mm thick Pre Polished KOTA Stone Flooring</t>
  </si>
  <si>
    <t>Providing &amp; laying 40mm thick Pre-polished Kota stone flooring of approved shade and quality,  set on 20-25mm thk cement mortor 1:4, including machine cutting, laying without any surface level mismatch , polymer grout, oxalic acid washing,covering with 50mm thick POP&amp; plastic sheet for the same, making antiskid grooves in steps if any &amp;  cleaning at the time when instructed, rectification for  damages etc., complete including all leads &amp; lifts at all levels as directed by Engineer Incharge. Care to be taken to see that the laying is done with slabs of matching shades. Extra care to be taken while laying the stones in the areas with borders if any of different materials.The rate to include the cost of buffing and final cleaning.Rate shall include providing coving as per the details in the drawing</t>
  </si>
  <si>
    <t xml:space="preserve">Any unevenness or undulations/scratches/cutting ,  re-polishing shall have to be done   to make the surface even to the satisfaction of the engineer incharge. </t>
  </si>
  <si>
    <t>Basic rate of the slab : Rs.80/- per sft</t>
  </si>
  <si>
    <t>FLR 03</t>
  </si>
  <si>
    <t>20mm thick Pre Polished KOTA Stone Flooring</t>
  </si>
  <si>
    <t>Providing &amp; laying 20mm thick Pre-polished Kota stone flooring of approved shade and quality,  set on 20-25mm thk cement mortor 1:4, including machine cutting, laying without any surface level mismatch , polymer grout, oxalic acid washing,covering with 50mm thick POP&amp; plastic sheet for the same, making antiskid grooves in steps if any &amp;  cleaning at the time when instructed, rectification for  damages etc., complete including all leads &amp; lifts at all levels as directed by Engineer Incharge. Care to be taken to see that the laying is done with slabs of matching shades. Extra care to be taken while laying the stones in the areas with borders if any of different materials.The rate to include the cost of buffing and final cleaning. Rate shall include providing coving as per the details in the drawing</t>
  </si>
  <si>
    <t>Basic rate of the slab : Rs.60/- per sft</t>
  </si>
  <si>
    <t>FLR 04</t>
  </si>
  <si>
    <t>Vitrified Tile Flooring</t>
  </si>
  <si>
    <t xml:space="preserve">Providing and laying Vitrified tile flooring  of make  &amp; model as approved by the architects ,size 600x600mm , finished to required slope, set on 20mm thick cement mortar in ratio 1:4, polymer grouting of joints , curing, protecting the tiles by covering with 50mm thick POP with polythene cover . The cost shall include  providing patterns, borders, inlays , Spacers etc complete with all leads &amp; lifts at all levels and heights including all wastages, and all as per the instructions of Engineer in Charge/Architects. Oxalic acid washing to be done on the tiled areas before handing over. </t>
  </si>
  <si>
    <t>The cost to include making provisions for grating fixing in coordination with the plumbing agency</t>
  </si>
  <si>
    <t>All junctions of the wall/dadoo and floor to be filled with sealant.</t>
  </si>
  <si>
    <t>Basic price of the tile Rs.60/- per sft</t>
  </si>
  <si>
    <t>FLR 05</t>
  </si>
  <si>
    <t>Ceramic Tile Flooring</t>
  </si>
  <si>
    <t xml:space="preserve">Providing and laying Ceramic tile flooring  of make  &amp; model as approved by the architects ,size 300x300mm , finished to required slope, set on 20mm thick cement mortar in ratio 1:4, polymer grouting of joints , curing, protecting the tiles by covering with 50mm thick POP with polythene cover . The cost shall include  providing patterns, borders, inlays , Spacers etc complete with all leads &amp; lifts at all levels and heights including all wastages, and all as per the instructions of Engineer in Charge/Architects. Oxalic acid washing to be done on the tiled areas before handing over. </t>
  </si>
  <si>
    <t>Basic price of the tile Rs.50/- per sft</t>
  </si>
  <si>
    <t>PU Finish for flooring</t>
  </si>
  <si>
    <t>Providing and applying PU (Polyurethane) floor coating system of 1.5 to 2 mm thickness over prepared concrete surface in food processing areas, including all materials, labour, surface preparation, equipment, and consumables complete as per specifications and directions of the Engineer-in-Charge. The system shall comprise surface preparation, Primer application with solvent free epoxy primer, PU base coat, PU top coat, curing and final seamless finishing all as per standard norms and manufacturers recommendation. Shade and colour to match the Architects requirements.</t>
  </si>
  <si>
    <t>FLR 06</t>
  </si>
  <si>
    <t>Paver Blocks for Parking</t>
  </si>
  <si>
    <r>
      <t xml:space="preserve">Providing and laying of 300 x300 x120mm thick in size  paver blocks of  approved shade, Quality &amp; make, laid over 40mm thick compacted sand bed including edge cutting of pavers as per design and setting with mechanical vibrations including all incidentals, etc.,laying without any surface level mismatch &amp; cleaning at the time when instructed, rectification for damages etc., complete including all leads &amp; lifts at all levels as directed by Engineer In-charge. Care to be taken to see that the laying is done with  pavers of matching shades. The rate to include for final cleaning. </t>
    </r>
    <r>
      <rPr>
        <b/>
        <sz val="11"/>
        <rFont val="Aptos Narrow"/>
        <family val="2"/>
        <scheme val="minor"/>
      </rPr>
      <t xml:space="preserve">(Basic Rate - Rs 135/Sft) </t>
    </r>
  </si>
  <si>
    <t>FLR 07</t>
  </si>
  <si>
    <t>19mm thick Sadarhalli Flamed Granite Flooring</t>
  </si>
  <si>
    <t>Providing &amp; laying  19 to 20mm thick flamed Granite slab flooring of approved  quality,  set on 20-25mm thk cement mortor 1:4, including machine cutting, laying without any surface level mismatch , polymer grout, covering with 50mm thick POP&amp; plastic sheet for the same, cleaning at the time when instructed, rectification for  damages etc., complete including all leads &amp; lifts at all levels as directed by Engineer Incharge. Care to be taken to see that the laying is done with slabs of matching shades. Extra care to be taken while laying the stones in the areas with borders if any of different materials.The rate to include the cost of final cleaning.  Basic Price of the slab : Rs.90/sft</t>
  </si>
  <si>
    <t>FLR 08</t>
  </si>
  <si>
    <t>50mm thick Cement Concrete Flooring</t>
  </si>
  <si>
    <t xml:space="preserve">Providing and laying to required slope line Cement screed concrete(smooth finish) flooring of average  50mm thick in cement concrete 1:2:4, M15 grade,using 12mm and down graded granite aggregate laid in alternative panels not exceeding 2.5 Sq.m in area laid to proper level, slope , making provision for earth pits, floor conduits etc and finishing, including cleaning of base, curing by ponding water, necessary shuttering with all leads and lifts  complete. Top should be finished with power trowel to required finish / as instructed by the Engineer .  </t>
  </si>
  <si>
    <t>SKR 02</t>
  </si>
  <si>
    <t>PU finish Skirting</t>
  </si>
  <si>
    <t>Providing and applying PU (Polyurethane)  coating system of 3 mm to 4 mm thickness for skirting 100mm high over prepared  surface in food processing areas, including all materials, labour, surface preparation, equipment, and consumables complete as per specifications and directions of the Engineer-in-Charge. The system shall comprise surface preparation, Primer application with solvent free epoxy primer, PU base coat, PU top coat, curing and final seamless finishing all as per standard norms and manufacturers recommendation. Shade and colour to match the Architects requirements.</t>
  </si>
  <si>
    <t>Vitrified Tile Skirting</t>
  </si>
  <si>
    <t>Providing and laying 100mm high Vitrified  tile Skirting of   approved  equivalent make  &amp; shade  as approved by the architects, tiles cut to size. The rate shall include the cost of grouting of joints with Balendura/Laticrete or approved equivalent make to match the colour of the tile, chasing of wall to flush the skirting in line with the wall, fixing with approved adhesives to required thickness, oxalic acid washing etc complete, with all leads &amp; lifts at all levels and heights  and all as per the instructions of Engineer in Charge/Architects. Wastages shall not be paid extra.  (Basic rate : Rs.60/sft)</t>
  </si>
  <si>
    <t>SKR 02a</t>
  </si>
  <si>
    <t>Ceramic Tile Skirting</t>
  </si>
  <si>
    <t>Providing and laying 100mm high Ceramic  tile Skirting of   approved  equivalent make  &amp; shade  as approved by the architects, tiles cut to size. The rate shall include the cost of grouting of joints with Balendura/Laticrete or approved equivalent make to match the colour of the tile, chasing of wall to flush the skirting in line with the wall, fixing with approved adhesives to required thickness, oxalic acid washing etc complete, with all leads &amp; lifts at all levels and heights  and all as per the instructions of Engineer in Charge/Architects. Wastages shall not be paid extra.  (Basic rate : Rs.50/sft)</t>
  </si>
  <si>
    <t>SKR 03</t>
  </si>
  <si>
    <t>Sadarhalli Flamed Granite skirting</t>
  </si>
  <si>
    <r>
      <t xml:space="preserve">Providing and laying skirting 100mm high with 18mm thk  Granite stone , laid with CM 1 : 4 (1 Cement: 4  sand) . The rate shall include the cost of  jointing with white cement mixed with pigments  to match the colour of the stone, chasing of wall to flush the skirting in line with the wall,  cleaning etc complete, with all leads &amp; lifts at all levels and heights, and as per the instructions of Engineer in Charge. Wastages shall not be paid extra. </t>
    </r>
    <r>
      <rPr>
        <b/>
        <sz val="11"/>
        <color theme="1"/>
        <rFont val="Arial Narrow"/>
        <family val="2"/>
      </rPr>
      <t>( Basic Rate - Rs.90/sft)</t>
    </r>
  </si>
  <si>
    <t>Clad 01</t>
  </si>
  <si>
    <t>CeramicTile Dadoing</t>
  </si>
  <si>
    <t>Providing   and  Fixing  Ceramic glazed Tiles  of  approved equivalent make of approved size and shade as approved by the Architects   with  minimum  thickness  10  mm  of approved colour/design   to corners  of door/ledge  wall over 6-10mm thick tile adhesive of approved make.  Work to include  grouting of joints to match the colour of the tile, acid washing complete.The rate shall include for borders,  etc., including all leads and lifts at all levels complete, and as per the instructions of Engineer in Charge. Basic rate : Rs.50/sft) - Toilets</t>
  </si>
  <si>
    <t>Clad 03</t>
  </si>
  <si>
    <t>Kota Stone Dadoing</t>
  </si>
  <si>
    <t>Providing and fixing 20mm Thk Pre-polished   Kota stone for  Cladding  as per drawing laid with 20 mm avg. thickness of cement mortar 1:3 (1cement : 3  Sand) wet cladding.  including making moulding at the edges of stones where ever required as per design &amp; drawing, chamfering the edges &amp; making 16mm depth V grooves as per drawing, pointing  with white cement with matching pigment of approved make, making drip course where ever required, chamfering , polishing, scaffolding, curing etc. complete as per design &amp; drawing. Basic price of the stone - Rs.70/- per sft</t>
  </si>
  <si>
    <t>Clad 04</t>
  </si>
  <si>
    <t>Sadarhalli Granite - Wall cladding - 200 wide</t>
  </si>
  <si>
    <t>Providing and fixing 20mm Thk 200 mm wide  Pre-polished   Granite stone for  Cladding  as per drawing laid with 20 mm avg. thickness of cement mortar 1:3 (1cement : 3  Sand) wet cladding.  including making moulding at the edges of stones where ever required as per design &amp; drawing, chamfering the edges &amp; making 16mm depth V grooves as per drawing, pointing  with white cement with matching pigment of approved make, making drip course where ever required, chamfering , polishing,  curing etc. complete as per design &amp; drawing.  Basic Price : Rs.70/- per sft</t>
  </si>
  <si>
    <t>Clad 05</t>
  </si>
  <si>
    <t xml:space="preserve">Stainless Steel Cladding </t>
  </si>
  <si>
    <t>Providing and fixing stainless steel cladding with steel grade SS 304 on the wall  ( thickness 1.5mm ) with all the consumables as per the architects drawing and manufacturers recommendation</t>
  </si>
  <si>
    <t>Cop 01</t>
  </si>
  <si>
    <t>Granite Coping 200 wide with Sadarhalli Granite( Pre Polished )</t>
  </si>
  <si>
    <t>Providing and laying Granite coping of 200 mm wide laid over CM 20mm thick in proportion 1:4 with edge chamfering etc all as per architects drawing. Thickness of Granite shall be of 18mm.Basic price of Granite : Rs.70/- per sft</t>
  </si>
  <si>
    <t>SUB TOTAL ( G )-FLOORING WORKS</t>
  </si>
  <si>
    <t>H</t>
  </si>
  <si>
    <t>FD/WD/UP</t>
  </si>
  <si>
    <t>DOORS</t>
  </si>
  <si>
    <t xml:space="preserve">Notes:            Archtects drawings / details supercedes the specifications. Kindly refer the drawings before quoting.                                                                                                                                                                                                                                                                                                                              </t>
  </si>
  <si>
    <t>FD</t>
  </si>
  <si>
    <t>FIRE DOORS</t>
  </si>
  <si>
    <t>Providing and fixing of hollow metal fire rated doors as per IS 3614: 2021, for 120min integrity only. Pressed galvanized steel confirming to IS 277 with the following specification.Recommended fire door shall be tested as per IS/ISO 3008 &amp; IS/ ISO 834-1, from Exova/TBW/CBRI approved lab.Labled fire doors shall be with fire rated hardware and vision panel all as a complete assembly. Proper label confirming the type of door and the hourly rating is mandatory.</t>
  </si>
  <si>
    <t>Door frame shall be single rebate grooved profile of size 100 x 57mm made out of 1.20mm (18gauge) minimum thick galvanized steel sheet. Frames shall be mitered and field assembled with self tabs. Frames to have inbuild grooved sealing system for taking fire rated EPDM seals. All provision should be mortised, drilled and tapped for receiving appropriate hardware.  Frames should be provided with back plate bracket and anchor fasteners for installation on a finished plastered masonry wall opening. Frames shall be filled with fire rated puff.</t>
  </si>
  <si>
    <t>Rate shall include supply and installation of frame, shutter as a complete assembly including glass with tapes, louvers, excluding all hardware, smoke seals</t>
  </si>
  <si>
    <t>Note : Refer Architects Drawing for the details. The description in the BOQ is in general. Contractors to read the architects drawings / details before quoting</t>
  </si>
  <si>
    <t>FD 01</t>
  </si>
  <si>
    <t>Double Leaf Fire Rated Door with  SS Kick Plates</t>
  </si>
  <si>
    <t>Ironmongery of approved make:</t>
  </si>
  <si>
    <t>a) SS ball bearing butt hinges size 102mm x 76mm x 3mm - 4 Nos.</t>
  </si>
  <si>
    <t>b) SS Door handle 300X15/35MM - 1 Nos.</t>
  </si>
  <si>
    <t>c) SS Door lock (dual bolt) - 1 Nos.</t>
  </si>
  <si>
    <t>d) SS auto door closer - 1 Nos.</t>
  </si>
  <si>
    <t>e) Panic bar - 1 Nos.</t>
  </si>
  <si>
    <t>f) Vision panel of size 200mm x 300mm with approved fire rated glass with 10mm x 10mm beading - 1 Nos.</t>
  </si>
  <si>
    <t>D1 - 2.4x2.1</t>
  </si>
  <si>
    <t>D3 - 1.8x2.1</t>
  </si>
  <si>
    <t>D4 - 1.5x2.1</t>
  </si>
  <si>
    <t>D7 - 1.5x2.1</t>
  </si>
  <si>
    <t>FD 02</t>
  </si>
  <si>
    <t>Single Leaf Fire Rated Door with  SS Kick Plates</t>
  </si>
  <si>
    <t>Item same as above (A ) but with double leaf with vision panel ( 200x300  in each of the leaves - 4mm thk toughened glass wired fire rated with 10x10mm beading )</t>
  </si>
  <si>
    <t>D2 - 1.2x2.1</t>
  </si>
  <si>
    <t>D5 - 1.2x2.1</t>
  </si>
  <si>
    <t>D6 - 1.3x2.1</t>
  </si>
  <si>
    <t>D8 - 1.3x2.1</t>
  </si>
  <si>
    <t>UPVC 01</t>
  </si>
  <si>
    <t>UPVC Doors</t>
  </si>
  <si>
    <t>Providing and Fixing UPVC Doors of approved make ,  type as mentioned in the architects drawings and  of multi-chambered uPVC profiles for the frame and shutter,  EPDM gaskets, powder-coated zinc alloy hardware (hinges, handles, locks), appropriate uPVC glazing beads, and multi-point locking systems with cylinders etc Complete all as per the manufacturers recommendation. The hinges, hardware and locking systems shall be of zinc alloy powder coated.</t>
  </si>
  <si>
    <t>D2A - 1.2x2.1</t>
  </si>
  <si>
    <t>D9 - 1.2x2.1 - Toilet Main Door</t>
  </si>
  <si>
    <t>D11- 1.2x2.1 ( Service Door )</t>
  </si>
  <si>
    <t>D14-0.85x2.15  ( Build 2 )</t>
  </si>
  <si>
    <t>D15-0.9x2.15 ( Build 2)</t>
  </si>
  <si>
    <t>D16-1.2x2.1</t>
  </si>
  <si>
    <t>D17 - .93x2.15</t>
  </si>
  <si>
    <t>UPVC 02</t>
  </si>
  <si>
    <t>UPVC Windows</t>
  </si>
  <si>
    <t xml:space="preserve">Providing  and  fixing  UPVC  Three track Sliding Windows  made  out  of UPVC    sections , of  approved make and colour  as approved by the Architects with UPVC  shutters ,  fitted with  6 mm thk Clear plain glass of Saint Gobain/Modi  make and with arrangements like weather strips, clips etc., to make them completely waterproof and free from rattling and all standard accessories like self locking system, handles, hinges, screws, nails,insect mesh,hardware of  approved make  etc., Water tight joints should be ensured with the masonry/RCC by using Sealants as &amp; where necessary. Item inclusive of all fabrication, transportation, fixing at site inclusive of all scaffolding etc., complete to suit the overall sizes of openings as detailed in drawing and as directed  by  the  Architect   /   Engineer-in-charge. Note : The bottom section to have drain hole arrangement with proper slope ) </t>
  </si>
  <si>
    <t>A1 - 0.9x1.2m</t>
  </si>
  <si>
    <t>UPVC 03</t>
  </si>
  <si>
    <t>Ventilators</t>
  </si>
  <si>
    <t xml:space="preserve">Providing  and  fixing  UPVC  Ventilators  made  out  of UPVC    sections , of  approved make and colour  as approved by the Architects  ,  fitted with  5 mm thk Frosted glass of approved quality &amp; make and with arrangements like weather strips, clips etc., to make them completely waterproof and free from rattling and all standard accessories like self locking system, handles, hinges, screws, nails,hardware of  approved make  etc., Water tight joints should be ensured with the masonry/RCC by using Sealants as &amp; where necessary. Item inclusive of all fabrication, transportation, fixing at site inclusive of all scaffolding etc., complete to suit the overall sizes of openings as detailed in drawing and as directed  by  the  Architect   /   Engineer-in-charge. Note : The bottom section to have drain hole arrangement with proper slope ) </t>
  </si>
  <si>
    <t>A2 - 0.9x0.6m</t>
  </si>
  <si>
    <t>WD 01</t>
  </si>
  <si>
    <t>TOILET INTERNAL DOOR WITH PLY</t>
  </si>
  <si>
    <t xml:space="preserve">Providing and fixing well seasoned good quality  Ply doors with sal wood  framed door frames of width as given in the detailed drawing ;  sal wood rebated frames of 125mmx62.5mm size  to be fixed on to the walls using MS holdfast 3 Nos (Flat iron of 400x25x6mm ) on either side embedded in concrete 1:2:4. The frame shall be painted with 2 coats of  enamel paint over a coat of primer of approved shade and make. Supplying &amp; fixing of  Flush shutter 35mm thk , finished with Laminate outside &amp; enamel paint of approved make and shade inside . The rate shall include SS hardwares , Lock  etc   of approved make as per details in the drawings and hardware schedule  with all leads &amp; lifts, at all level.
</t>
  </si>
  <si>
    <t>MSH - 01</t>
  </si>
  <si>
    <t>Mesh Doors for Gas Bank</t>
  </si>
  <si>
    <t>Providing, Fabricating and fixing Mesh doors with Galvalizes Steel  sections.The door frames shall be of GI  held in position as shown in the architects drawing. The shutter frames shall be of GI to hold the SS mesh of approved gauge as detailed in the drawing. All materials including the hardware, hinges etc shall be 2 hours fire rated. THe SS shall be of SS 304 standard. All aspects of the door, including materials, construction, and installation, should adhere to approved architectural drawings and the directions of the Engineer-in-Charge. Compliance with relevant standards, such as IS:3614 for metal fire doors, should be ensured where applicable</t>
  </si>
  <si>
    <t>Double Door - D12 - 1.2x2.1</t>
  </si>
  <si>
    <t>Double Door - D18 - 1.2x2.1</t>
  </si>
  <si>
    <t>MD -01</t>
  </si>
  <si>
    <t>METAL DOOR FOR CAFETARIA</t>
  </si>
  <si>
    <t>Providing  and fixing metal door ( approved make ); The  Frame is made from 1.6 mm thick GI sheet (16 gauge) with a double rebate profile (e.g., 143x57mm). The frame includes a factory-punched groove for intumescent fire and smoke seals.Shutter is double-skinned, manufactured from 1.2 mm thick Galvanized Steel (GI) sheets. The internal infill is honeycomb or rockwool, with suitable reinforcements for hardware. All edges are interlocked. Pure polyester powder coating on both door leaf and frame, with a minimum thickness of 50 microns in an approved RAL shade. Finish must pass 500 hours of salt spray testing, Providing and fixing heavy-duty, stainless steel (Grade 304) butt hinges (min. 4 per shutter) with necessary screws , providing and fixing a push-bar-style panic exit device with an outside key and cylinder, for emergency exit doors, heavy-duty mortise sash lock with a stainless steel lever handle and cylinder, Heavy duty hydraulic door closer, Including fasteners, rubber buffers, sealant, grouting of frame with non-shrink cement grout, and making good any damages etc complete.</t>
  </si>
  <si>
    <t>Metal Door - D13 - 1.5x2.1</t>
  </si>
  <si>
    <t xml:space="preserve">Note : Refer Architects drawing for details. Architects drawings supercede the specification </t>
  </si>
  <si>
    <t>SUB TOTAL ( H )-JOINERY WORKS</t>
  </si>
  <si>
    <t>SI NO</t>
  </si>
  <si>
    <t>DESCRIPTION</t>
  </si>
  <si>
    <t>UOM</t>
  </si>
  <si>
    <t>QUANTITY</t>
  </si>
  <si>
    <t>RATE (INR)</t>
  </si>
  <si>
    <t>AMOUNT (INR)</t>
  </si>
  <si>
    <t>J</t>
  </si>
  <si>
    <t>Cafetaria Tabls</t>
  </si>
  <si>
    <t>Nos</t>
  </si>
  <si>
    <t>Café Chairs</t>
  </si>
  <si>
    <t>Total Basic Value of Furniture</t>
  </si>
  <si>
    <t>GRAND TOTAL</t>
  </si>
  <si>
    <t>a). FRONT AREA - LOADING &amp; UNLOADING BAY</t>
  </si>
  <si>
    <t>S.I No.</t>
  </si>
  <si>
    <t>items</t>
  </si>
  <si>
    <t>Nos.</t>
  </si>
  <si>
    <t>Length</t>
  </si>
  <si>
    <t>Breadth</t>
  </si>
  <si>
    <t>Depth</t>
  </si>
  <si>
    <t>weight/density</t>
  </si>
  <si>
    <t>Quantity</t>
  </si>
  <si>
    <t>unit</t>
  </si>
  <si>
    <t>Amt</t>
  </si>
  <si>
    <r>
      <rPr>
        <b/>
        <sz val="14"/>
        <rFont val="Times New Roman"/>
        <family val="1"/>
      </rPr>
      <t xml:space="preserve">Structural Steel     </t>
    </r>
    <r>
      <rPr>
        <sz val="14"/>
        <rFont val="Times New Roman"/>
        <family val="1"/>
      </rPr>
      <t xml:space="preserve">                                         Fabricating, supplying and erecting M.S.tubular Sections of span upto 10m. . The members is anchored in RCC column or Blocks by using  M.S. anchor bolts with the base plate and shoe plate.The work includes cutting, straightening, placing in position of M.S angle and wleding wherever necessary, and applying one coat of red oxide primer coat to all themembers including cost of all materials, labour charges, and hire charges of machineries for cutting, welding, grinding and erection equipments, with all lead and lift, transportation, etc., complete as per specification.</t>
    </r>
  </si>
  <si>
    <t>Columns- RHS(300x200x6)</t>
  </si>
  <si>
    <t>Kgs</t>
  </si>
  <si>
    <t>Endplates</t>
  </si>
  <si>
    <t>Beams -RHS(300x200x6)(Roof)</t>
  </si>
  <si>
    <t>Beams -RHS(60x40x2.6)(Roof)</t>
  </si>
  <si>
    <t>Beams -RHS(200x100x6.0)(Platform)</t>
  </si>
  <si>
    <t>Beams -RHS(80x40x4.0)(Platform)</t>
  </si>
  <si>
    <t>Connections</t>
  </si>
  <si>
    <r>
      <rPr>
        <b/>
        <sz val="14"/>
        <rFont val="Times New Roman"/>
        <family val="1"/>
      </rPr>
      <t xml:space="preserve">Concrete for footings and pedestals (M25) </t>
    </r>
    <r>
      <rPr>
        <sz val="14"/>
        <rFont val="Times New Roman"/>
        <family val="1"/>
      </rPr>
      <t xml:space="preserve">                                                                KSRB 4.2.1 : Providing and laying in position reinforced cement concrete of Design mix M25 with OPC cement @ 340kgs, with 20mm and down size graded granite metal coarse aggregates @0.70 cum and fine aggregtes @ 0.47cum, with super plasticisers @ 3 liters confirming to is 9103-1999 reafirmed-2008 at machine mixed, concrete laid in layers not exceeding 15 cms thick, vibrated for all works in foundation for footings, pedastals, retaining walls, return walls, walls (any thickness) including attached pilasters, columnspillars, posts, struts, buttresses, bed blocks, anchor blocks &amp; plinths etc., including cost of all materials, labour, HOM of machinery, curing, complete but excluding cost of reinforcement as per specifications. Specification No. KBS 4.1, 4.6</t>
    </r>
  </si>
  <si>
    <t>Foundation</t>
  </si>
  <si>
    <t>Pedestals</t>
  </si>
  <si>
    <r>
      <rPr>
        <b/>
        <sz val="14"/>
        <rFont val="Times New Roman"/>
        <family val="1"/>
      </rPr>
      <t>Reinforcing Steel</t>
    </r>
    <r>
      <rPr>
        <sz val="14"/>
        <rFont val="Times New Roman"/>
        <family val="1"/>
      </rPr>
      <t xml:space="preserve">                                                KSRB 4.9.2 : Providing TMT  steel  reinforcement for R C C work including straightening, cutting, bending, hooking, placing in position, lapping and / or welding wherever required, tying with binding wire and anchoring to the adjoining members wherever necessary complete as per design ( laps, hooks and wastage shall not be measured and paid ) cost of materials, labour, HOM of machinery complete as per specifications.  TMT bars Fe 500</t>
    </r>
  </si>
  <si>
    <t>reinforcements</t>
  </si>
  <si>
    <r>
      <rPr>
        <b/>
        <sz val="14"/>
        <rFont val="Times New Roman"/>
        <family val="1"/>
      </rPr>
      <t xml:space="preserve">GI sheet
</t>
    </r>
    <r>
      <rPr>
        <sz val="14"/>
        <rFont val="Times New Roman"/>
        <family val="1"/>
      </rPr>
      <t>Providing &amp; fixing corrugated G.S. sheet roofing including vertical/curved surface fixed with polymer coated J or L hooks, bolts and
nuts 8 mm diameter with bitumen and G.I. limpet washers or with G.I.
limpet washers filled with white lead, including a coat of approved steel primer and two coats of approved paint on overlapping of sheets
complete as per design drawings (up to any pitch in horizontal/ vertical or curved surfaces), excluding the cost of purlins, rafters and trusses
and including cutting to size and shape wherever required as per the direction of Engineer in charge.</t>
    </r>
  </si>
  <si>
    <t>G.I Sheet area</t>
  </si>
  <si>
    <r>
      <rPr>
        <b/>
        <sz val="14"/>
        <rFont val="Times New Roman"/>
        <family val="1"/>
      </rPr>
      <t xml:space="preserve">SSM   </t>
    </r>
    <r>
      <rPr>
        <sz val="14"/>
        <rFont val="Times New Roman"/>
        <family val="1"/>
      </rPr>
      <t xml:space="preserve">                                                                     KSRB 5.2-1 : Providing and constructing granite / trap / basalt size stone masonry in foundation with mud mortar, stone hammerd dressed in courses not less than 20 cms high, bond stones at two m. apart in each course including cost of materials, labour, curing complete as per specifications. KBS 5.1.12</t>
    </r>
  </si>
  <si>
    <t>SSM For Loading Stage</t>
  </si>
  <si>
    <t>2nd coarse</t>
  </si>
  <si>
    <r>
      <rPr>
        <b/>
        <sz val="14"/>
        <rFont val="Times New Roman"/>
        <family val="1"/>
      </rPr>
      <t>Plain Cement Concrete</t>
    </r>
    <r>
      <rPr>
        <sz val="14"/>
        <rFont val="Times New Roman"/>
        <family val="1"/>
      </rPr>
      <t xml:space="preserve"> KSRB-4-1.3 : Providing and laying in position plain cement concrete of mix 1:4:8 with OPC cement @ 180kgs, with 40mm and down size graded granite metal coarse aggregates @ 0.85cum and fine aggregates @ 0.57cum machine mixed, concrete laid in layers not exceeding 15 cms. thick, well compacted, in foundation including cost all materials, labour, HOM of machinery, curing complete as per specifications.</t>
    </r>
  </si>
  <si>
    <t>PCC</t>
  </si>
  <si>
    <t xml:space="preserve"> under SSM</t>
  </si>
  <si>
    <t>under pedestals</t>
  </si>
  <si>
    <r>
      <rPr>
        <b/>
        <sz val="14"/>
        <rFont val="Times New Roman"/>
        <family val="1"/>
      </rPr>
      <t>Excavation</t>
    </r>
    <r>
      <rPr>
        <sz val="14"/>
        <rFont val="Times New Roman"/>
        <family val="1"/>
      </rPr>
      <t xml:space="preserve">                                                              Earth work excavation for foundation of structures by mechanical means as per drawing and technical specification, including setting out, construction of shoring and bracing, removal of stumps and other deleterious matter, dressing of sides and bottom, backfilling the excavation earth to the extent required and utilising / transporting the remaining earth locally upto 1.00km lead. (Depth upto 3.00 Mts) -In all types of soil</t>
    </r>
  </si>
  <si>
    <t>Excavation</t>
  </si>
  <si>
    <r>
      <rPr>
        <b/>
        <sz val="14"/>
        <rFont val="Times New Roman"/>
        <family val="1"/>
      </rPr>
      <t xml:space="preserve">GI GUTTER
</t>
    </r>
    <r>
      <rPr>
        <sz val="14"/>
        <rFont val="Times New Roman"/>
        <family val="1"/>
      </rPr>
      <t>Providing &amp; fixing corrugated G.S. sheet roofing including vertical/curved surface fixed with polymer coated J or L hooks, bolts and
nuts 8 mm diameter with bitumen and G.I. limpet washers or with G.I.
limpet washers filled with white lead, including a coat of approved steel primer and two coats of approved paint on overlapping of sheets
complete as per design drawings (up to any pitch in horizontal/ vertical or curved surfaces), excluding the cost of purlins, rafters and trusses
and including cutting to size and shape wherever required as per the direction of Engineer in charge.</t>
    </r>
  </si>
  <si>
    <t>GI Gutter</t>
  </si>
  <si>
    <t>b). FRONT AREA - Storage area</t>
  </si>
  <si>
    <t>Columns- RHS(172x92x4.8)</t>
  </si>
  <si>
    <t>Beams -RHS(145x82x4.8)(Roof)</t>
  </si>
  <si>
    <t>Beams -RHS(145x82x4.8)(Platform)</t>
  </si>
  <si>
    <t>c). DISPATCH BAY</t>
  </si>
  <si>
    <t>SSM</t>
  </si>
  <si>
    <t>d). UG Sump</t>
  </si>
  <si>
    <t>3,6</t>
  </si>
  <si>
    <r>
      <rPr>
        <b/>
        <sz val="14"/>
        <rFont val="Times New Roman"/>
        <family val="1"/>
      </rPr>
      <t>RCC Precast Water Tank</t>
    </r>
    <r>
      <rPr>
        <sz val="14"/>
        <rFont val="Times New Roman"/>
        <family val="1"/>
      </rPr>
      <t>s
Providing and installing RCC precast water storage tank of 50,000 litres capacity (internal size 6.7 m × 2.5 m × 3.0 m), including necessary inlet/outlet/overflow/drain provisions, complete as per specifications/ approvals</t>
    </r>
  </si>
  <si>
    <t>Precast water tanks</t>
  </si>
  <si>
    <t>PCC for foundation</t>
  </si>
  <si>
    <t>e). STP</t>
  </si>
  <si>
    <r>
      <rPr>
        <b/>
        <sz val="14"/>
        <rFont val="Times New Roman"/>
        <family val="1"/>
      </rPr>
      <t>RCC Precast Sewage Water Tank</t>
    </r>
    <r>
      <rPr>
        <sz val="14"/>
        <rFont val="Times New Roman"/>
        <family val="1"/>
      </rPr>
      <t xml:space="preserve">s </t>
    </r>
    <r>
      <rPr>
        <b/>
        <sz val="14"/>
        <rFont val="Times New Roman"/>
        <family val="1"/>
      </rPr>
      <t>(STP)</t>
    </r>
    <r>
      <rPr>
        <sz val="14"/>
        <rFont val="Times New Roman"/>
        <family val="1"/>
      </rPr>
      <t xml:space="preserve">
Providing and installing RCC precast water storage tank of 40,000 litres capacity (internal size 6.0 m × 2.5 m × 3.0 m), including necessary inlet/outlet/overflow/drain provisions, complete as per specifications/ approvals</t>
    </r>
  </si>
  <si>
    <r>
      <rPr>
        <b/>
        <sz val="14"/>
        <rFont val="Times New Roman"/>
        <family val="1"/>
      </rPr>
      <t xml:space="preserve">Water proofing    </t>
    </r>
    <r>
      <rPr>
        <sz val="14"/>
        <rFont val="Times New Roman"/>
        <family val="1"/>
      </rPr>
      <t xml:space="preserve">                                                     Water proofing of RCC Terrace / podium slab / toilet / utilities / water retaining structure by preparing the surface by chipping and cleaning and Grouting of Honey comb, voids,cracks / construction joints with cement slurry (1kg cement added in 10 ltr of water) added with 100gm of inorganic accelerator, followed by spraying of liquid biological modified alkaline earth silicates @ 0.40 ltr per sqm on whole surface to reduce the micro porosity and allowing it to dry, curing the surface for the silicates to penetrate deeper into the concrete and spraying waterproofing impregnate liquid containing silane and silanol linear copolymer @ 0.50 ltr per sqm and finally applying polymer slurry made out of cross linked acrylic / styrene / butadiene &amp; cement in the ratio of 1:0.1, @0.50kg/sqm on the whole surface, including all labour charges tools and equipments, all complete as per the specification</t>
    </r>
  </si>
  <si>
    <t>Water proofing(In&amp;out wall)</t>
  </si>
  <si>
    <t>sqm</t>
  </si>
  <si>
    <t>f). DG yard</t>
  </si>
  <si>
    <t xml:space="preserve">i. </t>
  </si>
  <si>
    <t xml:space="preserve">PCC </t>
  </si>
  <si>
    <t>g). PUMP ROOM</t>
  </si>
  <si>
    <t>Beams-RHS(300x200x6.0)</t>
  </si>
  <si>
    <t>Beams-RHS(60x40x2.6)</t>
  </si>
  <si>
    <t>GI Sheets</t>
  </si>
  <si>
    <t>h). HVAC SUPPORT - INTERNAL AREA</t>
  </si>
  <si>
    <t>j). Overall New footings &amp; pedestals</t>
  </si>
  <si>
    <r>
      <rPr>
        <b/>
        <sz val="14"/>
        <rFont val="Times New Roman"/>
        <family val="1"/>
      </rPr>
      <t xml:space="preserve">Shuttering for Column footings and pedestals  </t>
    </r>
    <r>
      <rPr>
        <sz val="14"/>
        <rFont val="Times New Roman"/>
        <family val="1"/>
      </rPr>
      <t xml:space="preserve">   KSRB 4-6.1 : Providing and removing centering, shuttering, strutting, propping etc., and removal of form work for foundations, footings, bases of columns for mass concrete including cost of all materials, labour complete as per specificaitons. Specification No. KBS 4.6.2</t>
    </r>
  </si>
  <si>
    <t>Shuttering for footings &amp; pedestals</t>
  </si>
  <si>
    <r>
      <rPr>
        <b/>
        <sz val="14"/>
        <rFont val="Times New Roman"/>
        <family val="1"/>
      </rPr>
      <t>Backfilling</t>
    </r>
    <r>
      <rPr>
        <sz val="14"/>
        <rFont val="Times New Roman"/>
        <family val="1"/>
      </rPr>
      <t xml:space="preserve">                                                           KSRB 2.3 : Filling available excavated earth ( excluding rock ) in sides of foundations upto plinth in layers not exceeding 20 cms. in depth, compacting each deposited layer by ramming after watering with lead upto 50 m. and lift upto 1.5 m. including cost of all labour complete as per specifications. specification. No. KBS 2.9</t>
    </r>
  </si>
  <si>
    <t>Backfilling for footings &amp; pedestals</t>
  </si>
  <si>
    <t>j). Others</t>
  </si>
  <si>
    <t>Contigency</t>
  </si>
  <si>
    <t>Roundup</t>
  </si>
  <si>
    <t>SL NO</t>
  </si>
  <si>
    <t xml:space="preserve"> Qty</t>
  </si>
  <si>
    <t>Supply Rate
in INR</t>
  </si>
  <si>
    <t>Install Rate
in INR</t>
  </si>
  <si>
    <t>Supply Amount
in INR</t>
  </si>
  <si>
    <t>Install Amount
in INR</t>
  </si>
  <si>
    <t>I</t>
  </si>
  <si>
    <t>SANITARY &amp; CP FIXTURE</t>
  </si>
  <si>
    <r>
      <t>Providing, fixing, testing and commissioning of white vitreous   China  wall mounting type</t>
    </r>
    <r>
      <rPr>
        <b/>
        <sz val="10"/>
        <color theme="1"/>
        <rFont val="Aptos Narrow"/>
        <family val="2"/>
        <scheme val="minor"/>
      </rPr>
      <t xml:space="preserve"> European water closet </t>
    </r>
    <r>
      <rPr>
        <sz val="10"/>
        <color theme="1"/>
        <rFont val="Aptos Narrow"/>
        <family val="2"/>
        <scheme val="minor"/>
      </rPr>
      <t>with Concealed Cistern with Suitable  C.I. chair or other   hanging arrangements, WC connection set dia 90 mm complete of approved make including Bakelite seat &amp; cover with C.P. hinges &amp; rubber buffers, C.P. bolts, nut, necessary adaptors etc, 1 nos angle valve &amp; connection pipes as required Including cutting &amp; making good the walls  &amp; floors wherever required . (EWC 18131IN-S-0 Crystal Model - Make - parryware or equivalent)</t>
    </r>
  </si>
  <si>
    <r>
      <t xml:space="preserve">Providing ,fixing , testing and commissioning  of  15mm CP </t>
    </r>
    <r>
      <rPr>
        <b/>
        <sz val="10"/>
        <color theme="1"/>
        <rFont val="Aptos Narrow"/>
        <family val="2"/>
        <scheme val="minor"/>
      </rPr>
      <t>health fauce</t>
    </r>
    <r>
      <rPr>
        <sz val="10"/>
        <color theme="1"/>
        <rFont val="Aptos Narrow"/>
        <family val="2"/>
        <scheme val="minor"/>
      </rPr>
      <t xml:space="preserve">t of approved make with 1 no angle valve with necessary CP flexible hose 750 mm long nozzle,CP wall flange complete. </t>
    </r>
    <r>
      <rPr>
        <b/>
        <sz val="10"/>
        <color theme="1"/>
        <rFont val="Aptos Narrow"/>
        <family val="2"/>
        <scheme val="minor"/>
      </rPr>
      <t xml:space="preserve"> (Make : parryware T9961A1 Crust with Hose &amp; Hook or equivalent)</t>
    </r>
  </si>
  <si>
    <r>
      <t xml:space="preserve">Providing, fixing, testing and commissioning of white  vitreous china rectangular/oval/ round type  </t>
    </r>
    <r>
      <rPr>
        <b/>
        <sz val="10"/>
        <color theme="1"/>
        <rFont val="Aptos Narrow"/>
        <family val="2"/>
        <scheme val="minor"/>
      </rPr>
      <t xml:space="preserve">wash  basin </t>
    </r>
    <r>
      <rPr>
        <sz val="10"/>
        <color theme="1"/>
        <rFont val="Aptos Narrow"/>
        <family val="2"/>
        <scheme val="minor"/>
      </rPr>
      <t xml:space="preserve"> including single lever basin tap, 1 nos angle valve, waste coupling, bottle trap, CI / Polymer brackets duly painted, CP connection pipes, cutting and making good the walls floors wherever required.</t>
    </r>
    <r>
      <rPr>
        <b/>
        <sz val="10"/>
        <color theme="1"/>
        <rFont val="Aptos Narrow"/>
        <family val="2"/>
        <scheme val="minor"/>
      </rPr>
      <t xml:space="preserve"> (C0407 (550 x 445 x 200mm) : Make : Parryware or equivalent)</t>
    </r>
  </si>
  <si>
    <r>
      <t xml:space="preserve">Supply, Installing, testing and commissioning of </t>
    </r>
    <r>
      <rPr>
        <b/>
        <sz val="10"/>
        <rFont val="Aptos Narrow"/>
        <family val="2"/>
        <scheme val="minor"/>
      </rPr>
      <t>GLAZED FLAT BACK URINAL</t>
    </r>
    <r>
      <rPr>
        <sz val="10"/>
        <rFont val="Aptos Narrow"/>
        <family val="2"/>
        <scheme val="minor"/>
      </rPr>
      <t xml:space="preserve"> </t>
    </r>
    <r>
      <rPr>
        <b/>
        <sz val="10"/>
        <rFont val="Aptos Narrow"/>
        <family val="2"/>
        <scheme val="minor"/>
      </rPr>
      <t>WITH SERSOR BASED</t>
    </r>
    <r>
      <rPr>
        <b/>
        <strike/>
        <sz val="10"/>
        <rFont val="Aptos Narrow"/>
        <family val="2"/>
        <scheme val="minor"/>
      </rPr>
      <t xml:space="preserve"> </t>
    </r>
    <r>
      <rPr>
        <sz val="10"/>
        <rFont val="Aptos Narrow"/>
        <family val="2"/>
        <scheme val="minor"/>
      </rPr>
      <t xml:space="preserve">operated and has a provison of converter for the urinal sensor from DC to AC” with 6V adaptor. 32mm dia CP waste coupling with dome type grating, 32mm dia CP bottle trap/built in integral trap  with extension pipe, urinal spreader, SS bolts and nuts to fix the urinal </t>
    </r>
    <r>
      <rPr>
        <b/>
        <sz val="10"/>
        <rFont val="Aptos Narrow"/>
        <family val="2"/>
        <scheme val="minor"/>
      </rPr>
      <t>with chasing of wall and repacking the same with necssary supports  etc.</t>
    </r>
    <r>
      <rPr>
        <sz val="10"/>
        <rFont val="Aptos Narrow"/>
        <family val="2"/>
        <scheme val="minor"/>
      </rPr>
      <t xml:space="preserve"> complete, the rate quote shall also includes provision of conduit  to be made for laying the conduit inside wall sensor operated with AC, which include necessary white cement to pack the Conduit/fixture after installation and related accessories as per requirement . Vendor to check the model and make before fixing the inlet and outlet for urinal. . </t>
    </r>
    <r>
      <rPr>
        <b/>
        <sz val="10"/>
        <rFont val="Aptos Narrow"/>
        <family val="2"/>
        <scheme val="minor"/>
      </rPr>
      <t>(Make : parryware, Model : C0501 (270 x 360 x 440mm) flat back or equivalent)</t>
    </r>
  </si>
  <si>
    <r>
      <t>Providing ,fixing , testing and commissioning  15 mm dia. CP angle Pressure rating minimum of 5 bar the equipment should be provided</t>
    </r>
    <r>
      <rPr>
        <b/>
        <sz val="10"/>
        <color theme="1"/>
        <rFont val="Aptos Narrow"/>
        <family val="2"/>
        <scheme val="minor"/>
      </rPr>
      <t>. (Angle Cock -Make: Jaguar Model : FLR-5053 or equivalent)</t>
    </r>
  </si>
  <si>
    <t xml:space="preserve">Providing ,fixing , testing and commissioning of 15mm CP bib-cock with CP flanges including necessary fixing materials etc., complete.      </t>
  </si>
  <si>
    <t>RO</t>
  </si>
  <si>
    <t>TOTAL - I</t>
  </si>
  <si>
    <t>II</t>
  </si>
  <si>
    <t>SOIL, WASTE AND VENT &amp; RAIN WATER SYSTEM - (INTERNAL &amp; TERRACE)</t>
  </si>
  <si>
    <r>
      <t>Supplying, laying, jointing, testing and commission-ing approved make UPVC pipes  6 Kg/cm2 with solvent cement joints confirming to IS 4985</t>
    </r>
    <r>
      <rPr>
        <sz val="10"/>
        <color rgb="FFFF0000"/>
        <rFont val="Aptos Narrow"/>
        <family val="2"/>
        <scheme val="minor"/>
      </rPr>
      <t xml:space="preserve"> for SINK</t>
    </r>
    <r>
      <rPr>
        <sz val="10"/>
        <color theme="1"/>
        <rFont val="Aptos Narrow"/>
        <family val="2"/>
        <scheme val="minor"/>
      </rPr>
      <t xml:space="preserve"> outlets and Antisyphonage Pipes.The quoted rate shall include necessary chasing in walls making good the same in C.M. 1:4, necessary fittings viz.,elbows, tees etc., with G.I clamps. Anchor fasteners, Grip bolts, nuts and bolts, etc,complete. </t>
    </r>
  </si>
  <si>
    <t>a)  40 mm Outer dia  (Wash basin)</t>
  </si>
  <si>
    <t>b)  50 mm Outer dia (Kitchen sink)</t>
  </si>
  <si>
    <t xml:space="preserve">Supplying, jointing, testing &amp; Commissioning of approved make UPVC pipe SWR Type " B "  confirming to IS 13592 with rubber ring/solvent joints for soil waste lines confirming to IS 5382.The quoted rate shall include necessary bends,shoes,supporting, M.S Brackets, G.I.Clamps, anchor fasteners, Grip bolts, nuts and bolts, GI suspenders, etc., complete </t>
  </si>
  <si>
    <t>INTERNAL  :</t>
  </si>
  <si>
    <t>a)  110 mm O.D</t>
  </si>
  <si>
    <t xml:space="preserve">b)  75 mm O.D </t>
  </si>
  <si>
    <t>c)  160 mm O.D</t>
  </si>
  <si>
    <t>c)  200 mm O.D</t>
  </si>
  <si>
    <t>d)  160 mm O.D</t>
  </si>
  <si>
    <t>e)  110 mm O.D</t>
  </si>
  <si>
    <t xml:space="preserve">f)  75 mm O.D </t>
  </si>
  <si>
    <t xml:space="preserve">Supplying, jointing, testing &amp; Commissioning of approved make UPVC pipe SWR Type " B "  confirming to IS 13592 with rubber ring/solvent joints for rain water disposal confirming to IS 5382.The quoted rate shall include necessary bends,shoes,supporting, M.S Brackets, G.I.Clamps, anchor fasteners, Grip bolts, nuts and bolts, GI suspenders, etc., complete. </t>
  </si>
  <si>
    <t>Rain water pipes</t>
  </si>
  <si>
    <t>75 mm O.D (Terrace  head room)</t>
  </si>
  <si>
    <t xml:space="preserve">110 mm O.D </t>
  </si>
  <si>
    <r>
      <t>Supplying and fixing  of approved make</t>
    </r>
    <r>
      <rPr>
        <b/>
        <sz val="10"/>
        <color theme="1"/>
        <rFont val="Aptos Narrow"/>
        <family val="2"/>
        <scheme val="minor"/>
      </rPr>
      <t xml:space="preserve"> PVC RAIN WATER COLLECTION KHURRA </t>
    </r>
    <r>
      <rPr>
        <sz val="10"/>
        <color theme="1"/>
        <rFont val="Aptos Narrow"/>
        <family val="2"/>
        <scheme val="minor"/>
      </rPr>
      <t>made out of UPVC with flange with leaf trap grating complete.</t>
    </r>
  </si>
  <si>
    <t xml:space="preserve">Side Type Through : </t>
  </si>
  <si>
    <t>110mm dia</t>
  </si>
  <si>
    <t>Dome Type Through :</t>
  </si>
  <si>
    <t xml:space="preserve">75mm dia </t>
  </si>
  <si>
    <t>Supplying, fixing and testing SWR 110x110MM dia 'P' TRAP (Bell Mouth type) with SS frame and grating for floor drains with necessary boss connection for ,40 dia,  50 dia and 63 dia connection and extention pipe up to finished floor level for 110 dia, P trap to be properly supported for water level etc., complete. Rate quoted shall also include the necessary support required for trap with 50mm with water seal.</t>
  </si>
  <si>
    <t>Drilling with core cutting machine in RCC beams, slabs, floors etc., for Laying pipes and rendering the same in RCC 1:2:4, finishing the same to the satisfaction of the owner or his authorized representative etc., including nominal reinforcement wherever required complete. The quoted rate shall also include for providing EPOXY based water proofing compound for sealing the joints around the pipes..( slab thickness considered 150mm to 250mm thick )</t>
  </si>
  <si>
    <t>RCC Slabs.</t>
  </si>
  <si>
    <t>a) 110 mm dia pipes ( For EWC  )</t>
  </si>
  <si>
    <t>b) 75mm pipes ( For floor traps)</t>
  </si>
  <si>
    <t>b) Upto 50mm pipes (For wash basin )</t>
  </si>
  <si>
    <t>TOTAL - II</t>
  </si>
  <si>
    <t>III</t>
  </si>
  <si>
    <t>WATER SUPPLY SYSTEM - INTERNAL &amp; EXTERNAL</t>
  </si>
  <si>
    <r>
      <t xml:space="preserve">Supplying, installing, fixing, jointing, testing and commissioning of approved make </t>
    </r>
    <r>
      <rPr>
        <b/>
        <sz val="10"/>
        <color theme="1"/>
        <rFont val="Aptos Narrow"/>
        <family val="2"/>
        <scheme val="minor"/>
      </rPr>
      <t>Chlorinated Polyvinyl Chloride pipes  (CPVC) SDR.11 and Fitting confirming to ASTM 2846</t>
    </r>
    <r>
      <rPr>
        <sz val="10"/>
        <color theme="1"/>
        <rFont val="Aptos Narrow"/>
        <family val="2"/>
        <scheme val="minor"/>
      </rPr>
      <t>, The fittings and specials such as tees, elbows, couplers, bends, enlargers etc, with CPVC brass threaded combination / transition specials such as male adapters brass threaded female adapters, brass FPT Tee, Brass FPT elbow etc., where connection with metal is to be made including necessary drilling holes, chasing walls and making the same good in cement martor 1:1 restore the same original condition neately as directed by the Engineer in-charge. Joints to be made with CPVC solvent cement up to 50mm dia as per ASTM D-2846.</t>
    </r>
  </si>
  <si>
    <t xml:space="preserve">TOILET INTERNAL : </t>
  </si>
  <si>
    <t>DWS (Domestic water supply)</t>
  </si>
  <si>
    <t>20 mm dia</t>
  </si>
  <si>
    <t>25 mm dia</t>
  </si>
  <si>
    <t>32 mm dia</t>
  </si>
  <si>
    <t>40 mm dia</t>
  </si>
  <si>
    <t>50 mm dia</t>
  </si>
  <si>
    <t>65 mm dia</t>
  </si>
  <si>
    <t>HWS (Hot water supply)</t>
  </si>
  <si>
    <t>HWR (Hot water return)</t>
  </si>
  <si>
    <t>RO Water</t>
  </si>
  <si>
    <t>TERRACE</t>
  </si>
  <si>
    <t>25 mm dia - Feeding To OHT</t>
  </si>
  <si>
    <r>
      <t xml:space="preserve">Supplying &amp; fixing Nitrile rubber insulation on </t>
    </r>
    <r>
      <rPr>
        <b/>
        <sz val="10"/>
        <rFont val="Aptos Narrow"/>
        <family val="2"/>
        <scheme val="minor"/>
      </rPr>
      <t>HOT WATER PIPES</t>
    </r>
    <r>
      <rPr>
        <sz val="10"/>
        <rFont val="Aptos Narrow"/>
        <family val="2"/>
        <scheme val="minor"/>
      </rPr>
      <t xml:space="preserve"> installed on terrace complete with outer mechanical protection as per specification.</t>
    </r>
  </si>
  <si>
    <t xml:space="preserve">20 mm dia </t>
  </si>
  <si>
    <t>Supplying, installing, testing and commissioning approved make G.M. body ball valves PN10, IS 1703-1977 with screwed ends,necessary unions etc., complete.(after PRV valves)</t>
  </si>
  <si>
    <t>INTERNAL :</t>
  </si>
  <si>
    <t xml:space="preserve">25 mm dia (Screwed ends) </t>
  </si>
  <si>
    <t xml:space="preserve">32 mm dia (Screwed ends) </t>
  </si>
  <si>
    <t xml:space="preserve">40 mm dia (Screwed ends) </t>
  </si>
  <si>
    <t xml:space="preserve">50 mm dia (Screwed ends) </t>
  </si>
  <si>
    <t>TERRACE :</t>
  </si>
  <si>
    <t>25 mm dia (Screwed ends) @OHT Filling</t>
  </si>
  <si>
    <r>
      <t xml:space="preserve">Supplying, installing, testing and commissioning of suitable automatic level control system comprising of level control instrument,magnetic sensors integrating to </t>
    </r>
    <r>
      <rPr>
        <b/>
        <sz val="10"/>
        <color theme="1"/>
        <rFont val="Aptos Narrow"/>
        <family val="2"/>
        <scheme val="minor"/>
      </rPr>
      <t>MOTORISED VALV</t>
    </r>
    <r>
      <rPr>
        <sz val="10"/>
        <color theme="1"/>
        <rFont val="Aptos Narrow"/>
        <family val="2"/>
        <scheme val="minor"/>
      </rPr>
      <t>E etc.. Complete. Rate quoted shall include required cable along with 19mm PVC conduit, panel and integartion with Main ele panel for pumps opertaion,Quote shall also include the device to facilitate IBMS compatability with NONC contactor, IP/485 Modbus port.</t>
    </r>
  </si>
  <si>
    <t>Lot</t>
  </si>
  <si>
    <r>
      <t xml:space="preserve">Supply, fixing, testing and commissioning of </t>
    </r>
    <r>
      <rPr>
        <b/>
        <sz val="10"/>
        <rFont val="Aptos Narrow"/>
        <family val="2"/>
        <scheme val="minor"/>
      </rPr>
      <t>ELECTRONIC TYPE LEVEL INDICATOR</t>
    </r>
    <r>
      <rPr>
        <sz val="10"/>
        <rFont val="Aptos Narrow"/>
        <family val="2"/>
        <scheme val="minor"/>
      </rPr>
      <t xml:space="preserve"> of approved make with pressure transducer, alarm,sensors, LED display for indicating high, half full and low level in SUMP / OHT, Rate quoted shall include for supply and laying necessary cablling (lenght of 30m of each sensor probe) inside to the following location, connecting sensors to control panels located inside pumphouse/at terrace level, wiring from the control panel to sensor probes, ON / OFF indicators etc. complete in all respects. -</t>
    </r>
    <r>
      <rPr>
        <b/>
        <sz val="10"/>
        <rFont val="Aptos Narrow"/>
        <family val="2"/>
        <scheme val="minor"/>
      </rPr>
      <t xml:space="preserve"> @ UG SUMP PLANT ROOM for Raw and treated water tank</t>
    </r>
  </si>
  <si>
    <t>TOTAL - III</t>
  </si>
  <si>
    <t>IV</t>
  </si>
  <si>
    <t>EXTERNAL WATER SUPPLY SYSTEM</t>
  </si>
  <si>
    <t xml:space="preserve">Excavation in all types of soil for laying pipes upto 450mm dia. including forming bottom surface to required level, refilling selected excavated earth around the pipe in layers 150mm thick, watering, consolidating and disposing off the surplus earth with in the site as directed by the site engineer with a lead of 300M etc., complete. </t>
  </si>
  <si>
    <t>a) up to 1 m depth</t>
  </si>
  <si>
    <t>Supplying, installing, testing and commissioning of approved make uPVC schedule 80 pipes and fittings conforming to ASTM D-1785 &amp; ASTM D 2467 Quoted rate shall include necessary fittings like, bends, elbows, reducers, collars, flanges, sadles, adapters, etc., and also including primer and solvent for joints.</t>
  </si>
  <si>
    <t>25 mm dia ( Municipal inlet)</t>
  </si>
  <si>
    <t xml:space="preserve">100 mm dia ( tanker inlet) </t>
  </si>
  <si>
    <t>50 mm dia -  From Pump outlet to distribution</t>
  </si>
  <si>
    <t xml:space="preserve">Supplying, installing and testing of 100mm dia tanker inlet connection system near the entrance gate.this includes 100 dia 1 nos standpost, non return valve, Butterfly Valve &amp; instantaneous brass coupler, etc.,complete </t>
  </si>
  <si>
    <t>Supplying, installing, testing and commissioning of approved make cast brass body water meter with necessary unions for fixing on the inlet main as shown on the drawing, etc., complete with water meter chamber of 750x750x1000mm with cover and necessary gate valve,NRV, union, float valve etc., complete.(of approved makes - both analog / digital)</t>
  </si>
  <si>
    <t>25mm nominal dia</t>
  </si>
  <si>
    <t>Supplying, fixing and testing inlet, outlet, vent and overflow pipes, fittings with FRP frame and cover to Under ground sump complete with PVC Rungs as shown on the drawings etc., complete, accessories comprising of the following</t>
  </si>
  <si>
    <t>Approx. depth  = 6.0Mts.</t>
  </si>
  <si>
    <t>i)  FRP manhole frame and cover (Medium duty ) with locking facility 600x600mm</t>
  </si>
  <si>
    <t>ii)  Inlet puddle flanges   - 25mm dia.</t>
  </si>
  <si>
    <t>iii) Outlet puddle flanges    - 65mm dia (Domestic outlet)</t>
  </si>
  <si>
    <t xml:space="preserve">                                            - 50mm dia (From raw tank to filter feed pump)</t>
  </si>
  <si>
    <t xml:space="preserve">                                         - 65mm dia (Inlet to Domestic water tank)</t>
  </si>
  <si>
    <t>iv) Vent pipe with mosquito proof mesh (100mm dia)</t>
  </si>
  <si>
    <t xml:space="preserve">v) Heavy duty 450mm wide Aluminum step ladder </t>
  </si>
  <si>
    <t>vii)Sleeves for level controller - 50mm dia</t>
  </si>
  <si>
    <t>Note : All puddle flanges to be hot dip galvanised.</t>
  </si>
  <si>
    <t>TOTAL - IV</t>
  </si>
  <si>
    <t>V</t>
  </si>
  <si>
    <t>Construction of catch basin( for external rain water) of size mentioned below with clear internal dimension for external storm water drainage with 230mm thick walls in well burnt table moulded bricks in CM 1:4 over a bed of 100 mm thick PCC 1:4:8 internal walls plastered smooth in CM 1:3 and external walls plastered in1:6 with sponge finish. Fixing RCC cover on top surface flushed to the finished level, rate quoted shall include with necessary excavation, backfilling the selected excavated earth with all leads and lifts etc., complete.</t>
  </si>
  <si>
    <t>For Rain water chamber</t>
  </si>
  <si>
    <t>Size = 450X450mm</t>
  </si>
  <si>
    <t>Size = 600X600mm</t>
  </si>
  <si>
    <r>
      <t xml:space="preserve">Providing, fixing, testing and commissioning of </t>
    </r>
    <r>
      <rPr>
        <b/>
        <sz val="10"/>
        <rFont val="Aptos Narrow"/>
        <family val="2"/>
        <scheme val="minor"/>
      </rPr>
      <t xml:space="preserve"> uPVC Type B</t>
    </r>
    <r>
      <rPr>
        <sz val="10"/>
        <rFont val="Aptos Narrow"/>
        <family val="2"/>
        <scheme val="minor"/>
      </rPr>
      <t xml:space="preserve"> type with push fit joint inclusive of all necessary specials laid under earth etc complete.Pipes shall be laid in trench excavated with compact earth base and laid in slope with design invert levels as per drawing issued for execution. The quoted rate should include necessary supports and concrete haunch where ever required etc. complete.
</t>
    </r>
  </si>
  <si>
    <t>200 mm dia (I D)</t>
  </si>
  <si>
    <r>
      <t xml:space="preserve">Supplying, installing, testing and commissioning </t>
    </r>
    <r>
      <rPr>
        <b/>
        <sz val="10"/>
        <rFont val="Aptos Narrow"/>
        <family val="2"/>
        <scheme val="minor"/>
      </rPr>
      <t>dual intensity rainy filter</t>
    </r>
    <r>
      <rPr>
        <sz val="10"/>
        <rFont val="Aptos Narrow"/>
        <family val="2"/>
        <scheme val="minor"/>
      </rPr>
      <t xml:space="preserve"> with handling loads at even higher intensity of rainfall (75mm/hr), Butterfly valves etc, complete. &amp;  to housed with chambers  (Provided at inlet and cost shall be inclusive for the same).- Chamber cost Excluded </t>
    </r>
  </si>
  <si>
    <t>R.O</t>
  </si>
  <si>
    <r>
      <t xml:space="preserve">Construction of </t>
    </r>
    <r>
      <rPr>
        <b/>
        <sz val="10"/>
        <rFont val="Aptos Narrow"/>
        <family val="2"/>
        <scheme val="minor"/>
      </rPr>
      <t>SHALLOW RECHARGE PIT</t>
    </r>
    <r>
      <rPr>
        <sz val="10"/>
        <rFont val="Aptos Narrow"/>
        <family val="2"/>
        <scheme val="minor"/>
      </rPr>
      <t xml:space="preserve"> of 1200 mm diameter with clear internal dimension along with external storm water drain below the floor slab with RCC pre cast rings for depth 3.5  m from drain floor and pit floor is over a bed of 300 mm thick sand cushion and filled with aggregate of 40 mm up to 1m depth. Rate quoted shall include necessary excavation, installing rings with PCC at bottom of ring to hold or as per str detail to the depth as shown in typ detail. Top of recharge pit will be covered with RCC slab comprising of 600x600mm retrivable cover with perforation.,</t>
    </r>
  </si>
  <si>
    <t>SITC of floor cleanout plugs of 110mm Dia inside 300x300mm chamber with necessary accessories</t>
  </si>
  <si>
    <t>TOTAL - V</t>
  </si>
  <si>
    <t>VI</t>
  </si>
  <si>
    <t>EXTERNAL SEWERAGE SYSTEM</t>
  </si>
  <si>
    <t>Excavation in all types of soil for laying pipes upto 300mm dia. including forming bottom surface to required level, refilling selected excavated earth around the pipe in layers 150mm thick, watering, consolidating and disposing off the surplus earth with in the site as directed by the site engineer with a lead of 300M etc., complete.., Rate quoted shall include necessary scafoolding for supports in case of soil slide or deep excavation, Rate quoted shall include the cost of pumping or draining teh water from trench in case of water logging and making bottom surface dry and consoildated for laying of pipes.,</t>
  </si>
  <si>
    <t>a) up to 1.5m depth</t>
  </si>
  <si>
    <t>cum</t>
  </si>
  <si>
    <t>Supplying, fixing and testing PVC GULLY trap with rebated top square bodies 300mm x 300mm CI top frame &amp; cover (Double Seal) 110mm dia inlet / outlet set in 75mm thick PCC 1:4:8 bed, masonry Chamber of 230mm thick in CM 1:3, internal and external plastering 12mm thick in CM 1:6 and 1:3 respectively, rate quoted shall include the excavation, jointing to drain in CM 1:1, refilling and ramming etc., complete.</t>
  </si>
  <si>
    <t>Construction of inspection chamber with 230mm best quality approved Table Moulded bricks in CM 1:4 over a bed of 100mm thick PCC 1:4:8, internal walls plastered  in CM 1:3 and external wall with CM 1:6 with sponge finish, benching and channelling in PCC 1:3:6. Supplying and fixing square RCC frame &amp; cover of size specified below (heavy duty), PVC steps in position as per the detailed drawing. The quoted rate shall also include necessary excavation and internal size of the chamber top cover as specified below.</t>
  </si>
  <si>
    <t>a) 450mm x 450mm (upto 750mm Depth)</t>
  </si>
  <si>
    <t>b) 450mm x 600mm (upto 1200mm Depth)</t>
  </si>
  <si>
    <t>Supplying, fixing, testing and commissioning of FOAM CORE pipes confirming to IS-16098,  SN 4 type with push fit joint inclusive of all necessary specials laid under earth etc complete.Pipes shall be laid in trench excavated with compact earth base and laid in slope with design invert levels as per drawing issued for execution. The quoted rate should include necessary supports and concrete haunch where ever required and filling back excavated trench with good qulaity of morum and approved quality of satureated sand on side, bottom and top surface of pipe with all leads and lifts without damaging pipes. Vendor to use necessary tools for push fit insatllation.</t>
  </si>
  <si>
    <t xml:space="preserve">a) 110mm dia </t>
  </si>
  <si>
    <t xml:space="preserve">b) 160mm dia </t>
  </si>
  <si>
    <t xml:space="preserve">C) 200mm dia </t>
  </si>
  <si>
    <t>Supplying insatlling testing and commissioing Conventional Oil and Grease trap (RCC)  for Kitchen  with meals per day capacity as mentioned below</t>
  </si>
  <si>
    <t>TOTAL - VI</t>
  </si>
  <si>
    <t>VII</t>
  </si>
  <si>
    <t>PUMPS &amp; CONTROL PANEL</t>
  </si>
  <si>
    <t>a)</t>
  </si>
  <si>
    <t>SET</t>
  </si>
  <si>
    <r>
      <t>Supplying, installing, testing and commissioning of</t>
    </r>
    <r>
      <rPr>
        <b/>
        <sz val="10"/>
        <rFont val="Aptos Narrow"/>
        <family val="2"/>
        <scheme val="minor"/>
      </rPr>
      <t xml:space="preserve"> RO Reject Submersible pump</t>
    </r>
    <r>
      <rPr>
        <sz val="10"/>
        <rFont val="Aptos Narrow"/>
        <family val="2"/>
        <scheme val="minor"/>
      </rPr>
      <t xml:space="preserve"> of adequate HP capable of giving required discharge at suitable head to work on 3 phase 50Hz '400/415 V with necessary unions, pressure gauges, flanges, foundations bolts, necessary pipe 'supports, valves, strainers etc., complete with head conditions. The rate quoted shall include the supply of starter panel and cable from pump to panel and necessary cable tray and supports. </t>
    </r>
  </si>
  <si>
    <t xml:space="preserve"> - Purpose                        :  Reject water feeding to other as per site condition.</t>
  </si>
  <si>
    <t xml:space="preserve"> - Nos. of Pumps             :   1 Working + 1 Standing</t>
  </si>
  <si>
    <t xml:space="preserve"> - Water Flow Rate           : 1.0 LPS Each</t>
  </si>
  <si>
    <t xml:space="preserve"> - Head                              :  20.0MWC</t>
  </si>
  <si>
    <r>
      <t xml:space="preserve">Receiving, fixing, testing and commissioning of </t>
    </r>
    <r>
      <rPr>
        <b/>
        <sz val="10"/>
        <rFont val="Aptos Narrow"/>
        <family val="2"/>
        <scheme val="minor"/>
      </rPr>
      <t>SUBMERGED TYPE -</t>
    </r>
    <r>
      <rPr>
        <sz val="10"/>
        <rFont val="Aptos Narrow"/>
        <family val="2"/>
        <scheme val="minor"/>
      </rPr>
      <t xml:space="preserve"> </t>
    </r>
    <r>
      <rPr>
        <b/>
        <sz val="10"/>
        <rFont val="Aptos Narrow"/>
        <family val="2"/>
        <scheme val="minor"/>
      </rPr>
      <t>Booster system with variable frequency drive.</t>
    </r>
    <r>
      <rPr>
        <sz val="10"/>
        <rFont val="Aptos Narrow"/>
        <family val="2"/>
        <scheme val="minor"/>
      </rPr>
      <t xml:space="preserve"> The system shall comprises of pump, precharged pressure tank, pressure switch etc., complete with electric motor at 1500 RPM 415V 3Ph 50 Hz required duty conditions mounted on common base plate and wiring from panel to the motor including air volume controls, etc., complete.Starter to be considered as per the requirement. </t>
    </r>
  </si>
  <si>
    <t>a) Flow Rate :4.0 Lps with 3 pump system -  8.0lps as Working and 4.0lps  as standby, Cut in pressure : 3.0 Kg/Sqm, Cut off pressure : 4.0 Kg/Sqm for all floors floors  = Domestic Water distribution system</t>
  </si>
  <si>
    <t>Supplying,Installing, testing and commissioning COMMON CONTROL PANEL Specs : Design, Engineering, Manufacturing OF supervision for installation,  installation, testing and commissioning of   LT Switchboards,  with RYBN sleeved TPN Al bus bars,set of foundation bolts.nuts and hard ware  for inter panel allignment suitable for indoor  application.  For all switchgear, CT and other  details refer SLD, of respective Blocks and the Technical specification. All the  indoor panels shall be of top cable entry and outdoor panel shall be of Bottom cable entry. The cost of software for the IBMS compatible panel shall  be part of panel only, the same cost shall be provided from respective consultant. Starter to be considered as per the requirement.</t>
  </si>
  <si>
    <t>OUTGOING Feeder for Filter Feed Pump</t>
  </si>
  <si>
    <t>1No. 25 Amps MCB</t>
  </si>
  <si>
    <t>1 No.DOL starter suitable for 5.0 HP each</t>
  </si>
  <si>
    <t>1No. Single phase preventor suitable for the pump</t>
  </si>
  <si>
    <t>described above</t>
  </si>
  <si>
    <t>1No. set of ON/OFF indicating lamps</t>
  </si>
  <si>
    <t>1No. Auto/manual selector switch</t>
  </si>
  <si>
    <t>1set of start/stop push buttons</t>
  </si>
  <si>
    <t>Note:1 no.Pump working+1no. standby</t>
  </si>
  <si>
    <t>Aluminium Cable size from motor to panel 2.5sq.mm (qty: 20mt)</t>
  </si>
  <si>
    <t>The cost of control panel shall also include necessarylevel switches for total automation of the pumps with necessary cabling between UGR &amp; WTP, OHT, Pumps &amp;inter-locking with the main control panel to enable operation of Pumps from one control point. Thequoted rate shall include cost of level switches, auto level controller,  starters, dry run preventors, O/L relays, and other Safety devices as per standard practices and also provision shall be made for 4 nos. spare feeders suitable for 15.0HP and also 4nos. DP MCCB 6Amp shall provided for control circuitry. All the componentsshall be housed in a common cubical withcompartments for different services, neatly finishedwith powder coating of approved color. The details areshown in the water supply schematic. For calculating length of cables Vendors may also follow the drawings.</t>
  </si>
  <si>
    <t>65mm nominal dia ( Domestic water outlet)</t>
  </si>
  <si>
    <t>50mm nominal dia (Raw water outlet)</t>
  </si>
  <si>
    <t>65mm nominal dia (@ Pump outlet line)</t>
  </si>
  <si>
    <t>Supply,installing pre-fabricated slotted G.I Cable trays for cable works inside the pump room 150mm wide with necessary supports</t>
  </si>
  <si>
    <t>Rmt.</t>
  </si>
  <si>
    <t>VIII</t>
  </si>
  <si>
    <t>Geycers</t>
  </si>
  <si>
    <t>TOTAL - VII</t>
  </si>
  <si>
    <t>Summary</t>
  </si>
  <si>
    <t>Part</t>
  </si>
  <si>
    <t>Total Amount
in INR</t>
  </si>
  <si>
    <t xml:space="preserve"> FRONT AREA - LOADING &amp; UNLOADING BAY</t>
  </si>
  <si>
    <t xml:space="preserve"> FRONT AREA - Storage area</t>
  </si>
  <si>
    <t>DISPATCH BAY</t>
  </si>
  <si>
    <t>UG Sump</t>
  </si>
  <si>
    <t>. STP</t>
  </si>
  <si>
    <t>DG yard</t>
  </si>
  <si>
    <t xml:space="preserve"> PUMP ROOM</t>
  </si>
  <si>
    <t>HVAC SUPPORT - INTERNAL AREA</t>
  </si>
  <si>
    <t>Overall New footings &amp; pedestals</t>
  </si>
  <si>
    <t>Code</t>
  </si>
  <si>
    <t>Mas</t>
  </si>
  <si>
    <t>Plastering</t>
  </si>
  <si>
    <t>Miscellneous Works</t>
  </si>
  <si>
    <t>JNR</t>
  </si>
  <si>
    <t>Joinery</t>
  </si>
  <si>
    <t>FUR</t>
  </si>
  <si>
    <t>Work Station and Chairs</t>
  </si>
  <si>
    <t xml:space="preserve">STRUCTURAL WORKS SUMMARY </t>
  </si>
  <si>
    <t xml:space="preserve"> STRUCTURAL  WORKS</t>
  </si>
  <si>
    <t xml:space="preserve">CIVIL &amp; INTERIORS SUMMARY </t>
  </si>
  <si>
    <t>EXTERNAL RAIN/STORM WATER MANAGEMENT( As per Client confirmation the existing system to be utilised)</t>
  </si>
  <si>
    <t>C&amp;W REVIEW / COMMENTS</t>
  </si>
  <si>
    <t xml:space="preserve">RO </t>
  </si>
  <si>
    <t>EXTERNAL RAIN/STORM WATER MANAGEMENT ( As per Client confirmation the existing system to be utilised)</t>
  </si>
  <si>
    <t>12,000 meals/day (As per Client Confirmation )</t>
  </si>
  <si>
    <t xml:space="preserve"> - Make           : Kirloskar</t>
  </si>
  <si>
    <t>Make: Kirloskar</t>
  </si>
  <si>
    <t>Supplying, installing, testing and commissioningapproved makeANSI Class 125/150 Cpvc body brass 'Y' strainer withnecessary flanges, nuts &amp; bolts Noeprine Rubber Gaskets etc.,completeon to the suction line.</t>
  </si>
  <si>
    <t>Supplying, fixing and testing approved make Cpvc  check valve slim seal PN 10, with necessary flanges, nuts, bolts &amp; Neoprene Rubber gaskets etc., complete confirming to API/BIS.</t>
  </si>
  <si>
    <r>
      <t xml:space="preserve">Supplying, installing, testing and commissioning approved make </t>
    </r>
    <r>
      <rPr>
        <sz val="10"/>
        <rFont val="Aptos Narrow"/>
        <family val="2"/>
        <scheme val="minor"/>
      </rPr>
      <t>BUTTERFLY VALVES for PN10 confirming to IS 13095 with electroless Cpvc material, standard lever with necessary nuts, bolts, gasketsetc., complete.</t>
    </r>
  </si>
  <si>
    <t>“Supply, installation, testing and commissioning of approved make electric geyser , complete with necessary supports, inlet/outlet piping, safety valve, electrical wiring/MCB connection, insulation, and all required accessories. The unit shall be installed as per manufacturer’s guidelines and site requirements. Complete in all respects.”
Make:Racold/ Aosmith
Capacity: 10 Litres</t>
  </si>
  <si>
    <t>MIS 06</t>
  </si>
  <si>
    <t>Providing, fabricating and fixing aluminium framed partition system made of extruded aluminium sections of approved make, minimum 1.2–1.5 mm thick, anodized / powder coated finish as approved, comprising verticals, horizontals, mullions and transoms, complete with 6–12 mm thick board infill as specified, including EPDM gaskets, snap beading, necessary accessories, fittings, anchors, sealants, cutting, finishing, alignment, and fixing complete in all respects as per drawings, specifications and site conditions.</t>
  </si>
  <si>
    <t>Providing and fixing uPVC fixed half-height glazed partition system, comprising factory-made uPVC multi-chamber profiles, white / coloured finish, minimum wall thickness 2.0–2.5 mm, reinforced with GI stiffener where required, fixed to floor / wall with approved fasteners, including 6–8 mm thick clear / frosted toughened glass fixed in uPVC glazing beads with EPDM gaskets, complete with all necessary accessories, sealants, alignment, finishing, and installation as per approved drawings and site conditions.</t>
  </si>
  <si>
    <t>Office Address :-C-19, 2nd Floor (Above SBI Bank)</t>
  </si>
  <si>
    <t>Near Mrignaini Chowk, Dilshad Colony, New Delhi-110095</t>
  </si>
  <si>
    <t>Specialist in Space planing, Interior Decorations &amp; Management, Project</t>
  </si>
  <si>
    <t>work and all type of office maintenance activities.</t>
  </si>
  <si>
    <t>Date : 29-12-2025</t>
  </si>
  <si>
    <t>Ms: Compass - Chennai</t>
  </si>
  <si>
    <t xml:space="preserve">Notes:
1. Before any physical work begins, a detailed plan and a comprehensive survey of the site shall have to be done by the contractor.
2. Confirm the location and type of the structure to be demolished e.g., masonry, reinforced concrete etc
3. Photograph the existing structure and surrounding properties to document their condition before work starts.
4. Note the location of adjacent buildings, public thoroughfares, and utilities to be aware of potential impacts.
5. Identify and document any hazardous materials
6. Verify whether all electrical, gas, water, and telecommunication lines serving the structure have been safely disconnected and locked out.
7. Note that services needed for the demolition work itself (e.g., temporary power) are isolated and secured.
8. Note that all necessary permits and approvals from local authorities, including any required show cause notices, have been obtained.
9. Ensure a Method Statement detailing the work sequence and safety plan has been approved by the site incharge / engineer.
10. Outline which materials will be salvaged or recycled to minimize waste and reduce disposal costs.
11. Confirm legal and environmentally compliant procedures for disposing of all waste.
12. Note that all workers are wearing appropriate Personal Protective Equipment (PPE).
13. Verify the stability of remaining structures.
</t>
  </si>
  <si>
    <t xml:space="preserve">Notes:
The rates quoted shall be inclusive of all materials, transport, loading unloading and all taxes thereon. The rate mentioned is the maximum and in no way should exceed, the one mentioned.
Details of the items under this schedule shall be read in conjunction with the corresponding specifications, drawings and other Tender Documents.
The work shall be carried out as per the drawings, specifications, description of the items in the schedule and / or architects instructions.
Items of work provided in this schedule but not covered in the specifications shall be executed strictly as per the instructions of the project manager/architect.
Unless specifically mentioned otherwise in the contract, the tenderer shall quote for the finished items and shall provide for the complete cost towards labour, materials, plant and machinery, operational costs, levies, taxes, transport, repairs, rectification etc on request from the Client.
The quantities of the various items mentioned in the schedule in the schedule of items may vary up to any extent or be deleted altogether. The contractor, in his own interest, should get an indication of the probable extent of the work.
The rates quoted shall be inclusive of all mock-ups, associated samples, providing templates for different types of light fixture/ other MEP fixture prior to any mass production or procurement as per complete satisfaction of the Client and Architect. Inclusive of dismantling, demolishing and carting the material and making good of                                                                                                                                                                                                                                                                                                                                            </t>
  </si>
  <si>
    <r>
      <rPr>
        <b/>
        <sz val="11"/>
        <color theme="1"/>
        <rFont val="Aptos Narrow"/>
        <scheme val="minor"/>
      </rPr>
      <t>Notes:</t>
    </r>
    <r>
      <rPr>
        <sz val="11"/>
        <color theme="1"/>
        <rFont val="Aptos Narrow"/>
        <family val="2"/>
        <scheme val="minor"/>
      </rPr>
      <t xml:space="preserve">
</t>
    </r>
    <r>
      <rPr>
        <b/>
        <sz val="11"/>
        <color theme="1"/>
        <rFont val="Aptos Narrow"/>
        <scheme val="minor"/>
      </rPr>
      <t>a)</t>
    </r>
    <r>
      <rPr>
        <sz val="11"/>
        <color theme="1"/>
        <rFont val="Aptos Narrow"/>
        <family val="2"/>
        <scheme val="minor"/>
      </rPr>
      <t xml:space="preserve"> All flooring to be protected by 5mm thick floor protector sheet (bubble sheet), (make: Supreme). Flooring to be covered over in finished condition and after uncovering to be delivered in a finished condition free of scratches, lines and any other deformities etc.
</t>
    </r>
    <r>
      <rPr>
        <b/>
        <sz val="11"/>
        <color theme="1"/>
        <rFont val="Aptos Narrow"/>
        <scheme val="minor"/>
      </rPr>
      <t>b)</t>
    </r>
    <r>
      <rPr>
        <sz val="11"/>
        <color theme="1"/>
        <rFont val="Aptos Narrow"/>
        <family val="2"/>
        <scheme val="minor"/>
      </rPr>
      <t xml:space="preserve"> The contractor shall procure mortar, adhesive, grout etc. of approved quality design and standard and he will not change source of supply without written permission from PM and with revised samples being approved.
</t>
    </r>
    <r>
      <rPr>
        <b/>
        <sz val="11"/>
        <color theme="1"/>
        <rFont val="Aptos Narrow"/>
        <scheme val="minor"/>
      </rPr>
      <t>c)</t>
    </r>
    <r>
      <rPr>
        <sz val="11"/>
        <color theme="1"/>
        <rFont val="Aptos Narrow"/>
        <family val="2"/>
        <scheme val="minor"/>
      </rPr>
      <t xml:space="preserve"> Contractor shall prepare and install mockups for floor and wall as per drawings. Mockups may be part of completed work if undistributed. Nothing extra shall be paid on this account.
</t>
    </r>
    <r>
      <rPr>
        <b/>
        <sz val="11"/>
        <color theme="1"/>
        <rFont val="Aptos Narrow"/>
        <scheme val="minor"/>
      </rPr>
      <t>d)</t>
    </r>
    <r>
      <rPr>
        <sz val="11"/>
        <color theme="1"/>
        <rFont val="Aptos Narrow"/>
        <family val="2"/>
        <scheme val="minor"/>
      </rPr>
      <t xml:space="preserve"> Joint patterns to be followed. No extra cuts for variable joint patterns, shall be paid for wastage.
</t>
    </r>
    <r>
      <rPr>
        <b/>
        <sz val="11"/>
        <color theme="1"/>
        <rFont val="Aptos Narrow"/>
        <scheme val="minor"/>
      </rPr>
      <t>e)</t>
    </r>
    <r>
      <rPr>
        <sz val="11"/>
        <color theme="1"/>
        <rFont val="Aptos Narrow"/>
        <family val="2"/>
        <scheme val="minor"/>
      </rPr>
      <t xml:space="preserve"> Skirtings to have profiled edges as per PM's instructions. No extra cost to be paid for plaster chipping, required to adjust skirtings levels. However, cost of mouldings to be indicated separately, so as to deduct cost towards the same, incase profiling is avoided.
</t>
    </r>
    <r>
      <rPr>
        <b/>
        <sz val="11"/>
        <color theme="1"/>
        <rFont val="Aptos Narrow"/>
        <scheme val="minor"/>
      </rPr>
      <t>f)</t>
    </r>
    <r>
      <rPr>
        <sz val="11"/>
        <color theme="1"/>
        <rFont val="Aptos Narrow"/>
        <family val="2"/>
        <scheme val="minor"/>
      </rPr>
      <t xml:space="preserve"> The contractor shall be responsible for protection of his own work and the work of other trades during the progress and till handover to the Employer. All flooring to be protected by 5mm thick floor protector sheet (bubble sheet), (make: Supreme) during construction and polished after laying. Flooring to be covered over in finished condition free of scratches and cracks etc. Cost of 5mm thick floor protector sheet (bubble sheet), (make: Supreme) to be part of quoted rates.
</t>
    </r>
    <r>
      <rPr>
        <b/>
        <sz val="11"/>
        <color theme="1"/>
        <rFont val="Aptos Narrow"/>
        <scheme val="minor"/>
      </rPr>
      <t>g)</t>
    </r>
    <r>
      <rPr>
        <sz val="11"/>
        <color theme="1"/>
        <rFont val="Aptos Narrow"/>
        <family val="2"/>
        <scheme val="minor"/>
      </rPr>
      <t xml:space="preserve"> The rate shall include coving if shown in the drawing.
Mode of Measurement: 225mm and below to be paid in Rmt and above 225mm to be paid in Sqm. Finished area shall be measured for payment.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</si>
</sst>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_);_(* \(#,##0\);_(* &quot;-&quot;_);_(@_)"/>
    <numFmt numFmtId="165" formatCode="_(* #,##0.00_);_(* \(#,##0.00\);_(* &quot;-&quot;??_);_(@_)"/>
    <numFmt numFmtId="166" formatCode="#,##0;[Red]#,##0"/>
    <numFmt numFmtId="167" formatCode="_-* #,##0.00_-;\-* #,##0.00_-;_-* &quot;-&quot;??_-;_-@_-"/>
    <numFmt numFmtId="168" formatCode="#,##0_);[Red]\(#,##0\);;@"/>
  </numFmts>
  <fonts count="45">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2"/>
      <color indexed="9"/>
      <name val="Arial"/>
      <family val="2"/>
    </font>
    <font>
      <b/>
      <i/>
      <sz val="10"/>
      <name val="Arial"/>
      <family val="2"/>
    </font>
    <font>
      <b/>
      <i/>
      <sz val="11"/>
      <name val="Arial"/>
      <family val="2"/>
    </font>
    <font>
      <sz val="10"/>
      <name val="Arial"/>
      <family val="2"/>
    </font>
    <font>
      <b/>
      <sz val="12"/>
      <name val="Aptos Narrow"/>
      <family val="2"/>
      <scheme val="minor"/>
    </font>
    <font>
      <b/>
      <sz val="12"/>
      <name val="Arial"/>
      <family val="2"/>
    </font>
    <font>
      <b/>
      <sz val="14"/>
      <name val="Aptos Narrow"/>
      <family val="2"/>
      <scheme val="minor"/>
    </font>
    <font>
      <sz val="11"/>
      <color theme="1"/>
      <name val="Arial"/>
      <family val="2"/>
    </font>
    <font>
      <b/>
      <sz val="10"/>
      <color theme="1"/>
      <name val="Arial"/>
      <family val="2"/>
    </font>
    <font>
      <b/>
      <sz val="10"/>
      <name val="Arial"/>
      <family val="2"/>
    </font>
    <font>
      <b/>
      <sz val="9"/>
      <name val="Arial"/>
      <family val="2"/>
    </font>
    <font>
      <sz val="10"/>
      <color theme="1"/>
      <name val="Arial"/>
      <family val="2"/>
    </font>
    <font>
      <b/>
      <sz val="11"/>
      <color rgb="FFFF0000"/>
      <name val="Aptos Narrow"/>
      <family val="2"/>
      <scheme val="minor"/>
    </font>
    <font>
      <b/>
      <sz val="11"/>
      <name val="Aptos Narrow"/>
      <family val="2"/>
      <scheme val="minor"/>
    </font>
    <font>
      <sz val="11"/>
      <name val="Aptos Narrow"/>
      <family val="2"/>
      <scheme val="minor"/>
    </font>
    <font>
      <sz val="9"/>
      <name val="Arial"/>
      <family val="2"/>
    </font>
    <font>
      <b/>
      <sz val="11"/>
      <color theme="1"/>
      <name val="Arial Narrow"/>
      <family val="2"/>
    </font>
    <font>
      <b/>
      <sz val="10"/>
      <color rgb="FFFF0000"/>
      <name val="Arial"/>
      <family val="2"/>
    </font>
    <font>
      <sz val="12"/>
      <name val="Aptos Narrow"/>
      <family val="2"/>
      <scheme val="minor"/>
    </font>
    <font>
      <strike/>
      <sz val="12"/>
      <name val="Aptos Narrow"/>
      <family val="2"/>
      <scheme val="minor"/>
    </font>
    <font>
      <u/>
      <sz val="7.7"/>
      <color theme="10"/>
      <name val="Calibri"/>
      <family val="2"/>
    </font>
    <font>
      <b/>
      <sz val="14"/>
      <name val="Times New Roman"/>
      <family val="1"/>
    </font>
    <font>
      <sz val="14"/>
      <name val="Times New Roman"/>
      <family val="1"/>
    </font>
    <font>
      <sz val="14"/>
      <color rgb="FFFF0000"/>
      <name val="Times New Roman"/>
      <family val="1"/>
    </font>
    <font>
      <sz val="11"/>
      <name val="Times New Roman"/>
      <family val="1"/>
    </font>
    <font>
      <sz val="14"/>
      <color theme="1"/>
      <name val="Times New Roman"/>
      <family val="1"/>
    </font>
    <font>
      <sz val="10"/>
      <color theme="1"/>
      <name val="Aptos Narrow"/>
      <family val="2"/>
      <scheme val="minor"/>
    </font>
    <font>
      <b/>
      <sz val="10"/>
      <name val="Aptos Narrow"/>
      <family val="2"/>
      <scheme val="minor"/>
    </font>
    <font>
      <b/>
      <sz val="10"/>
      <color theme="1"/>
      <name val="Aptos Narrow"/>
      <family val="2"/>
      <scheme val="minor"/>
    </font>
    <font>
      <sz val="10"/>
      <name val="Helv"/>
      <charset val="204"/>
    </font>
    <font>
      <sz val="10"/>
      <color rgb="FFFF0000"/>
      <name val="Aptos Narrow"/>
      <family val="2"/>
      <scheme val="minor"/>
    </font>
    <font>
      <sz val="10"/>
      <name val="Aptos Narrow"/>
      <family val="2"/>
      <scheme val="minor"/>
    </font>
    <font>
      <b/>
      <strike/>
      <sz val="10"/>
      <name val="Aptos Narrow"/>
      <family val="2"/>
      <scheme val="minor"/>
    </font>
    <font>
      <b/>
      <u/>
      <sz val="10"/>
      <color theme="1"/>
      <name val="Aptos Narrow"/>
      <family val="2"/>
      <scheme val="minor"/>
    </font>
    <font>
      <b/>
      <sz val="10"/>
      <color rgb="FF0000FF"/>
      <name val="Aptos Narrow"/>
      <family val="2"/>
      <scheme val="minor"/>
    </font>
    <font>
      <u/>
      <sz val="10"/>
      <color theme="1"/>
      <name val="Aptos Narrow"/>
      <family val="2"/>
      <scheme val="minor"/>
    </font>
    <font>
      <sz val="10"/>
      <name val="Century Gothic"/>
      <family val="2"/>
    </font>
    <font>
      <b/>
      <sz val="12"/>
      <color theme="1"/>
      <name val="Aptos Narrow"/>
      <family val="2"/>
      <scheme val="minor"/>
    </font>
    <font>
      <sz val="12"/>
      <color theme="1"/>
      <name val="Aptos Narrow"/>
      <family val="2"/>
      <scheme val="minor"/>
    </font>
    <font>
      <b/>
      <sz val="11"/>
      <color theme="1"/>
      <name val="Aptos Narrow"/>
      <scheme val="minor"/>
    </font>
    <font>
      <sz val="11"/>
      <color theme="1"/>
      <name val="Aptos Narrow"/>
      <scheme val="minor"/>
    </font>
  </fonts>
  <fills count="16">
    <fill>
      <patternFill patternType="none"/>
    </fill>
    <fill>
      <patternFill patternType="gray125"/>
    </fill>
    <fill>
      <patternFill patternType="solid">
        <fgColor indexed="18"/>
        <bgColor indexed="64"/>
      </patternFill>
    </fill>
    <fill>
      <patternFill patternType="solid">
        <fgColor rgb="FFEBFED2"/>
        <bgColor indexed="64"/>
      </patternFill>
    </fill>
    <fill>
      <patternFill patternType="solid">
        <fgColor rgb="FFFFFF0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5" tint="0.79998168889431442"/>
        <bgColor indexed="64"/>
      </patternFill>
    </fill>
  </fills>
  <borders count="66">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diagonal/>
    </border>
    <border>
      <left/>
      <right/>
      <top style="thin">
        <color indexed="64"/>
      </top>
      <bottom/>
      <diagonal/>
    </border>
    <border>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right/>
      <top style="thin">
        <color indexed="64"/>
      </top>
      <bottom style="thin">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hair">
        <color theme="1" tint="0.499984740745262"/>
      </right>
      <top style="hair">
        <color theme="1" tint="0.499984740745262"/>
      </top>
      <bottom style="hair">
        <color theme="1" tint="0.499984740745262"/>
      </bottom>
      <diagonal/>
    </border>
    <border>
      <left style="thin">
        <color theme="1" tint="0.499984740745262"/>
      </left>
      <right style="hair">
        <color theme="1" tint="0.499984740745262"/>
      </right>
      <top style="hair">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thin">
        <color indexed="64"/>
      </left>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theme="1" tint="0.499984740745262"/>
      </right>
      <top style="hair">
        <color theme="1" tint="0.499984740745262"/>
      </top>
      <bottom/>
      <diagonal/>
    </border>
    <border>
      <left style="hair">
        <color theme="1" tint="0.499984740745262"/>
      </left>
      <right style="hair">
        <color theme="1" tint="0.499984740745262"/>
      </right>
      <top style="hair">
        <color theme="1" tint="0.499984740745262"/>
      </top>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auto="1"/>
      </bottom>
      <diagonal/>
    </border>
    <border>
      <left/>
      <right style="medium">
        <color indexed="64"/>
      </right>
      <top/>
      <bottom style="medium">
        <color auto="1"/>
      </bottom>
      <diagonal/>
    </border>
    <border>
      <left/>
      <right style="thin">
        <color indexed="64"/>
      </right>
      <top/>
      <bottom/>
      <diagonal/>
    </border>
  </borders>
  <cellStyleXfs count="18">
    <xf numFmtId="0" fontId="0" fillId="0" borderId="0"/>
    <xf numFmtId="43" fontId="1" fillId="0" borderId="0" applyFont="0" applyFill="0" applyBorder="0" applyAlignment="0" applyProtection="0"/>
    <xf numFmtId="9"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7" fillId="0" borderId="0"/>
    <xf numFmtId="0" fontId="1" fillId="0" borderId="0"/>
    <xf numFmtId="0" fontId="7" fillId="0" borderId="0"/>
    <xf numFmtId="165" fontId="7" fillId="0" borderId="0" applyFont="0" applyFill="0" applyBorder="0" applyAlignment="0" applyProtection="0"/>
    <xf numFmtId="0" fontId="24" fillId="0" borderId="0" applyNumberFormat="0" applyFill="0" applyBorder="0" applyAlignment="0" applyProtection="0">
      <alignment vertical="top"/>
      <protection locked="0"/>
    </xf>
    <xf numFmtId="0" fontId="7" fillId="0" borderId="0"/>
    <xf numFmtId="0" fontId="33" fillId="0" borderId="0"/>
    <xf numFmtId="167" fontId="7" fillId="0" borderId="0" applyFont="0" applyFill="0" applyBorder="0" applyAlignment="0" applyProtection="0"/>
    <xf numFmtId="167" fontId="1" fillId="0" borderId="0" applyFont="0" applyFill="0" applyBorder="0" applyAlignment="0" applyProtection="0"/>
    <xf numFmtId="168" fontId="40" fillId="0" borderId="0" applyFont="0">
      <alignment horizontal="center"/>
      <protection locked="0"/>
    </xf>
    <xf numFmtId="37" fontId="7" fillId="0" borderId="0"/>
    <xf numFmtId="0" fontId="7" fillId="0" borderId="0"/>
    <xf numFmtId="0" fontId="7" fillId="0" borderId="0"/>
  </cellStyleXfs>
  <cellXfs count="436">
    <xf numFmtId="0" fontId="0" fillId="0" borderId="0" xfId="0"/>
    <xf numFmtId="43" fontId="0" fillId="0" borderId="0" xfId="1" applyFont="1" applyAlignment="1">
      <alignment horizontal="center" vertical="center"/>
    </xf>
    <xf numFmtId="9" fontId="0" fillId="0" borderId="0" xfId="2" applyFont="1"/>
    <xf numFmtId="0" fontId="5" fillId="0" borderId="1" xfId="0" applyFont="1" applyBorder="1" applyAlignment="1">
      <alignment vertical="top"/>
    </xf>
    <xf numFmtId="0" fontId="5" fillId="0" borderId="0" xfId="0" applyFont="1" applyAlignment="1">
      <alignment vertical="top"/>
    </xf>
    <xf numFmtId="43" fontId="0" fillId="0" borderId="0" xfId="1" applyFont="1" applyAlignment="1">
      <alignment vertical="center"/>
    </xf>
    <xf numFmtId="43" fontId="0" fillId="0" borderId="0" xfId="1" applyFont="1" applyFill="1" applyAlignment="1">
      <alignment vertical="center"/>
    </xf>
    <xf numFmtId="0" fontId="0" fillId="0" borderId="0" xfId="0" applyAlignment="1">
      <alignment vertical="center"/>
    </xf>
    <xf numFmtId="165" fontId="8" fillId="3" borderId="2" xfId="3" applyFont="1" applyFill="1" applyBorder="1" applyAlignment="1">
      <alignment horizontal="left" vertical="center"/>
    </xf>
    <xf numFmtId="165" fontId="9" fillId="3" borderId="2" xfId="3" applyFont="1" applyFill="1" applyBorder="1" applyAlignment="1">
      <alignment horizontal="center" vertical="center"/>
    </xf>
    <xf numFmtId="165" fontId="10" fillId="3" borderId="2" xfId="3" applyFont="1" applyFill="1" applyBorder="1" applyAlignment="1">
      <alignment horizontal="center" vertical="center"/>
    </xf>
    <xf numFmtId="165" fontId="8" fillId="3" borderId="2" xfId="3" applyFont="1" applyFill="1" applyBorder="1" applyAlignment="1">
      <alignment horizontal="center" vertical="center"/>
    </xf>
    <xf numFmtId="43" fontId="8" fillId="3" borderId="2" xfId="1" applyFont="1" applyFill="1" applyBorder="1" applyAlignment="1">
      <alignment horizontal="left" vertical="center"/>
    </xf>
    <xf numFmtId="43" fontId="8" fillId="0" borderId="0" xfId="1" applyFont="1" applyFill="1" applyBorder="1" applyAlignment="1">
      <alignment horizontal="left" vertical="center"/>
    </xf>
    <xf numFmtId="0" fontId="11" fillId="0" borderId="0" xfId="0" applyFont="1" applyAlignment="1">
      <alignment vertical="center"/>
    </xf>
    <xf numFmtId="0" fontId="11" fillId="0" borderId="0" xfId="0" applyFont="1"/>
    <xf numFmtId="0" fontId="12" fillId="7" borderId="2" xfId="0" applyFont="1" applyFill="1" applyBorder="1" applyAlignment="1">
      <alignment horizontal="center"/>
    </xf>
    <xf numFmtId="0" fontId="12" fillId="7" borderId="2" xfId="0" applyFont="1" applyFill="1" applyBorder="1" applyAlignment="1">
      <alignment horizontal="center" vertical="center"/>
    </xf>
    <xf numFmtId="43" fontId="12" fillId="7" borderId="2" xfId="1" applyFont="1" applyFill="1" applyBorder="1" applyAlignment="1">
      <alignment horizontal="center" vertical="center"/>
    </xf>
    <xf numFmtId="43" fontId="12" fillId="0" borderId="0" xfId="1" applyFont="1" applyFill="1" applyBorder="1" applyAlignment="1">
      <alignment horizontal="center" vertical="center"/>
    </xf>
    <xf numFmtId="0" fontId="12" fillId="0" borderId="0" xfId="0" applyFont="1" applyAlignment="1">
      <alignment horizontal="center" vertical="center"/>
    </xf>
    <xf numFmtId="0" fontId="12" fillId="6" borderId="2" xfId="0" applyFont="1" applyFill="1" applyBorder="1" applyAlignment="1">
      <alignment horizontal="center" vertical="center"/>
    </xf>
    <xf numFmtId="0" fontId="12" fillId="0" borderId="0" xfId="0" applyFont="1" applyAlignment="1">
      <alignment horizontal="center"/>
    </xf>
    <xf numFmtId="0" fontId="0" fillId="0" borderId="2" xfId="0" applyBorder="1"/>
    <xf numFmtId="0" fontId="0" fillId="0" borderId="2" xfId="0" applyBorder="1" applyAlignment="1">
      <alignment horizontal="center" vertical="center"/>
    </xf>
    <xf numFmtId="0" fontId="0" fillId="0" borderId="2" xfId="0" applyBorder="1" applyAlignment="1">
      <alignment vertical="center"/>
    </xf>
    <xf numFmtId="43" fontId="0" fillId="0" borderId="2" xfId="1" applyFont="1" applyBorder="1" applyAlignment="1">
      <alignment vertical="center"/>
    </xf>
    <xf numFmtId="43" fontId="0" fillId="0" borderId="0" xfId="1" applyFont="1" applyFill="1" applyBorder="1" applyAlignment="1">
      <alignment vertical="center"/>
    </xf>
    <xf numFmtId="4" fontId="13" fillId="8" borderId="2" xfId="4" quotePrefix="1" applyNumberFormat="1" applyFont="1" applyFill="1" applyBorder="1" applyAlignment="1" applyProtection="1">
      <alignment horizontal="center" vertical="center"/>
    </xf>
    <xf numFmtId="3" fontId="13" fillId="8" borderId="2" xfId="5" applyNumberFormat="1" applyFont="1" applyFill="1" applyBorder="1" applyAlignment="1">
      <alignment horizontal="center" vertical="center" wrapText="1"/>
    </xf>
    <xf numFmtId="3" fontId="13" fillId="8" borderId="2" xfId="5" applyNumberFormat="1" applyFont="1" applyFill="1" applyBorder="1" applyAlignment="1">
      <alignment horizontal="justify" vertical="center" wrapText="1"/>
    </xf>
    <xf numFmtId="3" fontId="14" fillId="8" borderId="2" xfId="5" applyNumberFormat="1" applyFont="1" applyFill="1" applyBorder="1" applyAlignment="1">
      <alignment horizontal="center" vertical="center"/>
    </xf>
    <xf numFmtId="3" fontId="13" fillId="8" borderId="2" xfId="5" applyNumberFormat="1" applyFont="1" applyFill="1" applyBorder="1" applyAlignment="1">
      <alignment horizontal="center" vertical="center"/>
    </xf>
    <xf numFmtId="43" fontId="13" fillId="8" borderId="2" xfId="1" applyFont="1" applyFill="1" applyBorder="1" applyAlignment="1">
      <alignment horizontal="center" vertical="center"/>
    </xf>
    <xf numFmtId="43" fontId="13" fillId="8" borderId="2" xfId="1" applyFont="1" applyFill="1" applyBorder="1" applyAlignment="1" applyProtection="1">
      <alignment horizontal="center" vertical="center"/>
    </xf>
    <xf numFmtId="43" fontId="13" fillId="0" borderId="0" xfId="1" applyFont="1" applyFill="1" applyBorder="1" applyAlignment="1" applyProtection="1">
      <alignment horizontal="center" vertical="center"/>
    </xf>
    <xf numFmtId="0" fontId="0" fillId="0" borderId="2" xfId="0" applyBorder="1" applyAlignment="1">
      <alignment horizontal="justify" vertical="top"/>
    </xf>
    <xf numFmtId="0" fontId="3" fillId="0" borderId="2" xfId="0" applyFont="1" applyBorder="1" applyAlignment="1">
      <alignment horizontal="center" vertical="top"/>
    </xf>
    <xf numFmtId="0" fontId="12" fillId="0" borderId="2" xfId="0" applyFont="1" applyBorder="1" applyAlignment="1">
      <alignment horizontal="center" vertical="top"/>
    </xf>
    <xf numFmtId="3" fontId="7" fillId="0" borderId="2" xfId="5" applyNumberFormat="1" applyBorder="1" applyAlignment="1">
      <alignment horizontal="justify" vertical="top" wrapText="1"/>
    </xf>
    <xf numFmtId="0" fontId="3" fillId="0" borderId="0" xfId="0" applyFont="1" applyAlignment="1">
      <alignment vertical="center"/>
    </xf>
    <xf numFmtId="43" fontId="3" fillId="0" borderId="0" xfId="1" applyFont="1" applyAlignment="1">
      <alignment horizontal="center" vertical="center"/>
    </xf>
    <xf numFmtId="0" fontId="3" fillId="0" borderId="0" xfId="0" applyFont="1"/>
    <xf numFmtId="0" fontId="3" fillId="0" borderId="2" xfId="0" applyFont="1" applyBorder="1"/>
    <xf numFmtId="2" fontId="0" fillId="0" borderId="2" xfId="0" applyNumberFormat="1" applyBorder="1" applyAlignment="1">
      <alignment horizontal="center" vertical="top"/>
    </xf>
    <xf numFmtId="3" fontId="7" fillId="0" borderId="2" xfId="5" applyNumberFormat="1" applyBorder="1" applyAlignment="1">
      <alignment horizontal="center" vertical="top" wrapText="1"/>
    </xf>
    <xf numFmtId="2" fontId="0" fillId="0" borderId="2" xfId="0" applyNumberFormat="1" applyBorder="1" applyAlignment="1">
      <alignment horizontal="center" vertical="center"/>
    </xf>
    <xf numFmtId="0" fontId="15" fillId="0" borderId="2" xfId="0" applyFont="1" applyBorder="1" applyAlignment="1">
      <alignment horizontal="center" vertical="top"/>
    </xf>
    <xf numFmtId="3" fontId="3" fillId="0" borderId="0" xfId="0" applyNumberFormat="1" applyFont="1" applyAlignment="1">
      <alignment vertical="center"/>
    </xf>
    <xf numFmtId="0" fontId="0" fillId="0" borderId="2" xfId="0" applyBorder="1" applyAlignment="1">
      <alignment horizontal="center" vertical="top"/>
    </xf>
    <xf numFmtId="4" fontId="13" fillId="9" borderId="2" xfId="4" quotePrefix="1" applyNumberFormat="1" applyFont="1" applyFill="1" applyBorder="1" applyAlignment="1" applyProtection="1">
      <alignment horizontal="center" vertical="center"/>
    </xf>
    <xf numFmtId="3" fontId="13" fillId="9" borderId="2" xfId="5" applyNumberFormat="1" applyFont="1" applyFill="1" applyBorder="1" applyAlignment="1">
      <alignment horizontal="center" vertical="center" wrapText="1"/>
    </xf>
    <xf numFmtId="3" fontId="13" fillId="9" borderId="2" xfId="5" applyNumberFormat="1" applyFont="1" applyFill="1" applyBorder="1" applyAlignment="1">
      <alignment horizontal="justify" vertical="center" wrapText="1"/>
    </xf>
    <xf numFmtId="3" fontId="14" fillId="9" borderId="2" xfId="5" applyNumberFormat="1" applyFont="1" applyFill="1" applyBorder="1" applyAlignment="1">
      <alignment horizontal="center" vertical="center"/>
    </xf>
    <xf numFmtId="3" fontId="13" fillId="9" borderId="2" xfId="5" applyNumberFormat="1" applyFont="1" applyFill="1" applyBorder="1" applyAlignment="1">
      <alignment horizontal="center" vertical="center"/>
    </xf>
    <xf numFmtId="43" fontId="13" fillId="9" borderId="2" xfId="1" applyFont="1" applyFill="1" applyBorder="1" applyAlignment="1">
      <alignment horizontal="center" vertical="center"/>
    </xf>
    <xf numFmtId="43" fontId="13" fillId="9" borderId="2" xfId="1" applyFont="1" applyFill="1" applyBorder="1" applyAlignment="1" applyProtection="1">
      <alignment horizontal="center" vertical="center"/>
    </xf>
    <xf numFmtId="4" fontId="7" fillId="9" borderId="2" xfId="4" quotePrefix="1" applyNumberFormat="1" applyFont="1" applyFill="1" applyBorder="1" applyAlignment="1" applyProtection="1">
      <alignment horizontal="center" vertical="center"/>
    </xf>
    <xf numFmtId="3" fontId="7" fillId="9" borderId="2" xfId="5" applyNumberFormat="1" applyFill="1" applyBorder="1" applyAlignment="1">
      <alignment horizontal="center" vertical="center" wrapText="1"/>
    </xf>
    <xf numFmtId="3" fontId="7" fillId="9" borderId="2" xfId="5" applyNumberFormat="1" applyFill="1" applyBorder="1" applyAlignment="1">
      <alignment horizontal="justify" vertical="center" wrapText="1"/>
    </xf>
    <xf numFmtId="3" fontId="19" fillId="9" borderId="2" xfId="5" applyNumberFormat="1" applyFont="1" applyFill="1" applyBorder="1" applyAlignment="1">
      <alignment horizontal="center" vertical="center"/>
    </xf>
    <xf numFmtId="3" fontId="7" fillId="9" borderId="2" xfId="5" applyNumberFormat="1" applyFill="1" applyBorder="1" applyAlignment="1">
      <alignment horizontal="center" vertical="center"/>
    </xf>
    <xf numFmtId="3" fontId="18" fillId="9" borderId="2" xfId="5" applyNumberFormat="1" applyFont="1" applyFill="1" applyBorder="1" applyAlignment="1">
      <alignment horizontal="justify" vertical="center" wrapText="1"/>
    </xf>
    <xf numFmtId="3" fontId="18" fillId="0" borderId="2" xfId="6" applyNumberFormat="1" applyFont="1" applyBorder="1" applyAlignment="1">
      <alignment horizontal="justify" vertical="top"/>
    </xf>
    <xf numFmtId="2" fontId="3" fillId="0" borderId="0" xfId="0" applyNumberFormat="1" applyFont="1" applyAlignment="1">
      <alignment vertical="center"/>
    </xf>
    <xf numFmtId="0" fontId="12" fillId="6" borderId="2" xfId="0" applyFont="1" applyFill="1" applyBorder="1" applyAlignment="1">
      <alignment horizontal="center"/>
    </xf>
    <xf numFmtId="0" fontId="12" fillId="6" borderId="2" xfId="0" applyFont="1" applyFill="1" applyBorder="1" applyAlignment="1">
      <alignment horizontal="center" vertical="center" wrapText="1"/>
    </xf>
    <xf numFmtId="0" fontId="12" fillId="6" borderId="2" xfId="0" applyFont="1" applyFill="1" applyBorder="1" applyAlignment="1">
      <alignment vertical="center"/>
    </xf>
    <xf numFmtId="43" fontId="12" fillId="6" borderId="2" xfId="1" applyFont="1" applyFill="1" applyBorder="1" applyAlignment="1">
      <alignment horizontal="center" vertical="center"/>
    </xf>
    <xf numFmtId="43" fontId="12" fillId="0" borderId="7" xfId="1" applyFont="1" applyFill="1" applyBorder="1" applyAlignment="1">
      <alignment horizontal="center" vertical="center"/>
    </xf>
    <xf numFmtId="3" fontId="12" fillId="0" borderId="8" xfId="0" applyNumberFormat="1" applyFont="1" applyBorder="1" applyAlignment="1">
      <alignment horizontal="center" vertical="center"/>
    </xf>
    <xf numFmtId="0" fontId="0" fillId="0" borderId="0" xfId="0" applyAlignment="1">
      <alignment horizontal="center" vertical="center"/>
    </xf>
    <xf numFmtId="0" fontId="0" fillId="0" borderId="0" xfId="0" applyAlignment="1">
      <alignment vertical="top" wrapText="1"/>
    </xf>
    <xf numFmtId="165" fontId="8" fillId="3" borderId="0" xfId="3" applyFont="1" applyFill="1" applyBorder="1" applyAlignment="1">
      <alignment horizontal="left" vertical="center"/>
    </xf>
    <xf numFmtId="165" fontId="9" fillId="3" borderId="0" xfId="3" applyFont="1" applyFill="1" applyBorder="1" applyAlignment="1">
      <alignment horizontal="center" vertical="center"/>
    </xf>
    <xf numFmtId="165" fontId="10" fillId="3" borderId="0" xfId="3" applyFont="1" applyFill="1" applyBorder="1" applyAlignment="1">
      <alignment horizontal="center" vertical="center"/>
    </xf>
    <xf numFmtId="165" fontId="8" fillId="3" borderId="0" xfId="3" applyFont="1" applyFill="1" applyBorder="1" applyAlignment="1">
      <alignment horizontal="center" vertical="center"/>
    </xf>
    <xf numFmtId="0" fontId="12" fillId="7" borderId="9" xfId="0" applyFont="1" applyFill="1" applyBorder="1" applyAlignment="1">
      <alignment horizontal="center"/>
    </xf>
    <xf numFmtId="0" fontId="12" fillId="7" borderId="9" xfId="0" applyFont="1" applyFill="1" applyBorder="1" applyAlignment="1">
      <alignment horizontal="center" vertical="center"/>
    </xf>
    <xf numFmtId="0" fontId="0" fillId="0" borderId="10" xfId="0" applyBorder="1"/>
    <xf numFmtId="0" fontId="0" fillId="0" borderId="11" xfId="0" applyBorder="1"/>
    <xf numFmtId="0" fontId="0" fillId="0" borderId="11" xfId="0" applyBorder="1" applyAlignment="1">
      <alignment horizontal="center" vertical="center"/>
    </xf>
    <xf numFmtId="0" fontId="0" fillId="0" borderId="11" xfId="0" applyBorder="1" applyAlignment="1">
      <alignment vertical="center"/>
    </xf>
    <xf numFmtId="0" fontId="0" fillId="0" borderId="12" xfId="0" applyBorder="1" applyAlignment="1">
      <alignment vertical="center"/>
    </xf>
    <xf numFmtId="4" fontId="13" fillId="8" borderId="13" xfId="4" quotePrefix="1" applyNumberFormat="1" applyFont="1" applyFill="1" applyBorder="1" applyAlignment="1" applyProtection="1">
      <alignment horizontal="center" vertical="center"/>
    </xf>
    <xf numFmtId="3" fontId="13" fillId="8" borderId="14" xfId="4" applyNumberFormat="1" applyFont="1" applyFill="1" applyBorder="1" applyAlignment="1" applyProtection="1">
      <alignment horizontal="center" vertical="center"/>
    </xf>
    <xf numFmtId="0" fontId="0" fillId="0" borderId="13" xfId="0" applyBorder="1"/>
    <xf numFmtId="0" fontId="0" fillId="0" borderId="14" xfId="0" applyBorder="1" applyAlignment="1">
      <alignment vertical="center"/>
    </xf>
    <xf numFmtId="0" fontId="3" fillId="0" borderId="13" xfId="0" applyFont="1" applyBorder="1" applyAlignment="1">
      <alignment horizontal="center" vertical="top"/>
    </xf>
    <xf numFmtId="0" fontId="3" fillId="7" borderId="13" xfId="0" applyFont="1" applyFill="1" applyBorder="1" applyAlignment="1">
      <alignment horizontal="center" vertical="top"/>
    </xf>
    <xf numFmtId="3" fontId="13" fillId="7" borderId="2" xfId="5" applyNumberFormat="1" applyFont="1" applyFill="1" applyBorder="1" applyAlignment="1">
      <alignment horizontal="center" vertical="top" wrapText="1"/>
    </xf>
    <xf numFmtId="3" fontId="13" fillId="7" borderId="5" xfId="5" applyNumberFormat="1" applyFont="1" applyFill="1" applyBorder="1" applyAlignment="1">
      <alignment horizontal="justify" vertical="top" wrapText="1"/>
    </xf>
    <xf numFmtId="0" fontId="0" fillId="7" borderId="2" xfId="0" applyFill="1" applyBorder="1" applyAlignment="1">
      <alignment horizontal="center" vertical="center"/>
    </xf>
    <xf numFmtId="0" fontId="0" fillId="7" borderId="2" xfId="0" applyFill="1" applyBorder="1" applyAlignment="1">
      <alignment vertical="center"/>
    </xf>
    <xf numFmtId="0" fontId="0" fillId="7" borderId="14" xfId="0" applyFill="1" applyBorder="1" applyAlignment="1">
      <alignment vertical="center"/>
    </xf>
    <xf numFmtId="0" fontId="3" fillId="0" borderId="15" xfId="0" applyFont="1" applyBorder="1" applyAlignment="1">
      <alignment horizontal="center" vertical="top"/>
    </xf>
    <xf numFmtId="0" fontId="12" fillId="0" borderId="5" xfId="0" applyFont="1" applyBorder="1" applyAlignment="1">
      <alignment horizontal="center" vertical="top"/>
    </xf>
    <xf numFmtId="3" fontId="7" fillId="0" borderId="5" xfId="5" applyNumberFormat="1" applyBorder="1" applyAlignment="1">
      <alignment horizontal="justify" vertical="top" wrapText="1"/>
    </xf>
    <xf numFmtId="0" fontId="0" fillId="0" borderId="5" xfId="0" applyBorder="1" applyAlignment="1">
      <alignment horizontal="center" vertical="center"/>
    </xf>
    <xf numFmtId="0" fontId="0" fillId="0" borderId="5" xfId="0" applyBorder="1" applyAlignment="1">
      <alignment vertical="center"/>
    </xf>
    <xf numFmtId="2" fontId="0" fillId="0" borderId="5" xfId="0" applyNumberFormat="1" applyBorder="1" applyAlignment="1">
      <alignment horizontal="center" vertical="center"/>
    </xf>
    <xf numFmtId="2" fontId="0" fillId="0" borderId="14" xfId="0" applyNumberFormat="1" applyBorder="1" applyAlignment="1">
      <alignment vertical="center"/>
    </xf>
    <xf numFmtId="0" fontId="0" fillId="0" borderId="16" xfId="0" applyBorder="1" applyAlignment="1">
      <alignment vertical="center"/>
    </xf>
    <xf numFmtId="3" fontId="7" fillId="0" borderId="5" xfId="5" applyNumberFormat="1" applyBorder="1" applyAlignment="1">
      <alignment horizontal="center" vertical="top" wrapText="1"/>
    </xf>
    <xf numFmtId="0" fontId="3" fillId="0" borderId="0" xfId="0" applyFont="1" applyAlignment="1">
      <alignment horizontal="center" vertical="center" wrapText="1"/>
    </xf>
    <xf numFmtId="3" fontId="13" fillId="0" borderId="2" xfId="5" applyNumberFormat="1" applyFont="1" applyBorder="1" applyAlignment="1">
      <alignment horizontal="center" vertical="top" wrapText="1"/>
    </xf>
    <xf numFmtId="3" fontId="13" fillId="0" borderId="2" xfId="5" applyNumberFormat="1" applyFont="1" applyBorder="1" applyAlignment="1">
      <alignment horizontal="justify" vertical="top" wrapText="1"/>
    </xf>
    <xf numFmtId="3" fontId="13" fillId="0" borderId="5" xfId="5" applyNumberFormat="1" applyFont="1" applyBorder="1" applyAlignment="1">
      <alignment horizontal="center" vertical="top" wrapText="1"/>
    </xf>
    <xf numFmtId="3" fontId="13" fillId="0" borderId="5" xfId="5" applyNumberFormat="1" applyFont="1" applyBorder="1" applyAlignment="1">
      <alignment horizontal="justify" vertical="top" wrapText="1"/>
    </xf>
    <xf numFmtId="0" fontId="12" fillId="6" borderId="17" xfId="0" applyFont="1" applyFill="1" applyBorder="1" applyAlignment="1">
      <alignment horizontal="center"/>
    </xf>
    <xf numFmtId="0" fontId="12" fillId="6" borderId="18" xfId="0" applyFont="1" applyFill="1" applyBorder="1" applyAlignment="1">
      <alignment horizontal="center"/>
    </xf>
    <xf numFmtId="0" fontId="12" fillId="6" borderId="18" xfId="0" applyFont="1" applyFill="1" applyBorder="1" applyAlignment="1">
      <alignment horizontal="center" vertical="center" wrapText="1"/>
    </xf>
    <xf numFmtId="0" fontId="12" fillId="6" borderId="18" xfId="0" applyFont="1" applyFill="1" applyBorder="1" applyAlignment="1">
      <alignment horizontal="center" vertical="center"/>
    </xf>
    <xf numFmtId="0" fontId="12" fillId="6" borderId="18" xfId="0" applyFont="1" applyFill="1" applyBorder="1" applyAlignment="1">
      <alignment vertical="center"/>
    </xf>
    <xf numFmtId="3" fontId="12" fillId="6" borderId="19" xfId="0" applyNumberFormat="1" applyFont="1" applyFill="1" applyBorder="1" applyAlignment="1">
      <alignment horizontal="center" vertical="center"/>
    </xf>
    <xf numFmtId="2" fontId="0" fillId="0" borderId="0" xfId="0" applyNumberFormat="1"/>
    <xf numFmtId="0" fontId="6" fillId="0" borderId="0" xfId="0" applyFont="1"/>
    <xf numFmtId="165" fontId="8" fillId="0" borderId="0" xfId="3" applyFont="1" applyFill="1" applyBorder="1" applyAlignment="1">
      <alignment horizontal="left" vertical="center"/>
    </xf>
    <xf numFmtId="0" fontId="12" fillId="7" borderId="0" xfId="0" applyFont="1" applyFill="1" applyAlignment="1">
      <alignment horizontal="center"/>
    </xf>
    <xf numFmtId="0" fontId="0" fillId="0" borderId="11" xfId="0" applyBorder="1" applyAlignment="1">
      <alignment horizontal="center"/>
    </xf>
    <xf numFmtId="0" fontId="0" fillId="0" borderId="12" xfId="0" applyBorder="1"/>
    <xf numFmtId="3" fontId="14" fillId="8" borderId="2" xfId="5" applyNumberFormat="1" applyFont="1" applyFill="1" applyBorder="1" applyAlignment="1">
      <alignment horizontal="center" vertical="top"/>
    </xf>
    <xf numFmtId="3" fontId="13" fillId="8" borderId="2" xfId="5" applyNumberFormat="1" applyFont="1" applyFill="1" applyBorder="1" applyAlignment="1">
      <alignment horizontal="center" vertical="top"/>
    </xf>
    <xf numFmtId="3" fontId="13" fillId="8" borderId="14" xfId="4" applyNumberFormat="1" applyFont="1" applyFill="1" applyBorder="1" applyAlignment="1" applyProtection="1">
      <alignment horizontal="center" vertical="top"/>
    </xf>
    <xf numFmtId="3" fontId="13" fillId="8" borderId="0" xfId="4" applyNumberFormat="1" applyFont="1" applyFill="1" applyBorder="1" applyAlignment="1" applyProtection="1">
      <alignment horizontal="center" vertical="top"/>
    </xf>
    <xf numFmtId="0" fontId="0" fillId="0" borderId="2" xfId="0" applyBorder="1" applyAlignment="1">
      <alignment horizontal="center"/>
    </xf>
    <xf numFmtId="0" fontId="0" fillId="0" borderId="14" xfId="0" applyBorder="1"/>
    <xf numFmtId="0" fontId="0" fillId="7" borderId="2" xfId="0" applyFill="1" applyBorder="1" applyAlignment="1">
      <alignment horizontal="center"/>
    </xf>
    <xf numFmtId="0" fontId="0" fillId="7" borderId="2" xfId="0" applyFill="1" applyBorder="1"/>
    <xf numFmtId="0" fontId="0" fillId="7" borderId="14" xfId="0" applyFill="1" applyBorder="1"/>
    <xf numFmtId="0" fontId="0" fillId="7" borderId="0" xfId="0" applyFill="1"/>
    <xf numFmtId="0" fontId="0" fillId="0" borderId="5" xfId="0" applyBorder="1" applyAlignment="1">
      <alignment horizontal="center"/>
    </xf>
    <xf numFmtId="0" fontId="0" fillId="0" borderId="5" xfId="0" applyBorder="1"/>
    <xf numFmtId="2" fontId="0" fillId="0" borderId="5" xfId="0" applyNumberFormat="1" applyBorder="1" applyAlignment="1">
      <alignment horizontal="center"/>
    </xf>
    <xf numFmtId="2" fontId="0" fillId="0" borderId="14" xfId="0" applyNumberFormat="1" applyBorder="1"/>
    <xf numFmtId="0" fontId="0" fillId="0" borderId="16" xfId="0" applyBorder="1"/>
    <xf numFmtId="0" fontId="2" fillId="0" borderId="5" xfId="0" applyFont="1" applyBorder="1"/>
    <xf numFmtId="2" fontId="0" fillId="0" borderId="16" xfId="0" applyNumberFormat="1" applyBorder="1"/>
    <xf numFmtId="0" fontId="0" fillId="0" borderId="5" xfId="0" applyBorder="1" applyAlignment="1">
      <alignment horizontal="right"/>
    </xf>
    <xf numFmtId="4" fontId="13" fillId="9" borderId="15" xfId="4" quotePrefix="1" applyNumberFormat="1" applyFont="1" applyFill="1" applyBorder="1" applyAlignment="1" applyProtection="1">
      <alignment horizontal="center" vertical="center"/>
    </xf>
    <xf numFmtId="3" fontId="13" fillId="9" borderId="5" xfId="5" applyNumberFormat="1" applyFont="1" applyFill="1" applyBorder="1" applyAlignment="1">
      <alignment horizontal="center" vertical="center" wrapText="1"/>
    </xf>
    <xf numFmtId="0" fontId="0" fillId="0" borderId="20" xfId="0" applyBorder="1" applyAlignment="1">
      <alignment horizontal="justify" vertical="top" wrapText="1"/>
    </xf>
    <xf numFmtId="0" fontId="0" fillId="0" borderId="21" xfId="0" applyBorder="1" applyAlignment="1">
      <alignment horizontal="justify" vertical="top" wrapText="1"/>
    </xf>
    <xf numFmtId="0" fontId="0" fillId="0" borderId="2" xfId="0" applyBorder="1" applyAlignment="1">
      <alignment horizontal="justify" vertical="top" wrapText="1"/>
    </xf>
    <xf numFmtId="2" fontId="0" fillId="0" borderId="0" xfId="0" applyNumberFormat="1" applyAlignment="1">
      <alignment vertical="center"/>
    </xf>
    <xf numFmtId="3" fontId="13" fillId="9" borderId="5" xfId="5" applyNumberFormat="1" applyFont="1" applyFill="1" applyBorder="1" applyAlignment="1">
      <alignment horizontal="justify" vertical="center" wrapText="1"/>
    </xf>
    <xf numFmtId="3" fontId="14" fillId="9" borderId="5" xfId="5" applyNumberFormat="1" applyFont="1" applyFill="1" applyBorder="1" applyAlignment="1">
      <alignment horizontal="center" vertical="top"/>
    </xf>
    <xf numFmtId="3" fontId="13" fillId="9" borderId="5" xfId="5" applyNumberFormat="1" applyFont="1" applyFill="1" applyBorder="1" applyAlignment="1">
      <alignment horizontal="center" vertical="top"/>
    </xf>
    <xf numFmtId="3" fontId="13" fillId="9" borderId="0" xfId="4" applyNumberFormat="1" applyFont="1" applyFill="1" applyBorder="1" applyAlignment="1" applyProtection="1">
      <alignment horizontal="center" vertical="top"/>
    </xf>
    <xf numFmtId="0" fontId="3" fillId="9" borderId="15" xfId="0" applyFont="1" applyFill="1" applyBorder="1" applyAlignment="1">
      <alignment horizontal="center" vertical="top"/>
    </xf>
    <xf numFmtId="3" fontId="13" fillId="9" borderId="5" xfId="5" applyNumberFormat="1" applyFont="1" applyFill="1" applyBorder="1" applyAlignment="1">
      <alignment horizontal="center" vertical="top" wrapText="1"/>
    </xf>
    <xf numFmtId="3" fontId="13" fillId="9" borderId="5" xfId="5" applyNumberFormat="1" applyFont="1" applyFill="1" applyBorder="1" applyAlignment="1">
      <alignment horizontal="justify" vertical="top" wrapText="1"/>
    </xf>
    <xf numFmtId="0" fontId="0" fillId="9" borderId="5" xfId="0" applyFill="1" applyBorder="1" applyAlignment="1">
      <alignment horizontal="center"/>
    </xf>
    <xf numFmtId="0" fontId="0" fillId="9" borderId="0" xfId="0" applyFill="1"/>
    <xf numFmtId="1" fontId="0" fillId="9" borderId="5" xfId="0" applyNumberFormat="1" applyFill="1" applyBorder="1" applyAlignment="1">
      <alignment horizontal="center"/>
    </xf>
    <xf numFmtId="0" fontId="12" fillId="6" borderId="18" xfId="0" applyFont="1" applyFill="1" applyBorder="1"/>
    <xf numFmtId="3" fontId="12" fillId="6" borderId="19" xfId="0" applyNumberFormat="1" applyFont="1" applyFill="1" applyBorder="1" applyAlignment="1">
      <alignment horizontal="center"/>
    </xf>
    <xf numFmtId="3" fontId="12" fillId="6" borderId="0" xfId="0" applyNumberFormat="1" applyFont="1" applyFill="1" applyAlignment="1">
      <alignment horizontal="center"/>
    </xf>
    <xf numFmtId="0" fontId="0" fillId="0" borderId="0" xfId="0" applyAlignment="1">
      <alignment horizontal="center"/>
    </xf>
    <xf numFmtId="9" fontId="0" fillId="0" borderId="0" xfId="2" applyFont="1" applyAlignment="1">
      <alignment horizontal="center"/>
    </xf>
    <xf numFmtId="43" fontId="0" fillId="0" borderId="0" xfId="1" applyFont="1"/>
    <xf numFmtId="3" fontId="21" fillId="4" borderId="5" xfId="5" applyNumberFormat="1" applyFont="1" applyFill="1" applyBorder="1" applyAlignment="1">
      <alignment horizontal="justify" vertical="top" wrapText="1"/>
    </xf>
    <xf numFmtId="1" fontId="0" fillId="0" borderId="5" xfId="0" applyNumberFormat="1" applyBorder="1" applyAlignment="1">
      <alignment horizontal="center"/>
    </xf>
    <xf numFmtId="43" fontId="3" fillId="0" borderId="0" xfId="1" applyFont="1"/>
    <xf numFmtId="0" fontId="18" fillId="0" borderId="2" xfId="0" applyFont="1" applyBorder="1" applyAlignment="1">
      <alignment horizontal="justify" vertical="top" wrapText="1"/>
    </xf>
    <xf numFmtId="43" fontId="3" fillId="0" borderId="0" xfId="0" applyNumberFormat="1" applyFont="1"/>
    <xf numFmtId="3" fontId="0" fillId="0" borderId="0" xfId="0" applyNumberFormat="1"/>
    <xf numFmtId="0" fontId="22" fillId="0" borderId="0" xfId="7" applyFont="1" applyAlignment="1">
      <alignment vertical="center"/>
    </xf>
    <xf numFmtId="0" fontId="8" fillId="0" borderId="0" xfId="7" applyFont="1" applyAlignment="1">
      <alignment vertical="center"/>
    </xf>
    <xf numFmtId="0" fontId="8" fillId="0" borderId="0" xfId="7" applyFont="1" applyAlignment="1">
      <alignment wrapText="1"/>
    </xf>
    <xf numFmtId="0" fontId="22" fillId="0" borderId="0" xfId="7" applyFont="1" applyAlignment="1">
      <alignment horizontal="justify" vertical="justify" wrapText="1"/>
    </xf>
    <xf numFmtId="0" fontId="22" fillId="0" borderId="0" xfId="7" applyFont="1" applyAlignment="1">
      <alignment horizontal="center" vertical="center"/>
    </xf>
    <xf numFmtId="0" fontId="8" fillId="10" borderId="23" xfId="7" applyFont="1" applyFill="1" applyBorder="1" applyAlignment="1">
      <alignment horizontal="center" vertical="center"/>
    </xf>
    <xf numFmtId="0" fontId="8" fillId="10" borderId="24" xfId="7" applyFont="1" applyFill="1" applyBorder="1" applyAlignment="1">
      <alignment horizontal="center" wrapText="1"/>
    </xf>
    <xf numFmtId="0" fontId="8" fillId="10" borderId="24" xfId="7" applyFont="1" applyFill="1" applyBorder="1" applyAlignment="1">
      <alignment horizontal="justify" vertical="justify" wrapText="1"/>
    </xf>
    <xf numFmtId="0" fontId="8" fillId="10" borderId="24" xfId="7" applyFont="1" applyFill="1" applyBorder="1" applyAlignment="1">
      <alignment horizontal="center" vertical="center"/>
    </xf>
    <xf numFmtId="0" fontId="8" fillId="10" borderId="24" xfId="7" applyFont="1" applyFill="1" applyBorder="1" applyAlignment="1">
      <alignment horizontal="center" vertical="center" wrapText="1"/>
    </xf>
    <xf numFmtId="0" fontId="8" fillId="10" borderId="25" xfId="7" applyFont="1" applyFill="1" applyBorder="1" applyAlignment="1">
      <alignment horizontal="center" vertical="center"/>
    </xf>
    <xf numFmtId="0" fontId="8" fillId="10" borderId="26" xfId="7" applyFont="1" applyFill="1" applyBorder="1" applyAlignment="1">
      <alignment horizontal="center" vertical="center"/>
    </xf>
    <xf numFmtId="0" fontId="8" fillId="10" borderId="20" xfId="7" applyFont="1" applyFill="1" applyBorder="1" applyAlignment="1">
      <alignment wrapText="1"/>
    </xf>
    <xf numFmtId="0" fontId="8" fillId="10" borderId="20" xfId="7" applyFont="1" applyFill="1" applyBorder="1" applyAlignment="1">
      <alignment horizontal="justify" vertical="justify" wrapText="1"/>
    </xf>
    <xf numFmtId="0" fontId="8" fillId="10" borderId="20" xfId="7" applyFont="1" applyFill="1" applyBorder="1" applyAlignment="1">
      <alignment horizontal="center" vertical="center"/>
    </xf>
    <xf numFmtId="0" fontId="8" fillId="10" borderId="20" xfId="7" applyFont="1" applyFill="1" applyBorder="1" applyAlignment="1">
      <alignment horizontal="center" vertical="center" wrapText="1"/>
    </xf>
    <xf numFmtId="0" fontId="8" fillId="10" borderId="27" xfId="7" applyFont="1" applyFill="1" applyBorder="1" applyAlignment="1">
      <alignment horizontal="center" vertical="center"/>
    </xf>
    <xf numFmtId="0" fontId="8" fillId="0" borderId="26" xfId="7" applyFont="1" applyBorder="1" applyAlignment="1">
      <alignment horizontal="center" vertical="center"/>
    </xf>
    <xf numFmtId="0" fontId="8" fillId="0" borderId="20" xfId="7" applyFont="1" applyBorder="1" applyAlignment="1">
      <alignment wrapText="1"/>
    </xf>
    <xf numFmtId="0" fontId="8" fillId="0" borderId="20" xfId="7" applyFont="1" applyBorder="1" applyAlignment="1">
      <alignment horizontal="justify" vertical="justify" wrapText="1"/>
    </xf>
    <xf numFmtId="0" fontId="8" fillId="0" borderId="20" xfId="7" applyFont="1" applyBorder="1" applyAlignment="1">
      <alignment horizontal="center" vertical="center"/>
    </xf>
    <xf numFmtId="0" fontId="8" fillId="0" borderId="20" xfId="7" applyFont="1" applyBorder="1" applyAlignment="1">
      <alignment horizontal="center" vertical="center" wrapText="1"/>
    </xf>
    <xf numFmtId="0" fontId="8" fillId="0" borderId="27" xfId="7" applyFont="1" applyBorder="1" applyAlignment="1">
      <alignment horizontal="center" vertical="center"/>
    </xf>
    <xf numFmtId="2" fontId="8" fillId="0" borderId="26" xfId="7" applyNumberFormat="1" applyFont="1" applyBorder="1" applyAlignment="1">
      <alignment horizontal="center" vertical="center"/>
    </xf>
    <xf numFmtId="0" fontId="18" fillId="0" borderId="20" xfId="0" applyFont="1" applyBorder="1" applyAlignment="1">
      <alignment vertical="center" wrapText="1"/>
    </xf>
    <xf numFmtId="0" fontId="0" fillId="0" borderId="20" xfId="0" applyBorder="1" applyAlignment="1">
      <alignment vertical="top" wrapText="1"/>
    </xf>
    <xf numFmtId="0" fontId="22" fillId="0" borderId="20" xfId="7" applyFont="1" applyBorder="1" applyAlignment="1">
      <alignment horizontal="center" vertical="center" wrapText="1"/>
    </xf>
    <xf numFmtId="164" fontId="22" fillId="0" borderId="20" xfId="7" applyNumberFormat="1" applyFont="1" applyBorder="1" applyAlignment="1">
      <alignment horizontal="center" vertical="center"/>
    </xf>
    <xf numFmtId="165" fontId="22" fillId="0" borderId="20" xfId="8" applyFont="1" applyBorder="1" applyAlignment="1">
      <alignment horizontal="center" vertical="center"/>
    </xf>
    <xf numFmtId="165" fontId="22" fillId="9" borderId="27" xfId="8" applyFont="1" applyFill="1" applyBorder="1" applyAlignment="1">
      <alignment horizontal="right" vertical="center" wrapText="1"/>
    </xf>
    <xf numFmtId="0" fontId="18" fillId="0" borderId="20" xfId="0" applyFont="1" applyBorder="1" applyAlignment="1">
      <alignment horizontal="justify" vertical="center" wrapText="1"/>
    </xf>
    <xf numFmtId="0" fontId="8" fillId="0" borderId="20" xfId="7" applyFont="1" applyBorder="1" applyAlignment="1">
      <alignment horizontal="left" wrapText="1"/>
    </xf>
    <xf numFmtId="165" fontId="8" fillId="0" borderId="20" xfId="8" applyFont="1" applyBorder="1" applyAlignment="1">
      <alignment horizontal="center" vertical="center"/>
    </xf>
    <xf numFmtId="165" fontId="8" fillId="9" borderId="27" xfId="8" applyFont="1" applyFill="1" applyBorder="1" applyAlignment="1">
      <alignment horizontal="right" vertical="center" wrapText="1"/>
    </xf>
    <xf numFmtId="0" fontId="23" fillId="0" borderId="0" xfId="7" applyFont="1" applyAlignment="1">
      <alignment vertical="center"/>
    </xf>
    <xf numFmtId="0" fontId="22" fillId="10" borderId="26" xfId="7" applyFont="1" applyFill="1" applyBorder="1" applyAlignment="1">
      <alignment horizontal="center" vertical="center"/>
    </xf>
    <xf numFmtId="0" fontId="8" fillId="10" borderId="20" xfId="7" applyFont="1" applyFill="1" applyBorder="1" applyAlignment="1">
      <alignment horizontal="left"/>
    </xf>
    <xf numFmtId="0" fontId="8" fillId="10" borderId="20" xfId="7" applyFont="1" applyFill="1" applyBorder="1" applyAlignment="1">
      <alignment horizontal="justify" vertical="justify"/>
    </xf>
    <xf numFmtId="0" fontId="22" fillId="10" borderId="20" xfId="7" applyFont="1" applyFill="1" applyBorder="1" applyAlignment="1">
      <alignment horizontal="left" vertical="center" wrapText="1"/>
    </xf>
    <xf numFmtId="0" fontId="22" fillId="10" borderId="20" xfId="7" applyFont="1" applyFill="1" applyBorder="1" applyAlignment="1">
      <alignment horizontal="center" vertical="center"/>
    </xf>
    <xf numFmtId="165" fontId="8" fillId="10" borderId="27" xfId="8" applyFont="1" applyFill="1" applyBorder="1" applyAlignment="1">
      <alignment horizontal="right" vertical="center" wrapText="1"/>
    </xf>
    <xf numFmtId="0" fontId="8" fillId="0" borderId="20" xfId="9" applyFont="1" applyBorder="1" applyAlignment="1" applyProtection="1">
      <alignment horizontal="right" wrapText="1"/>
    </xf>
    <xf numFmtId="0" fontId="8" fillId="0" borderId="20" xfId="9" applyFont="1" applyBorder="1" applyAlignment="1" applyProtection="1">
      <alignment horizontal="justify" vertical="justify" wrapText="1"/>
    </xf>
    <xf numFmtId="0" fontId="8" fillId="0" borderId="20" xfId="7" applyFont="1" applyBorder="1" applyAlignment="1">
      <alignment horizontal="right" vertical="center"/>
    </xf>
    <xf numFmtId="0" fontId="22" fillId="0" borderId="20" xfId="7" applyFont="1" applyBorder="1" applyAlignment="1">
      <alignment vertical="center"/>
    </xf>
    <xf numFmtId="165" fontId="8" fillId="9" borderId="27" xfId="8" applyFont="1" applyFill="1" applyBorder="1" applyAlignment="1">
      <alignment vertical="center"/>
    </xf>
    <xf numFmtId="0" fontId="8" fillId="10" borderId="29" xfId="7" applyFont="1" applyFill="1" applyBorder="1" applyAlignment="1">
      <alignment vertical="center"/>
    </xf>
    <xf numFmtId="0" fontId="8" fillId="10" borderId="30" xfId="7" applyFont="1" applyFill="1" applyBorder="1" applyAlignment="1">
      <alignment horizontal="right" wrapText="1"/>
    </xf>
    <xf numFmtId="0" fontId="8" fillId="10" borderId="30" xfId="7" applyFont="1" applyFill="1" applyBorder="1" applyAlignment="1">
      <alignment horizontal="justify" vertical="justify" wrapText="1"/>
    </xf>
    <xf numFmtId="0" fontId="8" fillId="10" borderId="30" xfId="7" applyFont="1" applyFill="1" applyBorder="1" applyAlignment="1">
      <alignment horizontal="right" vertical="center"/>
    </xf>
    <xf numFmtId="0" fontId="22" fillId="10" borderId="30" xfId="7" applyFont="1" applyFill="1" applyBorder="1" applyAlignment="1">
      <alignment vertical="center"/>
    </xf>
    <xf numFmtId="0" fontId="8" fillId="10" borderId="30" xfId="7" applyFont="1" applyFill="1" applyBorder="1" applyAlignment="1">
      <alignment horizontal="center" vertical="center"/>
    </xf>
    <xf numFmtId="165" fontId="8" fillId="10" borderId="31" xfId="8" applyFont="1" applyFill="1" applyBorder="1" applyAlignment="1">
      <alignment vertical="center"/>
    </xf>
    <xf numFmtId="0" fontId="22" fillId="0" borderId="0" xfId="7" applyFont="1" applyAlignment="1">
      <alignment wrapText="1"/>
    </xf>
    <xf numFmtId="43" fontId="18" fillId="0" borderId="0" xfId="1" applyFont="1"/>
    <xf numFmtId="43" fontId="18" fillId="0" borderId="2" xfId="1" applyFont="1" applyBorder="1"/>
    <xf numFmtId="0" fontId="18" fillId="0" borderId="2" xfId="0" applyFont="1" applyBorder="1"/>
    <xf numFmtId="0" fontId="18" fillId="0" borderId="5" xfId="0" applyFont="1" applyBorder="1"/>
    <xf numFmtId="43" fontId="18" fillId="0" borderId="5" xfId="1" applyFont="1" applyBorder="1"/>
    <xf numFmtId="2" fontId="2" fillId="0" borderId="5" xfId="0" applyNumberFormat="1" applyFont="1" applyBorder="1"/>
    <xf numFmtId="43" fontId="2" fillId="0" borderId="5" xfId="1" applyFont="1" applyBorder="1"/>
    <xf numFmtId="43" fontId="2" fillId="0" borderId="6" xfId="1" applyFont="1" applyBorder="1"/>
    <xf numFmtId="0" fontId="18" fillId="0" borderId="0" xfId="0" applyFont="1"/>
    <xf numFmtId="0" fontId="26" fillId="0" borderId="13" xfId="0" applyFont="1" applyBorder="1"/>
    <xf numFmtId="0" fontId="26" fillId="0" borderId="2" xfId="0" applyFont="1" applyBorder="1" applyAlignment="1">
      <alignment horizontal="center" vertical="center"/>
    </xf>
    <xf numFmtId="0" fontId="26" fillId="0" borderId="2" xfId="0" applyFont="1" applyBorder="1" applyAlignment="1">
      <alignment horizontal="center" vertical="center" wrapText="1"/>
    </xf>
    <xf numFmtId="43" fontId="26" fillId="0" borderId="2" xfId="1" applyFont="1" applyBorder="1" applyAlignment="1">
      <alignment horizontal="center" vertical="center"/>
    </xf>
    <xf numFmtId="2" fontId="27" fillId="0" borderId="2" xfId="0" applyNumberFormat="1" applyFont="1" applyBorder="1" applyAlignment="1">
      <alignment horizontal="center" vertical="center"/>
    </xf>
    <xf numFmtId="43" fontId="26" fillId="0" borderId="14" xfId="1" applyFont="1" applyBorder="1" applyAlignment="1">
      <alignment horizontal="center" vertical="center"/>
    </xf>
    <xf numFmtId="0" fontId="26" fillId="0" borderId="2" xfId="0" applyFont="1" applyBorder="1" applyAlignment="1">
      <alignment horizontal="left" vertical="center" wrapText="1"/>
    </xf>
    <xf numFmtId="0" fontId="26" fillId="0" borderId="13" xfId="0" applyFont="1" applyBorder="1" applyAlignment="1">
      <alignment horizontal="center" vertical="center"/>
    </xf>
    <xf numFmtId="0" fontId="26" fillId="0" borderId="2" xfId="0" applyFont="1" applyBorder="1" applyAlignment="1">
      <alignment horizontal="left" vertical="center"/>
    </xf>
    <xf numFmtId="0" fontId="28" fillId="0" borderId="2" xfId="0" applyFont="1" applyBorder="1" applyAlignment="1">
      <alignment horizontal="left" vertical="center" wrapText="1"/>
    </xf>
    <xf numFmtId="0" fontId="26" fillId="0" borderId="3" xfId="0" applyFont="1" applyBorder="1" applyAlignment="1">
      <alignment horizontal="center" vertical="center"/>
    </xf>
    <xf numFmtId="0" fontId="26" fillId="0" borderId="4" xfId="0" applyFont="1" applyBorder="1" applyAlignment="1">
      <alignment horizontal="center" vertical="center"/>
    </xf>
    <xf numFmtId="0" fontId="18" fillId="0" borderId="13" xfId="0" applyFont="1" applyBorder="1"/>
    <xf numFmtId="43" fontId="26" fillId="0" borderId="2" xfId="1" applyFont="1" applyBorder="1" applyAlignment="1">
      <alignment horizontal="center" vertical="center" wrapText="1"/>
    </xf>
    <xf numFmtId="0" fontId="26" fillId="0" borderId="2" xfId="0" applyFont="1" applyBorder="1"/>
    <xf numFmtId="43" fontId="26" fillId="0" borderId="2" xfId="1" applyFont="1" applyBorder="1"/>
    <xf numFmtId="2" fontId="27" fillId="0" borderId="2" xfId="0" applyNumberFormat="1" applyFont="1" applyBorder="1"/>
    <xf numFmtId="43" fontId="25" fillId="0" borderId="14" xfId="1" applyFont="1" applyBorder="1" applyAlignment="1">
      <alignment horizontal="center" vertical="center"/>
    </xf>
    <xf numFmtId="0" fontId="25" fillId="11" borderId="22" xfId="0" applyFont="1" applyFill="1" applyBorder="1" applyAlignment="1">
      <alignment horizontal="left"/>
    </xf>
    <xf numFmtId="0" fontId="26" fillId="0" borderId="0" xfId="0" applyFont="1" applyAlignment="1">
      <alignment horizontal="center" vertical="center"/>
    </xf>
    <xf numFmtId="0" fontId="27" fillId="0" borderId="2" xfId="0" applyFont="1" applyBorder="1"/>
    <xf numFmtId="43" fontId="2" fillId="0" borderId="2" xfId="1" applyFont="1" applyBorder="1"/>
    <xf numFmtId="43" fontId="2" fillId="0" borderId="14" xfId="1" applyFont="1" applyBorder="1"/>
    <xf numFmtId="0" fontId="27" fillId="0" borderId="2" xfId="0" applyFont="1" applyBorder="1" applyAlignment="1">
      <alignment horizontal="left" vertical="center"/>
    </xf>
    <xf numFmtId="0" fontId="27" fillId="0" borderId="2" xfId="0" applyFont="1" applyBorder="1" applyAlignment="1">
      <alignment horizontal="center" vertical="center"/>
    </xf>
    <xf numFmtId="0" fontId="29" fillId="0" borderId="2" xfId="0" applyFont="1" applyBorder="1" applyAlignment="1">
      <alignment horizontal="center" vertical="center"/>
    </xf>
    <xf numFmtId="2" fontId="26" fillId="0" borderId="2" xfId="0" applyNumberFormat="1" applyFont="1" applyBorder="1" applyAlignment="1">
      <alignment horizontal="center" vertical="center"/>
    </xf>
    <xf numFmtId="2" fontId="26" fillId="0" borderId="2" xfId="0" applyNumberFormat="1" applyFont="1" applyBorder="1" applyAlignment="1">
      <alignment horizontal="left" vertical="center"/>
    </xf>
    <xf numFmtId="2" fontId="2" fillId="0" borderId="2" xfId="0" applyNumberFormat="1" applyFont="1" applyBorder="1"/>
    <xf numFmtId="43" fontId="25" fillId="11" borderId="22" xfId="1" applyFont="1" applyFill="1" applyBorder="1" applyAlignment="1">
      <alignment horizontal="left"/>
    </xf>
    <xf numFmtId="43" fontId="25" fillId="11" borderId="36" xfId="1" applyFont="1" applyFill="1" applyBorder="1" applyAlignment="1">
      <alignment horizontal="left"/>
    </xf>
    <xf numFmtId="0" fontId="2" fillId="0" borderId="2" xfId="0" applyFont="1" applyBorder="1"/>
    <xf numFmtId="0" fontId="26" fillId="0" borderId="2" xfId="0" applyFont="1" applyBorder="1" applyAlignment="1">
      <alignment horizontal="left" vertical="top" wrapText="1"/>
    </xf>
    <xf numFmtId="0" fontId="26" fillId="0" borderId="17" xfId="0" applyFont="1" applyBorder="1" applyAlignment="1">
      <alignment horizontal="center" vertical="center"/>
    </xf>
    <xf numFmtId="0" fontId="26" fillId="0" borderId="18" xfId="0" applyFont="1" applyBorder="1" applyAlignment="1">
      <alignment horizontal="left" vertical="center" wrapText="1"/>
    </xf>
    <xf numFmtId="43" fontId="26" fillId="0" borderId="18" xfId="1" applyFont="1" applyBorder="1" applyAlignment="1">
      <alignment horizontal="center" vertical="center"/>
    </xf>
    <xf numFmtId="2" fontId="26" fillId="0" borderId="18" xfId="0" applyNumberFormat="1" applyFont="1" applyBorder="1" applyAlignment="1">
      <alignment horizontal="left" vertical="center"/>
    </xf>
    <xf numFmtId="0" fontId="26" fillId="0" borderId="18" xfId="0" applyFont="1" applyBorder="1" applyAlignment="1">
      <alignment horizontal="left" vertical="center"/>
    </xf>
    <xf numFmtId="43" fontId="25" fillId="12" borderId="18" xfId="1" applyFont="1" applyFill="1" applyBorder="1" applyAlignment="1">
      <alignment horizontal="center" vertical="center"/>
    </xf>
    <xf numFmtId="43" fontId="25" fillId="12" borderId="19" xfId="1" applyFont="1" applyFill="1" applyBorder="1" applyAlignment="1">
      <alignment horizontal="center" vertical="center"/>
    </xf>
    <xf numFmtId="0" fontId="26" fillId="0" borderId="37" xfId="0" applyFont="1" applyBorder="1" applyAlignment="1">
      <alignment horizontal="center" vertical="center"/>
    </xf>
    <xf numFmtId="0" fontId="26" fillId="0" borderId="37" xfId="0" applyFont="1" applyBorder="1" applyAlignment="1">
      <alignment horizontal="left" vertical="center" wrapText="1"/>
    </xf>
    <xf numFmtId="43" fontId="26" fillId="0" borderId="37" xfId="1" applyFont="1" applyBorder="1" applyAlignment="1">
      <alignment horizontal="center" vertical="center"/>
    </xf>
    <xf numFmtId="2" fontId="26" fillId="0" borderId="37" xfId="0" applyNumberFormat="1" applyFont="1" applyBorder="1" applyAlignment="1">
      <alignment horizontal="left" vertical="center"/>
    </xf>
    <xf numFmtId="0" fontId="26" fillId="0" borderId="37" xfId="0" applyFont="1" applyBorder="1" applyAlignment="1">
      <alignment horizontal="left" vertical="center"/>
    </xf>
    <xf numFmtId="43" fontId="25" fillId="0" borderId="28" xfId="1" applyFont="1" applyBorder="1" applyAlignment="1">
      <alignment horizontal="center" vertical="center"/>
    </xf>
    <xf numFmtId="0" fontId="30" fillId="0" borderId="0" xfId="0" applyFont="1" applyAlignment="1">
      <alignment vertical="center"/>
    </xf>
    <xf numFmtId="0" fontId="30" fillId="0" borderId="0" xfId="0" applyFont="1" applyAlignment="1">
      <alignment horizontal="center" vertical="center"/>
    </xf>
    <xf numFmtId="0" fontId="31" fillId="0" borderId="38" xfId="10" applyFont="1" applyBorder="1" applyAlignment="1">
      <alignment vertical="center" wrapText="1"/>
    </xf>
    <xf numFmtId="0" fontId="31" fillId="0" borderId="39" xfId="10" applyFont="1" applyBorder="1" applyAlignment="1">
      <alignment vertical="center" wrapText="1"/>
    </xf>
    <xf numFmtId="0" fontId="31" fillId="0" borderId="39" xfId="10" applyFont="1" applyBorder="1" applyAlignment="1">
      <alignment horizontal="center" vertical="center" wrapText="1"/>
    </xf>
    <xf numFmtId="0" fontId="31" fillId="0" borderId="40" xfId="10" applyFont="1" applyBorder="1" applyAlignment="1">
      <alignment vertical="center" wrapText="1"/>
    </xf>
    <xf numFmtId="0" fontId="30" fillId="0" borderId="20" xfId="0" applyFont="1" applyBorder="1" applyAlignment="1">
      <alignment horizontal="center" vertical="center" wrapText="1"/>
    </xf>
    <xf numFmtId="37" fontId="30" fillId="0" borderId="20" xfId="0" applyNumberFormat="1" applyFont="1" applyBorder="1" applyAlignment="1">
      <alignment horizontal="right" vertical="center" wrapText="1"/>
    </xf>
    <xf numFmtId="0" fontId="30" fillId="0" borderId="0" xfId="0" applyFont="1" applyAlignment="1">
      <alignment vertical="center" wrapText="1"/>
    </xf>
    <xf numFmtId="0" fontId="31" fillId="13" borderId="2" xfId="0" applyFont="1" applyFill="1" applyBorder="1" applyAlignment="1">
      <alignment horizontal="center" vertical="center" wrapText="1"/>
    </xf>
    <xf numFmtId="0" fontId="31" fillId="13" borderId="2" xfId="0" applyFont="1" applyFill="1" applyBorder="1" applyAlignment="1">
      <alignment horizontal="left" vertical="center"/>
    </xf>
    <xf numFmtId="0" fontId="30" fillId="6" borderId="0" xfId="0" applyFont="1" applyFill="1" applyAlignment="1">
      <alignment vertical="center"/>
    </xf>
    <xf numFmtId="0" fontId="30" fillId="0" borderId="2" xfId="0" applyFont="1" applyBorder="1" applyAlignment="1">
      <alignment vertical="center"/>
    </xf>
    <xf numFmtId="0" fontId="31" fillId="13" borderId="2" xfId="0" applyFont="1" applyFill="1" applyBorder="1" applyAlignment="1">
      <alignment horizontal="center" vertical="center"/>
    </xf>
    <xf numFmtId="0" fontId="31" fillId="13" borderId="22" xfId="0" applyFont="1" applyFill="1" applyBorder="1" applyAlignment="1">
      <alignment horizontal="center" vertical="center"/>
    </xf>
    <xf numFmtId="37" fontId="31" fillId="13" borderId="2" xfId="0" applyNumberFormat="1" applyFont="1" applyFill="1" applyBorder="1" applyAlignment="1">
      <alignment horizontal="center" vertical="center"/>
    </xf>
    <xf numFmtId="37" fontId="31" fillId="13" borderId="3" xfId="0" applyNumberFormat="1" applyFont="1" applyFill="1" applyBorder="1" applyAlignment="1">
      <alignment horizontal="right" vertical="center"/>
    </xf>
    <xf numFmtId="37" fontId="31" fillId="13" borderId="2" xfId="0" applyNumberFormat="1" applyFont="1" applyFill="1" applyBorder="1" applyAlignment="1">
      <alignment horizontal="right" vertical="center"/>
    </xf>
    <xf numFmtId="0" fontId="30" fillId="0" borderId="37" xfId="0" applyFont="1" applyBorder="1" applyAlignment="1">
      <alignment vertical="center"/>
    </xf>
    <xf numFmtId="37" fontId="30" fillId="0" borderId="37" xfId="0" applyNumberFormat="1" applyFont="1" applyBorder="1" applyAlignment="1">
      <alignment vertical="center"/>
    </xf>
    <xf numFmtId="37" fontId="30" fillId="0" borderId="28" xfId="0" applyNumberFormat="1" applyFont="1" applyBorder="1" applyAlignment="1">
      <alignment vertical="center"/>
    </xf>
    <xf numFmtId="0" fontId="30" fillId="0" borderId="42" xfId="0" applyFont="1" applyBorder="1" applyAlignment="1">
      <alignment horizontal="center" vertical="center"/>
    </xf>
    <xf numFmtId="0" fontId="30" fillId="0" borderId="20" xfId="0" applyFont="1" applyBorder="1" applyAlignment="1">
      <alignment horizontal="center" vertical="center"/>
    </xf>
    <xf numFmtId="37" fontId="30" fillId="0" borderId="20" xfId="0" applyNumberFormat="1" applyFont="1" applyBorder="1" applyAlignment="1">
      <alignment horizontal="right" vertical="center"/>
    </xf>
    <xf numFmtId="0" fontId="30" fillId="0" borderId="43" xfId="0" applyFont="1" applyBorder="1" applyAlignment="1">
      <alignment horizontal="center" vertical="center"/>
    </xf>
    <xf numFmtId="37" fontId="30" fillId="0" borderId="43" xfId="0" applyNumberFormat="1" applyFont="1" applyBorder="1" applyAlignment="1">
      <alignment horizontal="right" vertical="center"/>
    </xf>
    <xf numFmtId="0" fontId="30" fillId="0" borderId="44" xfId="0" applyFont="1" applyBorder="1" applyAlignment="1">
      <alignment horizontal="center" vertical="center"/>
    </xf>
    <xf numFmtId="0" fontId="30" fillId="0" borderId="45" xfId="0" applyFont="1" applyBorder="1" applyAlignment="1">
      <alignment horizontal="center" vertical="center"/>
    </xf>
    <xf numFmtId="0" fontId="30" fillId="0" borderId="46" xfId="0" applyFont="1" applyBorder="1" applyAlignment="1">
      <alignment horizontal="center" vertical="center"/>
    </xf>
    <xf numFmtId="0" fontId="30" fillId="0" borderId="47" xfId="0" applyFont="1" applyBorder="1" applyAlignment="1">
      <alignment horizontal="center" vertical="center"/>
    </xf>
    <xf numFmtId="0" fontId="35" fillId="0" borderId="21" xfId="0" applyFont="1" applyBorder="1" applyAlignment="1">
      <alignment horizontal="center" vertical="center"/>
    </xf>
    <xf numFmtId="0" fontId="35" fillId="0" borderId="47" xfId="0" applyFont="1" applyBorder="1" applyAlignment="1">
      <alignment horizontal="center" vertical="center"/>
    </xf>
    <xf numFmtId="0" fontId="30" fillId="0" borderId="48" xfId="0" applyFont="1" applyBorder="1" applyAlignment="1">
      <alignment horizontal="center" vertical="center"/>
    </xf>
    <xf numFmtId="0" fontId="30" fillId="0" borderId="49" xfId="0" applyFont="1" applyBorder="1" applyAlignment="1">
      <alignment horizontal="center" vertical="center"/>
    </xf>
    <xf numFmtId="0" fontId="35" fillId="0" borderId="20" xfId="0" applyFont="1" applyBorder="1" applyAlignment="1">
      <alignment horizontal="center" vertical="center"/>
    </xf>
    <xf numFmtId="0" fontId="35" fillId="0" borderId="46" xfId="0" applyFont="1" applyBorder="1" applyAlignment="1">
      <alignment horizontal="center" vertical="center"/>
    </xf>
    <xf numFmtId="0" fontId="34" fillId="0" borderId="0" xfId="0" applyFont="1" applyAlignment="1">
      <alignment vertical="center"/>
    </xf>
    <xf numFmtId="0" fontId="30" fillId="0" borderId="21" xfId="0" applyFont="1" applyBorder="1" applyAlignment="1">
      <alignment horizontal="center" vertical="center"/>
    </xf>
    <xf numFmtId="37" fontId="30" fillId="0" borderId="21" xfId="0" applyNumberFormat="1" applyFont="1" applyBorder="1" applyAlignment="1">
      <alignment horizontal="right" vertical="center"/>
    </xf>
    <xf numFmtId="37" fontId="30" fillId="0" borderId="50" xfId="0" applyNumberFormat="1" applyFont="1" applyBorder="1" applyAlignment="1">
      <alignment horizontal="right" vertical="center"/>
    </xf>
    <xf numFmtId="0" fontId="35" fillId="0" borderId="20" xfId="0" applyFont="1" applyBorder="1" applyAlignment="1">
      <alignment horizontal="right" vertical="center"/>
    </xf>
    <xf numFmtId="37" fontId="30" fillId="0" borderId="49" xfId="0" applyNumberFormat="1" applyFont="1" applyBorder="1" applyAlignment="1">
      <alignment horizontal="right" vertical="center"/>
    </xf>
    <xf numFmtId="37" fontId="30" fillId="0" borderId="51" xfId="0" applyNumberFormat="1" applyFont="1" applyBorder="1" applyAlignment="1">
      <alignment horizontal="right" vertical="center"/>
    </xf>
    <xf numFmtId="37" fontId="30" fillId="0" borderId="44" xfId="0" applyNumberFormat="1" applyFont="1" applyBorder="1" applyAlignment="1">
      <alignment horizontal="right" vertical="center"/>
    </xf>
    <xf numFmtId="0" fontId="30" fillId="0" borderId="20" xfId="0" applyFont="1" applyBorder="1" applyAlignment="1">
      <alignment horizontal="justify" vertical="center" wrapText="1"/>
    </xf>
    <xf numFmtId="0" fontId="30" fillId="0" borderId="46" xfId="0" applyFont="1" applyBorder="1" applyAlignment="1">
      <alignment horizontal="center" vertical="center" wrapText="1"/>
    </xf>
    <xf numFmtId="0" fontId="30" fillId="0" borderId="21" xfId="0" applyFont="1" applyBorder="1" applyAlignment="1">
      <alignment horizontal="justify" vertical="center" wrapText="1"/>
    </xf>
    <xf numFmtId="0" fontId="30" fillId="0" borderId="47" xfId="0" applyFont="1" applyBorder="1" applyAlignment="1">
      <alignment horizontal="center" vertical="center" wrapText="1"/>
    </xf>
    <xf numFmtId="0" fontId="35" fillId="0" borderId="20" xfId="0" applyFont="1" applyBorder="1" applyAlignment="1">
      <alignment horizontal="justify" vertical="center" wrapText="1"/>
    </xf>
    <xf numFmtId="0" fontId="35" fillId="0" borderId="20" xfId="0" applyFont="1" applyBorder="1" applyAlignment="1">
      <alignment horizontal="center" vertical="center" wrapText="1"/>
    </xf>
    <xf numFmtId="168" fontId="30" fillId="0" borderId="46" xfId="14" applyFont="1" applyBorder="1" applyAlignment="1">
      <alignment horizontal="center" vertical="center"/>
      <protection locked="0"/>
    </xf>
    <xf numFmtId="168" fontId="30" fillId="0" borderId="47" xfId="14" applyFont="1" applyBorder="1" applyAlignment="1">
      <alignment horizontal="center" vertical="center"/>
      <protection locked="0"/>
    </xf>
    <xf numFmtId="0" fontId="30" fillId="14" borderId="0" xfId="0" applyFont="1" applyFill="1" applyAlignment="1">
      <alignment horizontal="center" vertical="center"/>
    </xf>
    <xf numFmtId="0" fontId="17" fillId="0" borderId="52" xfId="10" applyFont="1" applyBorder="1" applyAlignment="1">
      <alignment vertical="center" wrapText="1"/>
    </xf>
    <xf numFmtId="37" fontId="17" fillId="0" borderId="53" xfId="15" quotePrefix="1" applyFont="1" applyBorder="1" applyAlignment="1">
      <alignment horizontal="left" vertical="center" wrapText="1"/>
    </xf>
    <xf numFmtId="0" fontId="1" fillId="0" borderId="54" xfId="0" applyFont="1" applyBorder="1"/>
    <xf numFmtId="0" fontId="1" fillId="0" borderId="0" xfId="0" applyFont="1"/>
    <xf numFmtId="0" fontId="17" fillId="0" borderId="55" xfId="10" applyFont="1" applyBorder="1" applyAlignment="1">
      <alignment vertical="center" wrapText="1"/>
    </xf>
    <xf numFmtId="37" fontId="17" fillId="0" borderId="56" xfId="15" quotePrefix="1" applyFont="1" applyBorder="1" applyAlignment="1">
      <alignment horizontal="left" vertical="center" wrapText="1"/>
    </xf>
    <xf numFmtId="0" fontId="1" fillId="9" borderId="44" xfId="0" applyFont="1" applyFill="1" applyBorder="1" applyAlignment="1">
      <alignment horizontal="center" vertical="center"/>
    </xf>
    <xf numFmtId="0" fontId="1" fillId="9" borderId="44" xfId="0" applyFont="1" applyFill="1" applyBorder="1" applyAlignment="1">
      <alignment horizontal="left" vertical="center"/>
    </xf>
    <xf numFmtId="0" fontId="1" fillId="9" borderId="44" xfId="0" applyFont="1" applyFill="1" applyBorder="1" applyAlignment="1">
      <alignment horizontal="right" vertical="center"/>
    </xf>
    <xf numFmtId="0" fontId="1" fillId="0" borderId="44" xfId="0" applyFont="1" applyBorder="1"/>
    <xf numFmtId="0" fontId="18" fillId="0" borderId="20" xfId="17" applyFont="1" applyBorder="1" applyAlignment="1">
      <alignment horizontal="center" vertical="center"/>
    </xf>
    <xf numFmtId="2" fontId="18" fillId="0" borderId="20" xfId="16" applyNumberFormat="1" applyFont="1" applyBorder="1" applyAlignment="1">
      <alignment vertical="center" wrapText="1"/>
    </xf>
    <xf numFmtId="167" fontId="18" fillId="0" borderId="20" xfId="13" applyFont="1" applyFill="1" applyBorder="1" applyAlignment="1">
      <alignment vertical="center" wrapText="1"/>
    </xf>
    <xf numFmtId="167" fontId="18" fillId="0" borderId="20" xfId="13" applyFont="1" applyFill="1" applyBorder="1" applyAlignment="1">
      <alignment horizontal="right" vertical="center" wrapText="1"/>
    </xf>
    <xf numFmtId="0" fontId="18" fillId="0" borderId="20" xfId="17" applyFont="1" applyBorder="1" applyAlignment="1">
      <alignment horizontal="center"/>
    </xf>
    <xf numFmtId="0" fontId="1" fillId="0" borderId="20" xfId="0" applyFont="1" applyBorder="1" applyAlignment="1">
      <alignment horizontal="center"/>
    </xf>
    <xf numFmtId="0" fontId="18" fillId="0" borderId="37" xfId="17" applyFont="1" applyBorder="1" applyAlignment="1">
      <alignment horizontal="center" vertical="center"/>
    </xf>
    <xf numFmtId="2" fontId="18" fillId="0" borderId="37" xfId="16" applyNumberFormat="1" applyFont="1" applyBorder="1" applyAlignment="1">
      <alignment vertical="center" wrapText="1"/>
    </xf>
    <xf numFmtId="167" fontId="18" fillId="0" borderId="37" xfId="13" applyFont="1" applyFill="1" applyBorder="1" applyAlignment="1">
      <alignment vertical="center" wrapText="1"/>
    </xf>
    <xf numFmtId="167" fontId="18" fillId="0" borderId="0" xfId="13" applyFont="1" applyFill="1" applyBorder="1" applyAlignment="1">
      <alignment horizontal="right" vertical="center" wrapText="1"/>
    </xf>
    <xf numFmtId="0" fontId="3" fillId="13" borderId="2" xfId="0" applyFont="1" applyFill="1" applyBorder="1" applyAlignment="1">
      <alignment horizontal="center" vertical="center"/>
    </xf>
    <xf numFmtId="0" fontId="3" fillId="13" borderId="2" xfId="0" applyFont="1" applyFill="1" applyBorder="1" applyAlignment="1">
      <alignment horizontal="left" vertical="center"/>
    </xf>
    <xf numFmtId="167" fontId="17" fillId="13" borderId="2" xfId="13" applyFont="1" applyFill="1" applyBorder="1" applyAlignment="1">
      <alignment vertical="center" wrapText="1"/>
    </xf>
    <xf numFmtId="0" fontId="1" fillId="0" borderId="0" xfId="0" applyFont="1" applyAlignment="1">
      <alignment horizontal="center" vertical="center"/>
    </xf>
    <xf numFmtId="4" fontId="7" fillId="9" borderId="13" xfId="4" quotePrefix="1" applyNumberFormat="1" applyFont="1" applyFill="1" applyBorder="1" applyAlignment="1" applyProtection="1">
      <alignment horizontal="center" vertical="center"/>
    </xf>
    <xf numFmtId="3" fontId="7" fillId="9" borderId="14" xfId="4" applyNumberFormat="1" applyFont="1" applyFill="1" applyBorder="1" applyAlignment="1" applyProtection="1">
      <alignment horizontal="center" vertical="center"/>
    </xf>
    <xf numFmtId="0" fontId="0" fillId="0" borderId="13" xfId="0" applyBorder="1" applyAlignment="1">
      <alignment horizontal="center" vertical="top"/>
    </xf>
    <xf numFmtId="3" fontId="7" fillId="9" borderId="14" xfId="4" applyNumberFormat="1" applyFont="1" applyFill="1" applyBorder="1" applyAlignment="1" applyProtection="1">
      <alignment horizontal="center" vertical="top"/>
    </xf>
    <xf numFmtId="0" fontId="0" fillId="0" borderId="15" xfId="0" applyBorder="1" applyAlignment="1">
      <alignment horizontal="center" vertical="top"/>
    </xf>
    <xf numFmtId="3" fontId="7" fillId="9" borderId="16" xfId="4" applyNumberFormat="1" applyFont="1" applyFill="1" applyBorder="1" applyAlignment="1" applyProtection="1">
      <alignment horizontal="center" vertical="top"/>
    </xf>
    <xf numFmtId="9" fontId="0" fillId="0" borderId="0" xfId="2" applyFont="1" applyAlignment="1">
      <alignment vertical="center"/>
    </xf>
    <xf numFmtId="9" fontId="2" fillId="0" borderId="0" xfId="2" applyFont="1"/>
    <xf numFmtId="43" fontId="2" fillId="0" borderId="0" xfId="1" applyFont="1"/>
    <xf numFmtId="0" fontId="30" fillId="0" borderId="20" xfId="0" applyFont="1" applyBorder="1" applyAlignment="1">
      <alignment horizontal="left" vertical="center" wrapText="1"/>
    </xf>
    <xf numFmtId="0" fontId="30" fillId="0" borderId="42" xfId="0" applyFont="1" applyBorder="1" applyAlignment="1">
      <alignment horizontal="justify" vertical="center" wrapText="1"/>
    </xf>
    <xf numFmtId="0" fontId="30" fillId="0" borderId="20" xfId="0" applyFont="1" applyBorder="1" applyAlignment="1">
      <alignment horizontal="left" vertical="center"/>
    </xf>
    <xf numFmtId="0" fontId="37" fillId="0" borderId="20" xfId="0" applyFont="1" applyBorder="1" applyAlignment="1">
      <alignment horizontal="justify" vertical="center" wrapText="1"/>
    </xf>
    <xf numFmtId="0" fontId="32" fillId="0" borderId="20" xfId="0" applyFont="1" applyBorder="1" applyAlignment="1">
      <alignment horizontal="justify" vertical="center" wrapText="1"/>
    </xf>
    <xf numFmtId="0" fontId="38" fillId="0" borderId="20" xfId="0" applyFont="1" applyBorder="1" applyAlignment="1">
      <alignment horizontal="justify" vertical="center" wrapText="1"/>
    </xf>
    <xf numFmtId="0" fontId="30" fillId="0" borderId="43" xfId="0" applyFont="1" applyBorder="1" applyAlignment="1">
      <alignment horizontal="left" vertical="center"/>
    </xf>
    <xf numFmtId="0" fontId="30" fillId="0" borderId="44" xfId="0" applyFont="1" applyBorder="1" applyAlignment="1">
      <alignment horizontal="justify" vertical="center" wrapText="1"/>
    </xf>
    <xf numFmtId="0" fontId="39" fillId="0" borderId="20" xfId="0" applyFont="1" applyBorder="1" applyAlignment="1">
      <alignment horizontal="justify" vertical="center" wrapText="1"/>
    </xf>
    <xf numFmtId="0" fontId="30" fillId="0" borderId="2" xfId="0" applyFont="1" applyBorder="1" applyAlignment="1">
      <alignment horizontal="right" vertical="center"/>
    </xf>
    <xf numFmtId="0" fontId="37" fillId="0" borderId="20" xfId="0" applyFont="1" applyBorder="1" applyAlignment="1">
      <alignment horizontal="left" vertical="center"/>
    </xf>
    <xf numFmtId="0" fontId="35" fillId="0" borderId="21" xfId="0" applyFont="1" applyBorder="1" applyAlignment="1">
      <alignment horizontal="justify" vertical="center" wrapText="1"/>
    </xf>
    <xf numFmtId="0" fontId="35" fillId="0" borderId="20" xfId="0" applyFont="1" applyBorder="1" applyAlignment="1">
      <alignment horizontal="left" vertical="center" wrapText="1"/>
    </xf>
    <xf numFmtId="0" fontId="30" fillId="0" borderId="21" xfId="0" applyFont="1" applyBorder="1" applyAlignment="1">
      <alignment horizontal="left" vertical="center"/>
    </xf>
    <xf numFmtId="0" fontId="34" fillId="0" borderId="21" xfId="0" quotePrefix="1" applyFont="1" applyBorder="1" applyAlignment="1">
      <alignment horizontal="justify" vertical="center" wrapText="1"/>
    </xf>
    <xf numFmtId="0" fontId="32" fillId="0" borderId="21" xfId="0" applyFont="1" applyBorder="1" applyAlignment="1">
      <alignment horizontal="justify" vertical="center" wrapText="1"/>
    </xf>
    <xf numFmtId="2" fontId="0" fillId="15" borderId="2" xfId="0" applyNumberFormat="1" applyFill="1" applyBorder="1" applyAlignment="1">
      <alignment horizontal="center" vertical="center"/>
    </xf>
    <xf numFmtId="1" fontId="0" fillId="15" borderId="5" xfId="0" applyNumberFormat="1" applyFill="1" applyBorder="1" applyAlignment="1">
      <alignment horizontal="center"/>
    </xf>
    <xf numFmtId="2" fontId="0" fillId="15" borderId="5" xfId="0" applyNumberFormat="1" applyFill="1" applyBorder="1" applyAlignment="1">
      <alignment horizontal="center"/>
    </xf>
    <xf numFmtId="0" fontId="25" fillId="11" borderId="35" xfId="0" applyFont="1" applyFill="1" applyBorder="1" applyAlignment="1">
      <alignment wrapText="1"/>
    </xf>
    <xf numFmtId="0" fontId="25" fillId="11" borderId="22" xfId="0" applyFont="1" applyFill="1" applyBorder="1" applyAlignment="1">
      <alignment wrapText="1"/>
    </xf>
    <xf numFmtId="0" fontId="25" fillId="11" borderId="36" xfId="0" applyFont="1" applyFill="1" applyBorder="1" applyAlignment="1">
      <alignment wrapText="1"/>
    </xf>
    <xf numFmtId="0" fontId="25" fillId="11" borderId="35" xfId="0" applyFont="1" applyFill="1" applyBorder="1" applyAlignment="1">
      <alignment horizontal="center"/>
    </xf>
    <xf numFmtId="0" fontId="25" fillId="11" borderId="35" xfId="0" applyFont="1" applyFill="1" applyBorder="1"/>
    <xf numFmtId="0" fontId="25" fillId="11" borderId="22" xfId="0" applyFont="1" applyFill="1" applyBorder="1"/>
    <xf numFmtId="0" fontId="25" fillId="11" borderId="36" xfId="0" applyFont="1" applyFill="1" applyBorder="1"/>
    <xf numFmtId="43" fontId="25" fillId="11" borderId="36" xfId="1" applyFont="1" applyFill="1" applyBorder="1" applyAlignment="1"/>
    <xf numFmtId="37" fontId="34" fillId="0" borderId="20" xfId="0" applyNumberFormat="1" applyFont="1" applyBorder="1" applyAlignment="1">
      <alignment horizontal="right" vertical="center" wrapText="1"/>
    </xf>
    <xf numFmtId="37" fontId="30" fillId="0" borderId="21" xfId="0" applyNumberFormat="1" applyFont="1" applyBorder="1" applyAlignment="1">
      <alignment horizontal="right" vertical="center" wrapText="1"/>
    </xf>
    <xf numFmtId="37" fontId="30" fillId="0" borderId="2" xfId="0" applyNumberFormat="1" applyFont="1" applyBorder="1" applyAlignment="1">
      <alignment horizontal="right" vertical="center" wrapText="1"/>
    </xf>
    <xf numFmtId="0" fontId="0" fillId="9" borderId="58" xfId="0" applyFill="1" applyBorder="1" applyAlignment="1">
      <alignment horizontal="center" vertical="center"/>
    </xf>
    <xf numFmtId="0" fontId="0" fillId="9" borderId="59" xfId="0" applyFill="1" applyBorder="1" applyAlignment="1">
      <alignment vertical="center"/>
    </xf>
    <xf numFmtId="0" fontId="0" fillId="9" borderId="60" xfId="0" applyFill="1" applyBorder="1" applyAlignment="1">
      <alignment vertical="center"/>
    </xf>
    <xf numFmtId="0" fontId="0" fillId="9" borderId="1" xfId="0" applyFill="1" applyBorder="1" applyAlignment="1">
      <alignment horizontal="center" vertical="center"/>
    </xf>
    <xf numFmtId="0" fontId="0" fillId="9" borderId="0" xfId="0" applyFill="1" applyAlignment="1">
      <alignment vertical="center"/>
    </xf>
    <xf numFmtId="0" fontId="0" fillId="9" borderId="61" xfId="0" applyFill="1" applyBorder="1" applyAlignment="1">
      <alignment vertical="center"/>
    </xf>
    <xf numFmtId="0" fontId="0" fillId="9" borderId="1" xfId="0" applyFill="1" applyBorder="1" applyAlignment="1">
      <alignment vertical="center"/>
    </xf>
    <xf numFmtId="0" fontId="0" fillId="9" borderId="0" xfId="0" applyFill="1" applyAlignment="1">
      <alignment horizontal="center" vertical="center"/>
    </xf>
    <xf numFmtId="0" fontId="0" fillId="9" borderId="61" xfId="0" applyFill="1" applyBorder="1" applyAlignment="1">
      <alignment horizontal="center" vertical="center"/>
    </xf>
    <xf numFmtId="0" fontId="3" fillId="9" borderId="1" xfId="0" applyFont="1" applyFill="1" applyBorder="1" applyAlignment="1">
      <alignment vertical="center"/>
    </xf>
    <xf numFmtId="0" fontId="3" fillId="9" borderId="0" xfId="0" applyFont="1" applyFill="1" applyAlignment="1">
      <alignment horizontal="center" vertical="center"/>
    </xf>
    <xf numFmtId="0" fontId="3" fillId="9" borderId="61" xfId="0" applyFont="1" applyFill="1" applyBorder="1" applyAlignment="1">
      <alignment horizontal="center" vertical="center"/>
    </xf>
    <xf numFmtId="0" fontId="3" fillId="9" borderId="0" xfId="0" applyFont="1" applyFill="1" applyAlignment="1">
      <alignment vertical="center" wrapText="1"/>
    </xf>
    <xf numFmtId="0" fontId="41" fillId="9" borderId="1" xfId="0" applyFont="1" applyFill="1" applyBorder="1" applyAlignment="1">
      <alignment vertical="center"/>
    </xf>
    <xf numFmtId="0" fontId="41" fillId="9" borderId="0" xfId="0" applyFont="1" applyFill="1" applyAlignment="1">
      <alignment vertical="center"/>
    </xf>
    <xf numFmtId="0" fontId="42" fillId="9" borderId="62" xfId="0" applyFont="1" applyFill="1" applyBorder="1" applyAlignment="1">
      <alignment horizontal="left" vertical="center"/>
    </xf>
    <xf numFmtId="0" fontId="30" fillId="9" borderId="0" xfId="0" applyFont="1" applyFill="1" applyAlignment="1">
      <alignment vertical="center"/>
    </xf>
    <xf numFmtId="0" fontId="42" fillId="9" borderId="61" xfId="0" applyFont="1" applyFill="1" applyBorder="1" applyAlignment="1">
      <alignment horizontal="right" vertical="center"/>
    </xf>
    <xf numFmtId="0" fontId="44" fillId="0" borderId="2" xfId="0" applyFont="1" applyBorder="1" applyAlignment="1">
      <alignment horizontal="justify" vertical="top" wrapText="1"/>
    </xf>
    <xf numFmtId="0" fontId="0" fillId="0" borderId="2" xfId="1" applyNumberFormat="1" applyFont="1" applyBorder="1" applyAlignment="1">
      <alignment vertical="center"/>
    </xf>
    <xf numFmtId="165" fontId="8" fillId="3" borderId="63" xfId="3" applyFont="1" applyFill="1" applyBorder="1" applyAlignment="1">
      <alignment horizontal="center" vertical="center"/>
    </xf>
    <xf numFmtId="165" fontId="8" fillId="3" borderId="57" xfId="3" applyFont="1" applyFill="1" applyBorder="1" applyAlignment="1">
      <alignment horizontal="center" vertical="center"/>
    </xf>
    <xf numFmtId="165" fontId="8" fillId="3" borderId="64" xfId="3" applyFont="1" applyFill="1" applyBorder="1" applyAlignment="1">
      <alignment horizontal="center" vertical="center"/>
    </xf>
    <xf numFmtId="0" fontId="26" fillId="0" borderId="3" xfId="0" applyFont="1" applyBorder="1" applyAlignment="1">
      <alignment horizontal="center" vertical="center"/>
    </xf>
    <xf numFmtId="0" fontId="26" fillId="0" borderId="4" xfId="0" applyFont="1" applyBorder="1" applyAlignment="1">
      <alignment horizontal="center" vertical="center"/>
    </xf>
    <xf numFmtId="9" fontId="4" fillId="2" borderId="1" xfId="2" applyFont="1" applyFill="1" applyBorder="1" applyAlignment="1">
      <alignment horizontal="center" vertical="top"/>
    </xf>
    <xf numFmtId="9" fontId="4" fillId="2" borderId="0" xfId="2" applyFont="1" applyFill="1" applyBorder="1" applyAlignment="1">
      <alignment horizontal="center" vertical="top"/>
    </xf>
    <xf numFmtId="9" fontId="4" fillId="2" borderId="65" xfId="2" applyFont="1" applyFill="1" applyBorder="1" applyAlignment="1">
      <alignment horizontal="center" vertical="top"/>
    </xf>
    <xf numFmtId="0" fontId="25" fillId="11" borderId="32" xfId="0" applyFont="1" applyFill="1" applyBorder="1" applyAlignment="1">
      <alignment horizontal="left"/>
    </xf>
    <xf numFmtId="0" fontId="25" fillId="11" borderId="33" xfId="0" applyFont="1" applyFill="1" applyBorder="1" applyAlignment="1">
      <alignment horizontal="left"/>
    </xf>
    <xf numFmtId="0" fontId="25" fillId="11" borderId="34" xfId="0" applyFont="1" applyFill="1" applyBorder="1" applyAlignment="1">
      <alignment horizontal="left"/>
    </xf>
    <xf numFmtId="0" fontId="25" fillId="11" borderId="35" xfId="0" applyFont="1" applyFill="1" applyBorder="1" applyAlignment="1">
      <alignment horizontal="left"/>
    </xf>
    <xf numFmtId="0" fontId="25" fillId="11" borderId="22" xfId="0" applyFont="1" applyFill="1" applyBorder="1" applyAlignment="1">
      <alignment horizontal="left"/>
    </xf>
    <xf numFmtId="0" fontId="25" fillId="11" borderId="4" xfId="0" applyFont="1" applyFill="1" applyBorder="1" applyAlignment="1">
      <alignment horizontal="left"/>
    </xf>
    <xf numFmtId="0" fontId="1" fillId="0" borderId="28" xfId="0" applyFont="1" applyBorder="1" applyAlignment="1">
      <alignment horizontal="center"/>
    </xf>
    <xf numFmtId="0" fontId="17" fillId="13" borderId="2" xfId="0" applyFont="1" applyFill="1" applyBorder="1" applyAlignment="1">
      <alignment horizontal="center" vertical="center" wrapText="1"/>
    </xf>
    <xf numFmtId="2" fontId="17" fillId="13" borderId="2" xfId="16" applyNumberFormat="1" applyFont="1" applyFill="1" applyBorder="1" applyAlignment="1">
      <alignment horizontal="center" vertical="center" wrapText="1"/>
    </xf>
    <xf numFmtId="167" fontId="17" fillId="13" borderId="5" xfId="12" applyFont="1" applyFill="1" applyBorder="1" applyAlignment="1">
      <alignment horizontal="center" vertical="center" wrapText="1"/>
    </xf>
    <xf numFmtId="167" fontId="17" fillId="13" borderId="41" xfId="12" applyFont="1" applyFill="1" applyBorder="1" applyAlignment="1">
      <alignment horizontal="center" vertical="center" wrapText="1"/>
    </xf>
    <xf numFmtId="0" fontId="30" fillId="5" borderId="28" xfId="0" applyFont="1" applyFill="1" applyBorder="1" applyAlignment="1">
      <alignment horizontal="center" vertical="center"/>
    </xf>
    <xf numFmtId="0" fontId="31" fillId="13" borderId="2" xfId="0" applyFont="1" applyFill="1" applyBorder="1" applyAlignment="1">
      <alignment horizontal="left" vertical="center"/>
    </xf>
    <xf numFmtId="0" fontId="32" fillId="13" borderId="2" xfId="0" applyFont="1" applyFill="1" applyBorder="1" applyAlignment="1">
      <alignment horizontal="center" vertical="center"/>
    </xf>
    <xf numFmtId="14" fontId="17" fillId="13" borderId="2" xfId="11" applyNumberFormat="1" applyFont="1" applyFill="1" applyBorder="1" applyAlignment="1">
      <alignment horizontal="center" vertical="center" wrapText="1"/>
    </xf>
    <xf numFmtId="166" fontId="17" fillId="13" borderId="2" xfId="11" applyNumberFormat="1" applyFont="1" applyFill="1" applyBorder="1" applyAlignment="1">
      <alignment horizontal="center" vertical="center" wrapText="1"/>
    </xf>
  </cellXfs>
  <cellStyles count="18">
    <cellStyle name="Comma" xfId="1" builtinId="3"/>
    <cellStyle name="Comma 10" xfId="8"/>
    <cellStyle name="Comma 2" xfId="3"/>
    <cellStyle name="Comma 2 2" xfId="4"/>
    <cellStyle name="Comma 2 3 2" xfId="12"/>
    <cellStyle name="Comma 5" xfId="13"/>
    <cellStyle name="Hyperlink" xfId="9" builtinId="8"/>
    <cellStyle name="Normal" xfId="0" builtinId="0"/>
    <cellStyle name="Normal - Style1 2" xfId="7"/>
    <cellStyle name="Normal 2" xfId="5"/>
    <cellStyle name="Normal 2 2" xfId="17"/>
    <cellStyle name="Normal 2 3" xfId="15"/>
    <cellStyle name="Normal 3 2 2" xfId="6"/>
    <cellStyle name="Normal_boq" xfId="16"/>
    <cellStyle name="Normal_Questionnaire for ELECTRICAL WORKS - 13.06" xfId="10"/>
    <cellStyle name="Normal_Sheet1 2" xfId="11"/>
    <cellStyle name="Percent" xfId="2" builtinId="5"/>
    <cellStyle name="Unit" xfId="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9" Type="http://schemas.openxmlformats.org/officeDocument/2006/relationships/externalLink" Target="externalLinks/externalLink29.xml"/><Relationship Id="rId21" Type="http://schemas.openxmlformats.org/officeDocument/2006/relationships/externalLink" Target="externalLinks/externalLink11.xml"/><Relationship Id="rId34" Type="http://schemas.openxmlformats.org/officeDocument/2006/relationships/externalLink" Target="externalLinks/externalLink24.xml"/><Relationship Id="rId42" Type="http://schemas.openxmlformats.org/officeDocument/2006/relationships/externalLink" Target="externalLinks/externalLink32.xml"/><Relationship Id="rId47" Type="http://schemas.openxmlformats.org/officeDocument/2006/relationships/externalLink" Target="externalLinks/externalLink37.xml"/><Relationship Id="rId50" Type="http://schemas.openxmlformats.org/officeDocument/2006/relationships/externalLink" Target="externalLinks/externalLink4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6.xml"/><Relationship Id="rId29" Type="http://schemas.openxmlformats.org/officeDocument/2006/relationships/externalLink" Target="externalLinks/externalLink19.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externalLink" Target="externalLinks/externalLink22.xml"/><Relationship Id="rId37" Type="http://schemas.openxmlformats.org/officeDocument/2006/relationships/externalLink" Target="externalLinks/externalLink27.xml"/><Relationship Id="rId40" Type="http://schemas.openxmlformats.org/officeDocument/2006/relationships/externalLink" Target="externalLinks/externalLink30.xml"/><Relationship Id="rId45" Type="http://schemas.openxmlformats.org/officeDocument/2006/relationships/externalLink" Target="externalLinks/externalLink35.xml"/><Relationship Id="rId53" Type="http://schemas.openxmlformats.org/officeDocument/2006/relationships/externalLink" Target="externalLinks/externalLink43.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externalLink" Target="externalLinks/externalLink25.xml"/><Relationship Id="rId43" Type="http://schemas.openxmlformats.org/officeDocument/2006/relationships/externalLink" Target="externalLinks/externalLink33.xml"/><Relationship Id="rId48" Type="http://schemas.openxmlformats.org/officeDocument/2006/relationships/externalLink" Target="externalLinks/externalLink3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41.xml"/><Relationship Id="rId3" Type="http://schemas.openxmlformats.org/officeDocument/2006/relationships/worksheet" Target="worksheets/sheet3.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externalLink" Target="externalLinks/externalLink23.xml"/><Relationship Id="rId38" Type="http://schemas.openxmlformats.org/officeDocument/2006/relationships/externalLink" Target="externalLinks/externalLink28.xml"/><Relationship Id="rId46" Type="http://schemas.openxmlformats.org/officeDocument/2006/relationships/externalLink" Target="externalLinks/externalLink36.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54" Type="http://schemas.openxmlformats.org/officeDocument/2006/relationships/externalLink" Target="externalLinks/externalLink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externalLink" Target="externalLinks/externalLink26.xml"/><Relationship Id="rId49" Type="http://schemas.openxmlformats.org/officeDocument/2006/relationships/externalLink" Target="externalLinks/externalLink3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21.xml"/><Relationship Id="rId44" Type="http://schemas.openxmlformats.org/officeDocument/2006/relationships/externalLink" Target="externalLinks/externalLink34.xml"/><Relationship Id="rId52" Type="http://schemas.openxmlformats.org/officeDocument/2006/relationships/externalLink" Target="externalLinks/externalLink42.xml"/></Relationships>
</file>

<file path=xl/drawings/drawing1.xml><?xml version="1.0" encoding="utf-8"?>
<xdr:wsDr xmlns:xdr="http://schemas.openxmlformats.org/drawingml/2006/spreadsheetDrawing" xmlns:a="http://schemas.openxmlformats.org/drawingml/2006/main">
  <xdr:oneCellAnchor>
    <xdr:from>
      <xdr:col>1</xdr:col>
      <xdr:colOff>554931</xdr:colOff>
      <xdr:row>3</xdr:row>
      <xdr:rowOff>100044</xdr:rowOff>
    </xdr:from>
    <xdr:ext cx="3716737" cy="441468"/>
    <xdr:sp macro="" textlink="">
      <xdr:nvSpPr>
        <xdr:cNvPr id="2" name="Rectangle 1">
          <a:extLst>
            <a:ext uri="{FF2B5EF4-FFF2-40B4-BE49-F238E27FC236}">
              <a16:creationId xmlns:a16="http://schemas.microsoft.com/office/drawing/2014/main" id="{00000000-0008-0000-0000-000002000000}"/>
            </a:ext>
          </a:extLst>
        </xdr:cNvPr>
        <xdr:cNvSpPr/>
      </xdr:nvSpPr>
      <xdr:spPr>
        <a:xfrm>
          <a:off x="554931" y="642969"/>
          <a:ext cx="3716737" cy="441468"/>
        </a:xfrm>
        <a:prstGeom prst="rect">
          <a:avLst/>
        </a:prstGeom>
        <a:noFill/>
      </xdr:spPr>
      <xdr:txBody>
        <a:bodyPr wrap="square" lIns="91440" tIns="45720" rIns="91440" bIns="45720" anchor="ctr">
          <a:spAutoFit/>
        </a:bodyPr>
        <a:lstStyle/>
        <a:p>
          <a:pPr algn="ctr"/>
          <a:r>
            <a:rPr lang="en-US" sz="2500" b="1" i="0" cap="none" spc="0">
              <a:ln w="12700">
                <a:solidFill>
                  <a:schemeClr val="tx2">
                    <a:satMod val="155000"/>
                  </a:schemeClr>
                </a:solidFill>
                <a:prstDash val="solid"/>
              </a:ln>
              <a:solidFill>
                <a:schemeClr val="tx1"/>
              </a:solidFill>
              <a:effectLst>
                <a:outerShdw blurRad="41275" dist="20320" dir="1800000" algn="tl" rotWithShape="0">
                  <a:srgbClr val="000000">
                    <a:alpha val="40000"/>
                  </a:srgbClr>
                </a:outerShdw>
              </a:effectLst>
              <a:latin typeface="Tw Cen MT" pitchFamily="34" charset="0"/>
            </a:rPr>
            <a:t>RIYA ENTERPRISES</a:t>
          </a:r>
        </a:p>
      </xdr:txBody>
    </xdr:sp>
    <xdr:clientData/>
  </xdr:oneCellAnchor>
  <xdr:twoCellAnchor>
    <xdr:from>
      <xdr:col>2</xdr:col>
      <xdr:colOff>542925</xdr:colOff>
      <xdr:row>2</xdr:row>
      <xdr:rowOff>49683</xdr:rowOff>
    </xdr:from>
    <xdr:to>
      <xdr:col>3</xdr:col>
      <xdr:colOff>666750</xdr:colOff>
      <xdr:row>3</xdr:row>
      <xdr:rowOff>134366</xdr:rowOff>
    </xdr:to>
    <xdr:sp macro="" textlink="">
      <xdr:nvSpPr>
        <xdr:cNvPr id="3" name="WordArt 13">
          <a:extLst>
            <a:ext uri="{FF2B5EF4-FFF2-40B4-BE49-F238E27FC236}">
              <a16:creationId xmlns:a16="http://schemas.microsoft.com/office/drawing/2014/main" id="{00000000-0008-0000-0000-000003000000}"/>
            </a:ext>
          </a:extLst>
        </xdr:cNvPr>
        <xdr:cNvSpPr>
          <a:spLocks noChangeArrowheads="1" noChangeShapeType="1" noTextEdit="1"/>
        </xdr:cNvSpPr>
      </xdr:nvSpPr>
      <xdr:spPr bwMode="auto">
        <a:xfrm>
          <a:off x="2181225" y="405283"/>
          <a:ext cx="2346325" cy="262483"/>
        </a:xfrm>
        <a:prstGeom prst="rect">
          <a:avLst/>
        </a:prstGeom>
      </xdr:spPr>
      <xdr:txBody>
        <a:bodyPr wrap="none" fromWordArt="1">
          <a:prstTxWarp prst="textCanDown">
            <a:avLst>
              <a:gd name="adj" fmla="val 0"/>
            </a:avLst>
          </a:prstTxWarp>
        </a:bodyPr>
        <a:lstStyle/>
        <a:p>
          <a:pPr algn="ctr" rtl="0"/>
          <a:r>
            <a:rPr lang="en-US" sz="3600" b="0" kern="10" spc="0">
              <a:ln w="9525">
                <a:solidFill>
                  <a:srgbClr val="000000"/>
                </a:solidFill>
                <a:round/>
                <a:headEnd/>
                <a:tailEnd/>
              </a:ln>
              <a:solidFill>
                <a:srgbClr val="000000"/>
              </a:solidFill>
              <a:effectLst/>
              <a:latin typeface="Tw Cen MT" pitchFamily="34" charset="0"/>
              <a:cs typeface="Times New Roman"/>
            </a:rPr>
            <a:t>Quotation</a:t>
          </a:r>
        </a:p>
      </xdr:txBody>
    </xdr:sp>
    <xdr:clientData/>
  </xdr:twoCellAnchor>
  <xdr:twoCellAnchor>
    <xdr:from>
      <xdr:col>0</xdr:col>
      <xdr:colOff>66234</xdr:colOff>
      <xdr:row>0</xdr:row>
      <xdr:rowOff>46000</xdr:rowOff>
    </xdr:from>
    <xdr:to>
      <xdr:col>1</xdr:col>
      <xdr:colOff>978351</xdr:colOff>
      <xdr:row>3</xdr:row>
      <xdr:rowOff>71133</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6234" y="46000"/>
          <a:ext cx="1550292" cy="568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lnSpc>
              <a:spcPts val="1100"/>
            </a:lnSpc>
          </a:pPr>
          <a:r>
            <a:rPr lang="en-US" sz="1100" b="1">
              <a:solidFill>
                <a:schemeClr val="dk1"/>
              </a:solidFill>
              <a:effectLst/>
              <a:latin typeface="Tw Cen MT" pitchFamily="34" charset="0"/>
              <a:ea typeface="+mn-ea"/>
              <a:cs typeface="+mn-cs"/>
            </a:rPr>
            <a:t>Contact</a:t>
          </a:r>
          <a:r>
            <a:rPr lang="en-US" sz="1100" b="1" baseline="0">
              <a:solidFill>
                <a:schemeClr val="dk1"/>
              </a:solidFill>
              <a:effectLst/>
              <a:latin typeface="Tw Cen MT" pitchFamily="34" charset="0"/>
              <a:ea typeface="+mn-ea"/>
              <a:cs typeface="+mn-cs"/>
            </a:rPr>
            <a:t> Details :- </a:t>
          </a:r>
          <a:r>
            <a:rPr lang="en-US" sz="1100" b="0">
              <a:solidFill>
                <a:schemeClr val="dk1"/>
              </a:solidFill>
              <a:effectLst/>
              <a:latin typeface="Tw Cen MT" pitchFamily="34" charset="0"/>
              <a:ea typeface="+mn-ea"/>
              <a:cs typeface="+mn-cs"/>
            </a:rPr>
            <a:t/>
          </a:r>
          <a:br>
            <a:rPr lang="en-US" sz="1100" b="0">
              <a:solidFill>
                <a:schemeClr val="dk1"/>
              </a:solidFill>
              <a:effectLst/>
              <a:latin typeface="Tw Cen MT" pitchFamily="34" charset="0"/>
              <a:ea typeface="+mn-ea"/>
              <a:cs typeface="+mn-cs"/>
            </a:rPr>
          </a:br>
          <a:r>
            <a:rPr lang="en-US" sz="1100" b="0">
              <a:solidFill>
                <a:schemeClr val="dk1"/>
              </a:solidFill>
              <a:effectLst/>
              <a:latin typeface="Tw Cen MT" pitchFamily="34" charset="0"/>
              <a:ea typeface="+mn-ea"/>
              <a:cs typeface="+mn-cs"/>
            </a:rPr>
            <a:t>9667817267</a:t>
          </a:r>
          <a:endParaRPr lang="en-US" b="0">
            <a:effectLst/>
          </a:endParaRPr>
        </a:p>
      </xdr:txBody>
    </xdr:sp>
    <xdr:clientData/>
  </xdr:twoCellAnchor>
  <xdr:twoCellAnchor>
    <xdr:from>
      <xdr:col>2</xdr:col>
      <xdr:colOff>2923694</xdr:colOff>
      <xdr:row>0</xdr:row>
      <xdr:rowOff>26084</xdr:rowOff>
    </xdr:from>
    <xdr:to>
      <xdr:col>3</xdr:col>
      <xdr:colOff>2037383</xdr:colOff>
      <xdr:row>3</xdr:row>
      <xdr:rowOff>149088</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561869" y="26084"/>
          <a:ext cx="2990364" cy="665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0"/>
          <a:r>
            <a:rPr lang="en-US" sz="900" b="1">
              <a:solidFill>
                <a:schemeClr val="dk1"/>
              </a:solidFill>
              <a:effectLst/>
              <a:latin typeface="Tw Cen MT" pitchFamily="34" charset="0"/>
              <a:ea typeface="+mn-ea"/>
              <a:cs typeface="+mn-cs"/>
            </a:rPr>
            <a:t> PAN. NO</a:t>
          </a:r>
          <a:r>
            <a:rPr lang="en-US" sz="900" b="0">
              <a:solidFill>
                <a:schemeClr val="dk1"/>
              </a:solidFill>
              <a:effectLst/>
              <a:latin typeface="Tw Cen MT" pitchFamily="34" charset="0"/>
              <a:ea typeface="+mn-ea"/>
              <a:cs typeface="+mn-cs"/>
            </a:rPr>
            <a:t>. AJJPR2794N</a:t>
          </a:r>
          <a:endParaRPr lang="en-US" sz="900" b="0">
            <a:effectLst/>
            <a:latin typeface="Tw Cen MT" pitchFamily="34" charset="0"/>
          </a:endParaRPr>
        </a:p>
        <a:p>
          <a:pPr marL="0" marR="0" indent="0" algn="r" defTabSz="914400" rtl="0" eaLnBrk="1" fontAlgn="auto" latinLnBrk="0" hangingPunct="1">
            <a:lnSpc>
              <a:spcPct val="100000"/>
            </a:lnSpc>
            <a:spcBef>
              <a:spcPts val="0"/>
            </a:spcBef>
            <a:spcAft>
              <a:spcPts val="0"/>
            </a:spcAft>
            <a:buClrTx/>
            <a:buSzTx/>
            <a:buFontTx/>
            <a:buNone/>
            <a:tabLst/>
            <a:defRPr/>
          </a:pPr>
          <a:r>
            <a:rPr lang="en-US" sz="900" b="1">
              <a:solidFill>
                <a:schemeClr val="dk1"/>
              </a:solidFill>
              <a:effectLst/>
              <a:latin typeface="Tw Cen MT" pitchFamily="34" charset="0"/>
              <a:ea typeface="+mn-ea"/>
              <a:cs typeface="+mn-cs"/>
            </a:rPr>
            <a:t>GSTIN NO.</a:t>
          </a:r>
          <a:r>
            <a:rPr lang="en-US" sz="900" b="0">
              <a:solidFill>
                <a:schemeClr val="dk1"/>
              </a:solidFill>
              <a:effectLst/>
              <a:latin typeface="Tw Cen MT" pitchFamily="34" charset="0"/>
              <a:ea typeface="+mn-ea"/>
              <a:cs typeface="+mn-cs"/>
            </a:rPr>
            <a:t> -</a:t>
          </a:r>
          <a:r>
            <a:rPr lang="en-US" sz="900" b="0" baseline="0">
              <a:solidFill>
                <a:schemeClr val="dk1"/>
              </a:solidFill>
              <a:effectLst/>
              <a:latin typeface="Tw Cen MT" pitchFamily="34" charset="0"/>
              <a:ea typeface="+mn-ea"/>
              <a:cs typeface="+mn-cs"/>
            </a:rPr>
            <a:t> </a:t>
          </a:r>
          <a:r>
            <a:rPr lang="en-US" sz="900" b="0">
              <a:solidFill>
                <a:schemeClr val="dk1"/>
              </a:solidFill>
              <a:effectLst/>
              <a:latin typeface="Tw Cen MT" pitchFamily="34" charset="0"/>
              <a:ea typeface="+mn-ea"/>
              <a:cs typeface="+mn-cs"/>
            </a:rPr>
            <a:t>07AJJPR2794N1ZC</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ys2/e/CHIRAG/park2/PLANNING/INFBD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drcserver1/DESIGN/Infra/Geotech/Crep/Soil-inv/O1097/DJB-0509/Spt-B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gi02/projects%20(e)/DATA/Projects/1997/200_299/97_207&amp;208%20Western%20PGU&amp;SECU/Contract%20admin/Cost%20reports/97_207COSRP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ERVER/DATA/DataFile/O/DB9604/RevMay97/SHOPLI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ntract-aruna/public_aruna/Public_Aruna/contracts(ak)/Hyderabad/Mes/MES-SE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server/design/USER/HOUSING/SIRISH/tem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w-akghosh/data%20(d)/My%20Documents/data/ongoing%20jobs/Mumbai/TC-05-04-Piramal/TC-05-04-02B.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hardik%2520bills\INSTALLATION%2520BILL\INSTALLATION%2520Bill%252002\ducting%2520measuremen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enith/d/BandF/Housing/kkp/KKP-ISO/KKP-ISO-9001-1994/stds/GN-ST-06(2)(Design%20Sheet-Rule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giserver/projects/2008/08261-%20Waterfront/Implementation/Cost%20Plan/Cost%20Plan%20R2/Copy%20of%20CostPlan%20-%20Overall%20040908%2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inakaran\QA\01%20-%20Tracking%20forms%20for%20payment%20recomendations\10208%20-%20Mantri%20Pinacle\Main%20Contract\spc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2005\05117%20-%20Mindspace%20Hyderabad\Implementation\CP%20A\CP%20A%20-%20Stage%202\05117%20CP%20-%20Estimate%20sheet%20-%20Stage%20B%20-%20R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jkishor/f/FILES/2%20KC258%20PASADINA/My%20Documents/zero.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kr/AFPS/Commercials/AFPs/D327/D327-afp%20blan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giserver/projects/2010/10131%20Godrej%20Housing%20at%20Chennai/Implementation/Cost%20Plan/CostPlan%20consolidated-16.06.201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sandeep\Important%20Files\INTELENET-NEW\Final%20Costing\Intellenet%20Low%20Side%20Costing%2008-09-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rcserver1/design/user/Housing/Binod/saihous/saihous.ele.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DHA/RADHA/radha/mis9899/consoli/sept9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ADHA/RADHA/mis9798/MAR9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giserver/projects/2009/09271%20-%20Gravis%20Hotel/Implementation/Cost%20Plan/Workings/Hotel%20Building%20Finishes%20-%20RP.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giserver/projects/2009/09319%20-%20L%20&amp;%20T%20Eden%20Park%20-%20PSBB%20School/Implementation/Cost%20Plan/Cost%20Plan%20R1/Copy%20of%20PSBB%20School%20-%20Cost%20Plan%20R1%20-%20Main%20Building%2029031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FreqPlanmar'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gni/BRIGADE%20PALM%20SPRINGS/My%20Documents/zero.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92.168.4.17/workings%20(e)/Files/BZ001%20-%20RO/Seminar/SEMINAR.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girish/mis%20report/PLANNING%20FOLDER/Budget/OCT-bu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jsk\ozone\DG%20ROOM%20SIZING.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Documents%20and%20Settings\User\Local%20Settings\Temporary%20Internet%20Files\OLK1A\Tyco%20Estimates\QR1211\New%20Format.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Nt_server/projects/3745A/civil/Tender/BOQ.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TENDERS\THDC%20HMT%20MAIN%20ROAD\REVISED%20OFFER%2027%2011%2007%20R1\Documents%20and%20Settings\n3cl5\Desktop\BMW%20SHOW%20ROOM%20FORMEHMOOD%20HUSSAIN%20.HYDERABAD\ELEC%20QUOTE%20FROM%20USE\BMW_Showroom2_Hyderaba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G:\hardik%2520bills\BILL%252010\annexure%2520to%2520ra%25201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Users\shailendrakumar\AppData\Local\Microsoft\Windows\Temporary%20Internet%20Files\OLKBF3B\instalation%20bills\RA%2010%20R.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G:\hardik%2520bills\INSTALLATION%2520BILL\MEASUREMENT%25201%2520-%2520customer%2520approved\customer%2520copy%2520measurement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TENDER-NUTAN/nutantender/NUTAN/Nutan1/Nutan/nutantender/Adarsh/NUTAN/Nutan1/Nutan/nutantender/VSNL%2020.10.06/TimesofIndia/Times%20of%20India,airoliND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Documents%20and%20Settings\VPIN\Local%20Settings\Temp\CHIRAG\INFMAY.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Dls_india/c/DLSI/CostplanInfo/Template-Design%20Devt%20Estimat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Yatin/d/Y3/yatin/Advantage%20Global%20Services/Advantage%20Global%20Services%20Costing%2001-08-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Zameer/c/APUSP/WATERSUPPLYDATA/NZB%20Data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Janakiram/E/Projects/2005/05116%20-%20IT%20Park%20Phase%201%20for%20MIPL%20-%20ASC%20JV/Implementation/Post%20Contract/Payment%20Certificates/Main%20Contract/Running%20Bill%203/RA%20Bill%2003%2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Gis/current/Morgan%20Stanley/Project%20Budget/030625_GKC%20Bluebook%20(AC).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Ph3/d/HITEC%20PHASE%202/CLIENT_INVOICE/Cyber%20gate%20way%20Phase-%20II%20(A)_UP/2B_August%202K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Madhavi/G/Radiant_Data/c2/comp%201%20bkup/DPR/DPR%20-%20Tejewadi/SCHEDULE%20-%20B%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Suresh/d/JPMC/MIS/Recon/Recon-Dec'04/Material.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Edrcserver1/design/user/Cement/KVPgroup/E-Kvp/KVP-Engrs/PPRM-Housing/Namakkal%20Housing/School/T1037%20Entire%20Schoo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K2"/>
      <sheetName val="BLK3"/>
      <sheetName val="E &amp; R"/>
      <sheetName val="radar"/>
      <sheetName val="UG"/>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T vs PHI"/>
      <sheetName val="LABOUR"/>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tOutConfCentre"/>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abstract"/>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CAST lightconc-II"/>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ess Calculation"/>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gii"/>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ign"/>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Pay Rec"/>
      <sheetName val="2. Abs"/>
      <sheetName val="3. Summary"/>
      <sheetName val="4. BQ"/>
      <sheetName val="Prelim "/>
      <sheetName val="5.Ad Re"/>
      <sheetName val="MAS"/>
      <sheetName val="Tracking Sheet"/>
      <sheetName val="0. Check List"/>
      <sheetName val="spcl"/>
      <sheetName val="B1"/>
      <sheetName val="CFForecast detail"/>
      <sheetName val="Pay_Sep06"/>
      <sheetName val="analysis"/>
      <sheetName val="horizontal"/>
      <sheetName val="Site Dev BOQ"/>
      <sheetName val="INPUT SHEET"/>
      <sheetName val="RES-PLANNING"/>
      <sheetName val="Lead"/>
      <sheetName val="Appendix - 13 - Othr Paymnts."/>
      <sheetName val="Progress - Comercial (2)"/>
    </sheetNames>
    <definedNames>
      <definedName name="City" refersTo="#REF!"/>
    </defined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Elemental Summary"/>
      <sheetName val="Detail"/>
      <sheetName val="Classif"/>
      <sheetName val="Assumption"/>
      <sheetName val="Areas"/>
      <sheetName val="Area cal"/>
      <sheetName val="Staircase"/>
      <sheetName val="Perimeter"/>
      <sheetName val="Sheet1"/>
      <sheetName val="girder"/>
      <sheetName val="Rocker"/>
      <sheetName val="B1"/>
      <sheetName val="CFForecast detail"/>
      <sheetName val="key dates"/>
      <sheetName val="Actuals"/>
      <sheetName val="CABLERET"/>
      <sheetName val="Summary"/>
      <sheetName val="SECPROP"/>
      <sheetName val="05117 CP - Estimate sheet - Sta"/>
      <sheetName val="Design"/>
      <sheetName val="DC details (2)"/>
      <sheetName val="factors"/>
      <sheetName val="A-Property"/>
      <sheetName val="BLOCK-A (MEA.SHEET)"/>
      <sheetName val="DSLP"/>
      <sheetName val="Rate analysis"/>
      <sheetName val="Fin Sum"/>
      <sheetName val="Assumption Inputs"/>
      <sheetName val="Project Budget Worksheet"/>
      <sheetName val="Load Details(B2)"/>
      <sheetName val="Debits as on 12.04.08"/>
      <sheetName val="LEVEL SHEET"/>
      <sheetName val="Fill this out first..."/>
      <sheetName val="Assumptions"/>
      <sheetName val="PRECAST lightconc-II"/>
      <sheetName val="Detail In Door Stad"/>
      <sheetName val="Works - Quote Sheet"/>
      <sheetName val="Boq"/>
      <sheetName val="Assmpns"/>
      <sheetName val="A.O.R r1Str"/>
      <sheetName val="A.O.R r1"/>
      <sheetName val="A.O.R (2)"/>
      <sheetName val="upa"/>
      <sheetName val="Costing"/>
      <sheetName val="SPT vs PHI"/>
      <sheetName val="p&amp;m"/>
      <sheetName val="Detail 1A"/>
      <sheetName val="Rate"/>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terpretations (incl piling)"/>
      <sheetName val="Dem"/>
      <sheetName val="para"/>
      <sheetName val="kppl pl"/>
      <sheetName val="공장별판관비배부"/>
      <sheetName val="Stress Calculation"/>
      <sheetName val="GF Columns"/>
      <sheetName val="SITE OVERHEADS"/>
      <sheetName val="calcul"/>
      <sheetName val="BHANDUP"/>
      <sheetName val="환율"/>
      <sheetName val="analysis"/>
      <sheetName val="Deduction of assets"/>
      <sheetName val="Ave.wtd.rates"/>
      <sheetName val="Material "/>
      <sheetName val="Labour &amp; Plant"/>
      <sheetName val="Administrative Prices"/>
      <sheetName val="Boq (Main Building)"/>
      <sheetName val="template"/>
      <sheetName val="Data"/>
      <sheetName val="Lead"/>
      <sheetName val="2gii"/>
      <sheetName val="Purchase-July14"/>
      <sheetName val="Basis"/>
      <sheetName val="pol-60"/>
      <sheetName val="Voucher"/>
      <sheetName val="labour"/>
      <sheetName val="TBAL9697 -group wise  sdpl"/>
      <sheetName val="LABOUR RATE"/>
      <sheetName val="Material Rate"/>
      <sheetName val="INPUT SHEET"/>
      <sheetName val="RES-PLANNING"/>
      <sheetName val="Cover"/>
      <sheetName val="Sheet3"/>
      <sheetName val="grid"/>
      <sheetName val="SBI(Siliguri)"/>
      <sheetName val="Elemental_Summary14"/>
      <sheetName val="Area_cal14"/>
      <sheetName val="CFForecast_detail14"/>
      <sheetName val="key_dates14"/>
      <sheetName val="05117_CP_-_Estimate_sheet_-_S14"/>
      <sheetName val="Debits_as_on_12_04_0814"/>
      <sheetName val="DC_details_(2)14"/>
      <sheetName val="BLOCK-A_(MEA_SHEET)14"/>
      <sheetName val="Rate_analysis14"/>
      <sheetName val="Assumption_Inputs14"/>
      <sheetName val="Fin_Sum14"/>
      <sheetName val="Load_Details(B2)14"/>
      <sheetName val="Project_Budget_Worksheet14"/>
      <sheetName val="LEVEL_SHEET14"/>
      <sheetName val="Fill_this_out_first___14"/>
      <sheetName val="PRECAST_lightconc-II14"/>
      <sheetName val="Elemental_Summary2"/>
      <sheetName val="Area_cal2"/>
      <sheetName val="CFForecast_detail2"/>
      <sheetName val="key_dates2"/>
      <sheetName val="05117_CP_-_Estimate_sheet_-_St2"/>
      <sheetName val="Debits_as_on_12_04_082"/>
      <sheetName val="DC_details_(2)2"/>
      <sheetName val="BLOCK-A_(MEA_SHEET)2"/>
      <sheetName val="Rate_analysis2"/>
      <sheetName val="Assumption_Inputs2"/>
      <sheetName val="Fin_Sum2"/>
      <sheetName val="Load_Details(B2)2"/>
      <sheetName val="Project_Budget_Worksheet2"/>
      <sheetName val="LEVEL_SHEET2"/>
      <sheetName val="Fill_this_out_first___2"/>
      <sheetName val="PRECAST_lightconc-II2"/>
      <sheetName val="Elemental_Summary"/>
      <sheetName val="Area_cal"/>
      <sheetName val="CFForecast_detail"/>
      <sheetName val="key_dates"/>
      <sheetName val="05117_CP_-_Estimate_sheet_-_Sta"/>
      <sheetName val="Debits_as_on_12_04_08"/>
      <sheetName val="DC_details_(2)"/>
      <sheetName val="BLOCK-A_(MEA_SHEET)"/>
      <sheetName val="Rate_analysis"/>
      <sheetName val="Assumption_Inputs"/>
      <sheetName val="Fin_Sum"/>
      <sheetName val="Load_Details(B2)"/>
      <sheetName val="Project_Budget_Worksheet"/>
      <sheetName val="LEVEL_SHEET"/>
      <sheetName val="Fill_this_out_first___"/>
      <sheetName val="PRECAST_lightconc-II"/>
      <sheetName val="Elemental_Summary1"/>
      <sheetName val="Area_cal1"/>
      <sheetName val="CFForecast_detail1"/>
      <sheetName val="key_dates1"/>
      <sheetName val="05117_CP_-_Estimate_sheet_-_St1"/>
      <sheetName val="Debits_as_on_12_04_081"/>
      <sheetName val="DC_details_(2)1"/>
      <sheetName val="BLOCK-A_(MEA_SHEET)1"/>
      <sheetName val="Rate_analysis1"/>
      <sheetName val="Assumption_Inputs1"/>
      <sheetName val="Fin_Sum1"/>
      <sheetName val="Load_Details(B2)1"/>
      <sheetName val="Project_Budget_Worksheet1"/>
      <sheetName val="LEVEL_SHEET1"/>
      <sheetName val="Fill_this_out_first___1"/>
      <sheetName val="PRECAST_lightconc-II1"/>
      <sheetName val="Elemental_Summary10"/>
      <sheetName val="Area_cal10"/>
      <sheetName val="CFForecast_detail10"/>
      <sheetName val="key_dates10"/>
      <sheetName val="05117_CP_-_Estimate_sheet_-_S10"/>
      <sheetName val="Debits_as_on_12_04_0810"/>
      <sheetName val="DC_details_(2)10"/>
      <sheetName val="BLOCK-A_(MEA_SHEET)10"/>
      <sheetName val="Rate_analysis10"/>
      <sheetName val="Assumption_Inputs10"/>
      <sheetName val="Fin_Sum10"/>
      <sheetName val="Load_Details(B2)10"/>
      <sheetName val="Project_Budget_Worksheet10"/>
      <sheetName val="LEVEL_SHEET10"/>
      <sheetName val="Fill_this_out_first___10"/>
      <sheetName val="PRECAST_lightconc-II10"/>
      <sheetName val="Elemental_Summary3"/>
      <sheetName val="Area_cal3"/>
      <sheetName val="CFForecast_detail3"/>
      <sheetName val="key_dates3"/>
      <sheetName val="05117_CP_-_Estimate_sheet_-_St3"/>
      <sheetName val="Debits_as_on_12_04_083"/>
      <sheetName val="DC_details_(2)3"/>
      <sheetName val="BLOCK-A_(MEA_SHEET)3"/>
      <sheetName val="Rate_analysis3"/>
      <sheetName val="Assumption_Inputs3"/>
      <sheetName val="Fin_Sum3"/>
      <sheetName val="Load_Details(B2)3"/>
      <sheetName val="Project_Budget_Worksheet3"/>
      <sheetName val="LEVEL_SHEET3"/>
      <sheetName val="Fill_this_out_first___3"/>
      <sheetName val="PRECAST_lightconc-II3"/>
      <sheetName val="Elemental_Summary4"/>
      <sheetName val="Area_cal4"/>
      <sheetName val="CFForecast_detail4"/>
      <sheetName val="key_dates4"/>
      <sheetName val="05117_CP_-_Estimate_sheet_-_St4"/>
      <sheetName val="Debits_as_on_12_04_084"/>
      <sheetName val="DC_details_(2)4"/>
      <sheetName val="BLOCK-A_(MEA_SHEET)4"/>
      <sheetName val="Rate_analysis4"/>
      <sheetName val="Assumption_Inputs4"/>
      <sheetName val="Fin_Sum4"/>
      <sheetName val="Load_Details(B2)4"/>
      <sheetName val="Project_Budget_Worksheet4"/>
      <sheetName val="LEVEL_SHEET4"/>
      <sheetName val="Fill_this_out_first___4"/>
      <sheetName val="PRECAST_lightconc-II4"/>
      <sheetName val="Elemental_Summary5"/>
      <sheetName val="Area_cal5"/>
      <sheetName val="CFForecast_detail5"/>
      <sheetName val="key_dates5"/>
      <sheetName val="05117_CP_-_Estimate_sheet_-_St5"/>
      <sheetName val="Debits_as_on_12_04_085"/>
      <sheetName val="DC_details_(2)5"/>
      <sheetName val="BLOCK-A_(MEA_SHEET)5"/>
      <sheetName val="Rate_analysis5"/>
      <sheetName val="Assumption_Inputs5"/>
      <sheetName val="Fin_Sum5"/>
      <sheetName val="Load_Details(B2)5"/>
      <sheetName val="Project_Budget_Worksheet5"/>
      <sheetName val="LEVEL_SHEET5"/>
      <sheetName val="Fill_this_out_first___5"/>
      <sheetName val="PRECAST_lightconc-II5"/>
      <sheetName val="Elemental_Summary6"/>
      <sheetName val="Area_cal6"/>
      <sheetName val="CFForecast_detail6"/>
      <sheetName val="key_dates6"/>
      <sheetName val="05117_CP_-_Estimate_sheet_-_St6"/>
      <sheetName val="Debits_as_on_12_04_086"/>
      <sheetName val="DC_details_(2)6"/>
      <sheetName val="BLOCK-A_(MEA_SHEET)6"/>
      <sheetName val="Rate_analysis6"/>
      <sheetName val="Assumption_Inputs6"/>
      <sheetName val="Fin_Sum6"/>
      <sheetName val="Load_Details(B2)6"/>
      <sheetName val="Project_Budget_Worksheet6"/>
      <sheetName val="LEVEL_SHEET6"/>
      <sheetName val="Fill_this_out_first___6"/>
      <sheetName val="PRECAST_lightconc-II6"/>
      <sheetName val="Elemental_Summary7"/>
      <sheetName val="Area_cal7"/>
      <sheetName val="CFForecast_detail7"/>
      <sheetName val="key_dates7"/>
      <sheetName val="05117_CP_-_Estimate_sheet_-_St7"/>
      <sheetName val="Debits_as_on_12_04_087"/>
      <sheetName val="DC_details_(2)7"/>
      <sheetName val="BLOCK-A_(MEA_SHEET)7"/>
      <sheetName val="Rate_analysis7"/>
      <sheetName val="Assumption_Inputs7"/>
      <sheetName val="Fin_Sum7"/>
      <sheetName val="Load_Details(B2)7"/>
      <sheetName val="Project_Budget_Worksheet7"/>
      <sheetName val="LEVEL_SHEET7"/>
      <sheetName val="Fill_this_out_first___7"/>
      <sheetName val="PRECAST_lightconc-II7"/>
      <sheetName val="Elemental_Summary8"/>
      <sheetName val="Area_cal8"/>
      <sheetName val="CFForecast_detail8"/>
      <sheetName val="key_dates8"/>
      <sheetName val="05117_CP_-_Estimate_sheet_-_St8"/>
      <sheetName val="Debits_as_on_12_04_088"/>
      <sheetName val="DC_details_(2)8"/>
      <sheetName val="BLOCK-A_(MEA_SHEET)8"/>
      <sheetName val="Rate_analysis8"/>
      <sheetName val="Assumption_Inputs8"/>
      <sheetName val="Fin_Sum8"/>
      <sheetName val="Load_Details(B2)8"/>
      <sheetName val="Project_Budget_Worksheet8"/>
      <sheetName val="LEVEL_SHEET8"/>
      <sheetName val="Fill_this_out_first___8"/>
      <sheetName val="PRECAST_lightconc-II8"/>
      <sheetName val="Elemental_Summary9"/>
      <sheetName val="Area_cal9"/>
      <sheetName val="CFForecast_detail9"/>
      <sheetName val="key_dates9"/>
      <sheetName val="05117_CP_-_Estimate_sheet_-_St9"/>
      <sheetName val="Debits_as_on_12_04_089"/>
      <sheetName val="DC_details_(2)9"/>
      <sheetName val="BLOCK-A_(MEA_SHEET)9"/>
      <sheetName val="Rate_analysis9"/>
      <sheetName val="Assumption_Inputs9"/>
      <sheetName val="Fin_Sum9"/>
      <sheetName val="Load_Details(B2)9"/>
      <sheetName val="Project_Budget_Worksheet9"/>
      <sheetName val="LEVEL_SHEET9"/>
      <sheetName val="Fill_this_out_first___9"/>
      <sheetName val="PRECAST_lightconc-II9"/>
      <sheetName val="Elemental_Summary11"/>
      <sheetName val="Area_cal11"/>
      <sheetName val="CFForecast_detail11"/>
      <sheetName val="key_dates11"/>
      <sheetName val="05117_CP_-_Estimate_sheet_-_S11"/>
      <sheetName val="Debits_as_on_12_04_0811"/>
      <sheetName val="DC_details_(2)11"/>
      <sheetName val="BLOCK-A_(MEA_SHEET)11"/>
      <sheetName val="Rate_analysis11"/>
      <sheetName val="Assumption_Inputs11"/>
      <sheetName val="Fin_Sum11"/>
      <sheetName val="Load_Details(B2)11"/>
      <sheetName val="Project_Budget_Worksheet11"/>
      <sheetName val="LEVEL_SHEET11"/>
      <sheetName val="Fill_this_out_first___11"/>
      <sheetName val="PRECAST_lightconc-II11"/>
      <sheetName val="Elemental_Summary12"/>
      <sheetName val="Area_cal12"/>
      <sheetName val="CFForecast_detail12"/>
      <sheetName val="key_dates12"/>
      <sheetName val="05117_CP_-_Estimate_sheet_-_S12"/>
      <sheetName val="Debits_as_on_12_04_0812"/>
      <sheetName val="DC_details_(2)12"/>
      <sheetName val="BLOCK-A_(MEA_SHEET)12"/>
      <sheetName val="Rate_analysis12"/>
      <sheetName val="Assumption_Inputs12"/>
      <sheetName val="Fin_Sum12"/>
      <sheetName val="Load_Details(B2)12"/>
      <sheetName val="Project_Budget_Worksheet12"/>
      <sheetName val="LEVEL_SHEET12"/>
      <sheetName val="Fill_this_out_first___12"/>
      <sheetName val="PRECAST_lightconc-II12"/>
      <sheetName val="Elemental_Summary13"/>
      <sheetName val="Area_cal13"/>
      <sheetName val="CFForecast_detail13"/>
      <sheetName val="key_dates13"/>
      <sheetName val="05117_CP_-_Estimate_sheet_-_S13"/>
      <sheetName val="Debits_as_on_12_04_0813"/>
      <sheetName val="DC_details_(2)13"/>
      <sheetName val="BLOCK-A_(MEA_SHEET)13"/>
      <sheetName val="Rate_analysis13"/>
      <sheetName val="Assumption_Inputs13"/>
      <sheetName val="Fin_Sum13"/>
      <sheetName val="Load_Details(B2)13"/>
      <sheetName val="Project_Budget_Worksheet13"/>
      <sheetName val="LEVEL_SHEET13"/>
      <sheetName val="Fill_this_out_first___13"/>
      <sheetName val="PRECAST_lightconc-II13"/>
      <sheetName val="Elemental_Summary20"/>
      <sheetName val="Area_cal20"/>
      <sheetName val="CFForecast_detail20"/>
      <sheetName val="key_dates20"/>
      <sheetName val="05117_CP_-_Estimate_sheet_-_S20"/>
      <sheetName val="Debits_as_on_12_04_0820"/>
      <sheetName val="DC_details_(2)20"/>
      <sheetName val="BLOCK-A_(MEA_SHEET)20"/>
      <sheetName val="Rate_analysis20"/>
      <sheetName val="Assumption_Inputs20"/>
      <sheetName val="Fin_Sum20"/>
      <sheetName val="Load_Details(B2)20"/>
      <sheetName val="Project_Budget_Worksheet20"/>
      <sheetName val="LEVEL_SHEET20"/>
      <sheetName val="Fill_this_out_first___20"/>
      <sheetName val="PRECAST_lightconc-II20"/>
      <sheetName val="Elemental_Summary15"/>
      <sheetName val="Area_cal15"/>
      <sheetName val="CFForecast_detail15"/>
      <sheetName val="key_dates15"/>
      <sheetName val="05117_CP_-_Estimate_sheet_-_S15"/>
      <sheetName val="Debits_as_on_12_04_0815"/>
      <sheetName val="DC_details_(2)15"/>
      <sheetName val="BLOCK-A_(MEA_SHEET)15"/>
      <sheetName val="Rate_analysis15"/>
      <sheetName val="Assumption_Inputs15"/>
      <sheetName val="Fin_Sum15"/>
      <sheetName val="Load_Details(B2)15"/>
      <sheetName val="Project_Budget_Worksheet15"/>
      <sheetName val="LEVEL_SHEET15"/>
      <sheetName val="Fill_this_out_first___15"/>
      <sheetName val="PRECAST_lightconc-II15"/>
      <sheetName val="Elemental_Summary16"/>
      <sheetName val="Area_cal16"/>
      <sheetName val="CFForecast_detail16"/>
      <sheetName val="key_dates16"/>
      <sheetName val="05117_CP_-_Estimate_sheet_-_S16"/>
      <sheetName val="Debits_as_on_12_04_0816"/>
      <sheetName val="DC_details_(2)16"/>
      <sheetName val="BLOCK-A_(MEA_SHEET)16"/>
      <sheetName val="Rate_analysis16"/>
      <sheetName val="Assumption_Inputs16"/>
      <sheetName val="Fin_Sum16"/>
      <sheetName val="Load_Details(B2)16"/>
      <sheetName val="Project_Budget_Worksheet16"/>
      <sheetName val="LEVEL_SHEET16"/>
      <sheetName val="Fill_this_out_first___16"/>
      <sheetName val="PRECAST_lightconc-II16"/>
      <sheetName val="Elemental_Summary17"/>
      <sheetName val="Area_cal17"/>
      <sheetName val="CFForecast_detail17"/>
      <sheetName val="key_dates17"/>
      <sheetName val="05117_CP_-_Estimate_sheet_-_S17"/>
      <sheetName val="Debits_as_on_12_04_0817"/>
      <sheetName val="DC_details_(2)17"/>
      <sheetName val="BLOCK-A_(MEA_SHEET)17"/>
      <sheetName val="Rate_analysis17"/>
      <sheetName val="Assumption_Inputs17"/>
      <sheetName val="Fin_Sum17"/>
      <sheetName val="Load_Details(B2)17"/>
      <sheetName val="Project_Budget_Worksheet17"/>
      <sheetName val="LEVEL_SHEET17"/>
      <sheetName val="Fill_this_out_first___17"/>
      <sheetName val="PRECAST_lightconc-II17"/>
      <sheetName val="Elemental_Summary18"/>
      <sheetName val="Area_cal18"/>
      <sheetName val="CFForecast_detail18"/>
      <sheetName val="key_dates18"/>
      <sheetName val="05117_CP_-_Estimate_sheet_-_S18"/>
      <sheetName val="Debits_as_on_12_04_0818"/>
      <sheetName val="DC_details_(2)18"/>
      <sheetName val="BLOCK-A_(MEA_SHEET)18"/>
      <sheetName val="Rate_analysis18"/>
      <sheetName val="Assumption_Inputs18"/>
      <sheetName val="Fin_Sum18"/>
      <sheetName val="Load_Details(B2)18"/>
      <sheetName val="Project_Budget_Worksheet18"/>
      <sheetName val="LEVEL_SHEET18"/>
      <sheetName val="Fill_this_out_first___18"/>
      <sheetName val="PRECAST_lightconc-II18"/>
      <sheetName val="Elemental_Summary19"/>
      <sheetName val="Area_cal19"/>
      <sheetName val="CFForecast_detail19"/>
      <sheetName val="key_dates19"/>
      <sheetName val="05117_CP_-_Estimate_sheet_-_S19"/>
      <sheetName val="Debits_as_on_12_04_0819"/>
      <sheetName val="DC_details_(2)19"/>
      <sheetName val="BLOCK-A_(MEA_SHEET)19"/>
      <sheetName val="Rate_analysis19"/>
      <sheetName val="Assumption_Inputs19"/>
      <sheetName val="Fin_Sum19"/>
      <sheetName val="Load_Details(B2)19"/>
      <sheetName val="Project_Budget_Worksheet19"/>
      <sheetName val="LEVEL_SHEET19"/>
      <sheetName val="Fill_this_out_first___19"/>
      <sheetName val="PRECAST_lightconc-II19"/>
      <sheetName val="Elemental_Summary21"/>
      <sheetName val="Area_cal21"/>
      <sheetName val="CFForecast_detail21"/>
      <sheetName val="key_dates21"/>
      <sheetName val="05117_CP_-_Estimate_sheet_-_S21"/>
      <sheetName val="Debits_as_on_12_04_0821"/>
      <sheetName val="DC_details_(2)21"/>
      <sheetName val="BLOCK-A_(MEA_SHEET)21"/>
      <sheetName val="Rate_analysis21"/>
      <sheetName val="Assumption_Inputs21"/>
      <sheetName val="Fin_Sum21"/>
      <sheetName val="Load_Details(B2)21"/>
      <sheetName val="Project_Budget_Worksheet21"/>
      <sheetName val="LEVEL_SHEET21"/>
      <sheetName val="Fill_this_out_first___21"/>
      <sheetName val="PRECAST_lightconc-II21"/>
      <sheetName val="Elemental_Summary22"/>
      <sheetName val="Area_cal22"/>
      <sheetName val="CFForecast_detail22"/>
      <sheetName val="key_dates22"/>
      <sheetName val="05117_CP_-_Estimate_sheet_-_S22"/>
      <sheetName val="Debits_as_on_12_04_0822"/>
      <sheetName val="DC_details_(2)22"/>
      <sheetName val="BLOCK-A_(MEA_SHEET)22"/>
      <sheetName val="Rate_analysis22"/>
      <sheetName val="Assumption_Inputs22"/>
      <sheetName val="Fin_Sum22"/>
      <sheetName val="Load_Details(B2)22"/>
      <sheetName val="Project_Budget_Worksheet22"/>
      <sheetName val="LEVEL_SHEET22"/>
      <sheetName val="Fill_this_out_first___22"/>
      <sheetName val="PRECAST_lightconc-II22"/>
      <sheetName val="Elemental_Summary23"/>
      <sheetName val="Area_cal23"/>
      <sheetName val="CFForecast_detail23"/>
      <sheetName val="key_dates23"/>
      <sheetName val="05117_CP_-_Estimate_sheet_-_S23"/>
      <sheetName val="Debits_as_on_12_04_0823"/>
      <sheetName val="DC_details_(2)23"/>
      <sheetName val="BLOCK-A_(MEA_SHEET)23"/>
      <sheetName val="Rate_analysis23"/>
      <sheetName val="Assumption_Inputs23"/>
      <sheetName val="Fin_Sum23"/>
      <sheetName val="Load_Details(B2)23"/>
      <sheetName val="Project_Budget_Worksheet23"/>
      <sheetName val="LEVEL_SHEET23"/>
      <sheetName val="Fill_this_out_first___23"/>
      <sheetName val="PRECAST_lightconc-II23"/>
      <sheetName val="Elemental_Summary24"/>
      <sheetName val="Area_cal24"/>
      <sheetName val="CFForecast_detail24"/>
      <sheetName val="key_dates24"/>
      <sheetName val="05117_CP_-_Estimate_sheet_-_S24"/>
      <sheetName val="Debits_as_on_12_04_0824"/>
      <sheetName val="DC_details_(2)24"/>
      <sheetName val="BLOCK-A_(MEA_SHEET)24"/>
      <sheetName val="Rate_analysis24"/>
      <sheetName val="Assumption_Inputs24"/>
      <sheetName val="Fin_Sum24"/>
      <sheetName val="Load_Details(B2)24"/>
      <sheetName val="Project_Budget_Worksheet24"/>
      <sheetName val="LEVEL_SHEET24"/>
      <sheetName val="Fill_this_out_first___24"/>
      <sheetName val="PRECAST_lightconc-II24"/>
      <sheetName val="DetEst"/>
      <sheetName val="Materials Cost"/>
      <sheetName val="VCH-SLC"/>
      <sheetName val="Supplier"/>
      <sheetName val="FitOutConfCentre"/>
      <sheetName val="Detail_In_Door_Stad"/>
      <sheetName val="Works_-_Quote_Sheet"/>
      <sheetName val="SPT_vs_PHI"/>
      <sheetName val="Detail_1A"/>
      <sheetName val="3. Elemental Summary"/>
      <sheetName val="Bill 1"/>
      <sheetName val="Bill 2"/>
      <sheetName val="Bill 3"/>
      <sheetName val="Bill 4"/>
      <sheetName val="Bill 5"/>
      <sheetName val="Bill 6"/>
      <sheetName val="Bill 7"/>
      <sheetName val="SOA"/>
      <sheetName val="CASHFLOWS"/>
      <sheetName val="Summary_CFA"/>
      <sheetName val="gen"/>
      <sheetName val="old_serial no."/>
      <sheetName val="tot_ass_9697"/>
      <sheetName val="T&amp;M"/>
      <sheetName val="Approved MTD Proj #'s"/>
      <sheetName val="Footings"/>
      <sheetName val="Door"/>
      <sheetName val="PROFITABILITY ANALYSIS (MONTH)"/>
      <sheetName val="PROFITABILITY ANALYSIS (YTD)"/>
      <sheetName val="Asia Revised 10-1-07"/>
      <sheetName val="All Capital Plan P+L 10-1-07"/>
      <sheetName val="CP08 (2)"/>
      <sheetName val="Planning File 10-1-07"/>
      <sheetName val="FITZ MORT 94"/>
      <sheetName val="Working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refreshError="1"/>
      <sheetData sheetId="524" refreshError="1"/>
      <sheetData sheetId="525" refreshError="1"/>
      <sheetData sheetId="526" refreshError="1"/>
      <sheetData sheetId="527"/>
      <sheetData sheetId="528"/>
      <sheetData sheetId="529"/>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mp;m"/>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l 3 - Site Works"/>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il 1A"/>
      <sheetName val="Rate"/>
    </sheetNames>
    <sheetDataSet>
      <sheetData sheetId="0" refreshError="1"/>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 SCHEDULE"/>
      <sheetName val="ERECTION (2)"/>
      <sheetName val="SUMMARY MARGIN"/>
      <sheetName val="Chiller Ancillary"/>
      <sheetName val="Thane AHU &amp; FCU"/>
      <sheetName val="Lowside"/>
      <sheetName val="Imported Chiller "/>
      <sheetName val="Imported Pumps"/>
      <sheetName val="Imported Fans"/>
      <sheetName val="Imported BMS"/>
      <sheetName val="Imported 3 Way Valves+Motorised"/>
      <sheetName val="Summary"/>
      <sheetName val="AHU"/>
      <sheetName val="sh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ff Acco."/>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AL9697 -group wise  sdpl"/>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AL9697 -group wise  sdpl"/>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 Sum"/>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cakges split"/>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CHPlanM2"/>
      <sheetName val="Sheet1"/>
      <sheetName val="Sheet2"/>
      <sheetName val="Sheet3"/>
      <sheetName val="VCH-SLC"/>
      <sheetName val="Supplier"/>
      <sheetName val="TBAL9697 -group wise  sdpl"/>
      <sheetName val="Pacakges split"/>
      <sheetName val="Fin Sum"/>
      <sheetName val="Name List"/>
      <sheetName val="Data"/>
      <sheetName val="Lead"/>
      <sheetName val="Footings"/>
      <sheetName val="RA-markate"/>
      <sheetName val="key dates"/>
      <sheetName val="Actuals"/>
      <sheetName val="Item- Compact"/>
      <sheetName val="Labour"/>
      <sheetName val="Material "/>
      <sheetName val="Labour &amp; Plant"/>
      <sheetName val="Pay_Sep06"/>
      <sheetName val="Costing"/>
      <sheetName val="BLK2"/>
      <sheetName val="BLK3"/>
      <sheetName val="E &amp; R"/>
      <sheetName val="radar"/>
      <sheetName val="UG"/>
      <sheetName val="Staff Acco."/>
      <sheetName val="boq"/>
      <sheetName val="PRECAST lightconc-II"/>
      <sheetName val="2gii"/>
      <sheetName val="Build-up"/>
      <sheetName val="Civil Works"/>
      <sheetName val="Input"/>
      <sheetName val="SOR"/>
      <sheetName val="factors"/>
      <sheetName val="CFForecast detail"/>
      <sheetName val="Basement Budget"/>
      <sheetName val="Extra Item"/>
      <sheetName val="coa_ramco_168"/>
      <sheetName val="Cashflow projection"/>
      <sheetName val="IO List"/>
      <sheetName val="Stress Calculation"/>
      <sheetName val="Fee Rate Summary"/>
      <sheetName val="Fill this out first..."/>
      <sheetName val="p&amp;m"/>
      <sheetName val="DOOR-WIND"/>
      <sheetName val="Break up Sheet"/>
      <sheetName val="Data sheet"/>
      <sheetName val="Conc&amp;steel-assets"/>
      <sheetName val="Assumptions"/>
      <sheetName val="loads at base of pier"/>
      <sheetName val="Discount"/>
      <sheetName val="Design"/>
      <sheetName val="TBAL9697_-group_wise__sdpl"/>
      <sheetName val="CHN WIP"/>
      <sheetName val="Cash Flow"/>
      <sheetName val="MG"/>
      <sheetName val="PRELIM5"/>
      <sheetName val="Admin"/>
      <sheetName val="Summary_Bank"/>
      <sheetName val="CABLE DATA"/>
      <sheetName val="LOCAL RATES"/>
      <sheetName val="labour coeff"/>
      <sheetName val="VALIDATIONS"/>
      <sheetName val="analysis"/>
      <sheetName val="Bill-12"/>
      <sheetName val="BOQ-Civil"/>
      <sheetName val="Rates Basic"/>
      <sheetName val="AOR"/>
      <sheetName val="Detail 1A"/>
      <sheetName val="Rate"/>
      <sheetName val="Detail"/>
      <sheetName val="Config"/>
      <sheetName val="Break Dw"/>
      <sheetName val="BHANDUP"/>
      <sheetName val="#REF"/>
      <sheetName val="S1BOQ"/>
      <sheetName val="Activity"/>
      <sheetName val="Crew"/>
      <sheetName val="Piping"/>
      <sheetName val="Pipe Supports"/>
      <sheetName val="Meas.-Hotel Part"/>
      <sheetName val="GBW"/>
      <sheetName val="BOQ_Direct_selling cost"/>
      <sheetName val="Staff Forecast spread"/>
      <sheetName val="Ward areas"/>
      <sheetName val="Door"/>
      <sheetName val="Per Unit"/>
      <sheetName val="Window"/>
      <sheetName val="Assmpns"/>
      <sheetName val="Sheet4"/>
      <sheetName val="BOQ (2)"/>
      <sheetName val="zone-8"/>
      <sheetName val="MHNO_LEV"/>
      <sheetName val="co_5"/>
      <sheetName val="zone-2"/>
      <sheetName val="Z1_DATA"/>
      <sheetName val="D2_CO"/>
      <sheetName val="FreqPlanmar'00"/>
      <sheetName val="sc-mar2000"/>
      <sheetName val="óc-sepVdec99"/>
      <sheetName val="환율"/>
      <sheetName val="TEXT"/>
      <sheetName val="2.civil-RA"/>
      <sheetName val="ABB"/>
      <sheetName val="GE"/>
      <sheetName val="Cat A Change Control"/>
      <sheetName val="Detail In Door Stad"/>
      <sheetName val="doq"/>
      <sheetName val=" bus bay"/>
      <sheetName val="doq-10"/>
      <sheetName val="doq-I"/>
      <sheetName val="doq 4"/>
      <sheetName val="doq 2"/>
      <sheetName val="Form 6"/>
      <sheetName val="Material"/>
      <sheetName val="Database"/>
      <sheetName val="SCHEDULE"/>
      <sheetName val="schedule nos"/>
      <sheetName val="RENT MASTER FILE"/>
      <sheetName val="FINOLEX"/>
      <sheetName val="Works - Quote Sheet"/>
      <sheetName val="Cost summary"/>
      <sheetName val="inWords"/>
      <sheetName val="s"/>
      <sheetName val="Profile"/>
      <sheetName val="Codes"/>
      <sheetName val="Transactions"/>
      <sheetName val="Labor abs-NMR"/>
      <sheetName val="HPL"/>
      <sheetName val="COA"/>
      <sheetName val="final abstract"/>
      <sheetName val="PointNo.5"/>
      <sheetName val="gen"/>
      <sheetName val="선수금"/>
      <sheetName val="factor"/>
      <sheetName val="E_&amp;_R"/>
      <sheetName val="Cleaning &amp; Grubbing"/>
      <sheetName val="Precalculation"/>
      <sheetName val="TWO-WAY"/>
      <sheetName val="girder"/>
      <sheetName val="RCC,Ret. Wall"/>
      <sheetName val="Machinery"/>
      <sheetName val="Set"/>
      <sheetName val="Control"/>
      <sheetName val="220 11  BS "/>
      <sheetName val="Asssumptions"/>
      <sheetName val="Financials"/>
      <sheetName val="RateAnalysis"/>
      <sheetName val="Progress"/>
      <sheetName val="288-1"/>
      <sheetName val="Intro"/>
      <sheetName val="Settings"/>
      <sheetName val="TBAL9697_-group_wise__sdpl1"/>
      <sheetName val="Pacakges_split"/>
      <sheetName val="Name_List"/>
      <sheetName val="Staff_Acco_"/>
      <sheetName val="PRECAST_lightconc-II"/>
      <sheetName val="IO_List"/>
      <sheetName val="Civil_Works"/>
      <sheetName val="Fin_Sum"/>
      <sheetName val="Stress_Calculation"/>
      <sheetName val="Fee_Rate_Summary"/>
      <sheetName val="Item-_Compact"/>
      <sheetName val="Fill_this_out_first___"/>
      <sheetName val="Material_"/>
      <sheetName val="Labour_&amp;_Plant"/>
      <sheetName val="key_dates"/>
      <sheetName val="E_&amp;_R1"/>
      <sheetName val="CFForecast_detail"/>
      <sheetName val="Basement_Budget"/>
      <sheetName val="Extra_Item"/>
      <sheetName val="Cashflow_projection"/>
      <sheetName val="CABLE_DATA"/>
      <sheetName val="Data_sheet"/>
      <sheetName val="Break_up_Sheet"/>
      <sheetName val="LOCAL_RATES"/>
      <sheetName val="loads_at_base_of_pier"/>
      <sheetName val="Cash_Flow"/>
      <sheetName val="CHN_WIP"/>
      <sheetName val="labour_coeff"/>
      <sheetName val="Rates_Basic"/>
      <sheetName val="Break_Dw"/>
      <sheetName val="Pipe_Supports"/>
      <sheetName val="Ward_areas"/>
      <sheetName val="Detail_1A"/>
      <sheetName val="Meas_-Hotel_Part"/>
      <sheetName val="BOQ_Direct_selling_cost"/>
      <sheetName val="Staff_Forecast_spread"/>
      <sheetName val="Per_Unit"/>
      <sheetName val="Detail_In_Door_Stad"/>
      <sheetName val="_bus_bay"/>
      <sheetName val="doq_4"/>
      <sheetName val="doq_2"/>
      <sheetName val="2_civil-RA"/>
      <sheetName val="Form_6"/>
      <sheetName val="RENT_MASTER_FILE"/>
      <sheetName val="schedule_nos"/>
      <sheetName val="BOQ_(2)"/>
      <sheetName val="Works_-_Quote_Sheet"/>
      <sheetName val="Cost_summary"/>
      <sheetName val="Cat_A_Change_Control"/>
      <sheetName val="Labor_abs-NMR"/>
      <sheetName val="Cleaning_&amp;_Grubbing"/>
      <sheetName val="RES-PLANNING"/>
      <sheetName val="URA"/>
      <sheetName val="BOQ -Block A"/>
      <sheetName val="SPT vs PHI"/>
      <sheetName val="COST"/>
      <sheetName val="RA"/>
      <sheetName val="Aseet1998"/>
      <sheetName val="SILICATE"/>
      <sheetName val="Measurment"/>
      <sheetName val="Basic Rates"/>
      <sheetName val="Infrastructure"/>
      <sheetName val="Labour productivity"/>
      <sheetName val="FORM7"/>
      <sheetName val="Civil Boq"/>
      <sheetName val="#REF!"/>
      <sheetName val="Pipe Bedding"/>
      <sheetName val="Pile cap"/>
      <sheetName val="PointNo_5"/>
      <sheetName val="final_abstract"/>
      <sheetName val="220_11__BS_"/>
      <sheetName val="RCC,Ret__Wall"/>
      <sheetName val="TBAL9697_-group_wise__sdpl2"/>
      <sheetName val="Fee_Rate_Summary1"/>
      <sheetName val="Civil_Works1"/>
      <sheetName val="Item-_Compact1"/>
      <sheetName val="Staff_Acco_1"/>
      <sheetName val="E_&amp;_R2"/>
      <sheetName val="Pacakges_split1"/>
      <sheetName val="Fin_Sum1"/>
      <sheetName val="Name_List1"/>
      <sheetName val="key_dates1"/>
      <sheetName val="Material_1"/>
      <sheetName val="Labour_&amp;_Plant1"/>
      <sheetName val="PRECAST_lightconc-II1"/>
      <sheetName val="CFForecast_detail1"/>
      <sheetName val="Basement_Budget1"/>
      <sheetName val="Extra_Item1"/>
      <sheetName val="Cashflow_projection1"/>
      <sheetName val="IO_List1"/>
      <sheetName val="Stress_Calculation1"/>
      <sheetName val="Fill_this_out_first___1"/>
      <sheetName val="Break_up_Sheet1"/>
      <sheetName val="Data_sheet1"/>
      <sheetName val="CHN_WIP1"/>
      <sheetName val="Cash_Flow1"/>
      <sheetName val="CABLE_DATA1"/>
      <sheetName val="loads_at_base_of_pier1"/>
      <sheetName val="LOCAL_RATES1"/>
      <sheetName val="labour_coeff1"/>
      <sheetName val="Rates_Basic1"/>
      <sheetName val="Break_Dw1"/>
      <sheetName val="Pipe_Supports1"/>
      <sheetName val="Ward_areas1"/>
      <sheetName val="Detail_1A1"/>
      <sheetName val="Meas_-Hotel_Part1"/>
      <sheetName val="BOQ_Direct_selling_cost1"/>
      <sheetName val="Staff_Forecast_spread1"/>
      <sheetName val="Per_Unit1"/>
      <sheetName val="2_civil-RA1"/>
      <sheetName val="Detail_In_Door_Stad1"/>
      <sheetName val="_bus_bay1"/>
      <sheetName val="doq_41"/>
      <sheetName val="doq_21"/>
      <sheetName val="Form_61"/>
      <sheetName val="schedule_nos1"/>
      <sheetName val="BOQ_(2)1"/>
      <sheetName val="RENT_MASTER_FILE1"/>
      <sheetName val="Works_-_Quote_Sheet1"/>
      <sheetName val="Cost_summary1"/>
      <sheetName val="Labor_abs-NMR1"/>
      <sheetName val="PointNo_51"/>
      <sheetName val="final_abstract1"/>
      <sheetName val="Cat_A_Change_Control1"/>
      <sheetName val="220_11__BS_1"/>
      <sheetName val="Cleaning_&amp;_Grubbing1"/>
      <sheetName val="RCC,Ret__Wall1"/>
      <sheetName val="TBAL9697_-group_wise__sdpl3"/>
      <sheetName val="Fee_Rate_Summary2"/>
      <sheetName val="Civil_Works2"/>
      <sheetName val="Item-_Compact2"/>
      <sheetName val="Staff_Acco_2"/>
      <sheetName val="E_&amp;_R3"/>
      <sheetName val="Pacakges_split2"/>
      <sheetName val="Fin_Sum2"/>
      <sheetName val="Name_List2"/>
      <sheetName val="key_dates2"/>
      <sheetName val="Material_2"/>
      <sheetName val="Labour_&amp;_Plant2"/>
      <sheetName val="PRECAST_lightconc-II2"/>
      <sheetName val="CFForecast_detail2"/>
      <sheetName val="Basement_Budget2"/>
      <sheetName val="Extra_Item2"/>
      <sheetName val="Cashflow_projection2"/>
      <sheetName val="IO_List2"/>
      <sheetName val="Stress_Calculation2"/>
      <sheetName val="Fill_this_out_first___2"/>
      <sheetName val="Break_up_Sheet2"/>
      <sheetName val="Data_sheet2"/>
      <sheetName val="CHN_WIP2"/>
      <sheetName val="Cash_Flow2"/>
      <sheetName val="CABLE_DATA2"/>
      <sheetName val="loads_at_base_of_pier2"/>
      <sheetName val="LOCAL_RATES2"/>
      <sheetName val="labour_coeff2"/>
      <sheetName val="Rates_Basic2"/>
      <sheetName val="Break_Dw2"/>
      <sheetName val="Pipe_Supports2"/>
      <sheetName val="Ward_areas2"/>
      <sheetName val="Detail_1A2"/>
      <sheetName val="Meas_-Hotel_Part2"/>
      <sheetName val="BOQ_Direct_selling_cost2"/>
      <sheetName val="Staff_Forecast_spread2"/>
      <sheetName val="Per_Unit2"/>
      <sheetName val="2_civil-RA2"/>
      <sheetName val="Detail_In_Door_Stad2"/>
      <sheetName val="_bus_bay2"/>
      <sheetName val="doq_42"/>
      <sheetName val="doq_22"/>
      <sheetName val="Form_62"/>
      <sheetName val="schedule_nos2"/>
      <sheetName val="BOQ_(2)2"/>
      <sheetName val="RENT_MASTER_FILE2"/>
      <sheetName val="Works_-_Quote_Sheet2"/>
      <sheetName val="Cost_summary2"/>
      <sheetName val="Labor_abs-NMR2"/>
      <sheetName val="PointNo_52"/>
      <sheetName val="final_abstract2"/>
      <sheetName val="Cat_A_Change_Control2"/>
      <sheetName val="220_11__BS_2"/>
      <sheetName val="Cleaning_&amp;_Grubbing2"/>
      <sheetName val="RCC,Ret__Wall2"/>
      <sheetName val="TBAL9697_-group_wise__sdpl4"/>
      <sheetName val="Fee_Rate_Summary3"/>
      <sheetName val="Civil_Works3"/>
      <sheetName val="Item-_Compact3"/>
      <sheetName val="Staff_Acco_3"/>
      <sheetName val="E_&amp;_R4"/>
      <sheetName val="Pacakges_split3"/>
      <sheetName val="Fin_Sum3"/>
      <sheetName val="Name_List3"/>
      <sheetName val="key_dates3"/>
      <sheetName val="Material_3"/>
      <sheetName val="Labour_&amp;_Plant3"/>
      <sheetName val="PRECAST_lightconc-II3"/>
      <sheetName val="CFForecast_detail3"/>
      <sheetName val="Basement_Budget3"/>
      <sheetName val="Extra_Item3"/>
      <sheetName val="Cashflow_projection3"/>
      <sheetName val="IO_List3"/>
      <sheetName val="Stress_Calculation3"/>
      <sheetName val="Fill_this_out_first___3"/>
      <sheetName val="Break_up_Sheet3"/>
      <sheetName val="Data_sheet3"/>
      <sheetName val="CHN_WIP3"/>
      <sheetName val="Cash_Flow3"/>
      <sheetName val="CABLE_DATA3"/>
      <sheetName val="loads_at_base_of_pier3"/>
      <sheetName val="LOCAL_RATES3"/>
      <sheetName val="labour_coeff3"/>
      <sheetName val="Rates_Basic3"/>
      <sheetName val="Break_Dw3"/>
      <sheetName val="Pipe_Supports3"/>
      <sheetName val="Ward_areas3"/>
      <sheetName val="Detail_1A3"/>
      <sheetName val="Meas_-Hotel_Part3"/>
      <sheetName val="BOQ_Direct_selling_cost3"/>
      <sheetName val="Staff_Forecast_spread3"/>
      <sheetName val="Per_Unit3"/>
      <sheetName val="2_civil-RA3"/>
      <sheetName val="Detail_In_Door_Stad3"/>
      <sheetName val="_bus_bay3"/>
      <sheetName val="doq_43"/>
      <sheetName val="doq_23"/>
      <sheetName val="Form_63"/>
      <sheetName val="schedule_nos3"/>
      <sheetName val="BOQ_(2)3"/>
      <sheetName val="RENT_MASTER_FILE3"/>
      <sheetName val="Works_-_Quote_Sheet3"/>
      <sheetName val="Cost_summary3"/>
      <sheetName val="Labor_abs-NMR3"/>
      <sheetName val="PointNo_53"/>
      <sheetName val="final_abstract3"/>
      <sheetName val="Cat_A_Change_Control3"/>
      <sheetName val="220_11__BS_3"/>
      <sheetName val="Cleaning_&amp;_Grubbing3"/>
      <sheetName val="RCC,Ret__Wall3"/>
      <sheetName val="TBAL9697_-group_wise__sdpl5"/>
      <sheetName val="Fee_Rate_Summary4"/>
      <sheetName val="Civil_Works4"/>
      <sheetName val="Item-_Compact4"/>
      <sheetName val="Staff_Acco_4"/>
      <sheetName val="E_&amp;_R5"/>
      <sheetName val="Pacakges_split4"/>
      <sheetName val="Fin_Sum4"/>
      <sheetName val="Name_List4"/>
      <sheetName val="key_dates4"/>
      <sheetName val="Material_4"/>
      <sheetName val="Labour_&amp;_Plant4"/>
      <sheetName val="PRECAST_lightconc-II4"/>
      <sheetName val="CFForecast_detail4"/>
      <sheetName val="Basement_Budget4"/>
      <sheetName val="Extra_Item4"/>
      <sheetName val="Cashflow_projection4"/>
      <sheetName val="IO_List4"/>
      <sheetName val="Stress_Calculation4"/>
      <sheetName val="Fill_this_out_first___4"/>
      <sheetName val="Break_up_Sheet4"/>
      <sheetName val="Data_sheet4"/>
      <sheetName val="CHN_WIP4"/>
      <sheetName val="Cash_Flow4"/>
      <sheetName val="CABLE_DATA4"/>
      <sheetName val="loads_at_base_of_pier4"/>
      <sheetName val="LOCAL_RATES4"/>
      <sheetName val="labour_coeff4"/>
      <sheetName val="Rates_Basic4"/>
      <sheetName val="Break_Dw4"/>
      <sheetName val="Pipe_Supports4"/>
      <sheetName val="Ward_areas4"/>
      <sheetName val="Detail_1A4"/>
      <sheetName val="Meas_-Hotel_Part4"/>
      <sheetName val="BOQ_Direct_selling_cost4"/>
      <sheetName val="Staff_Forecast_spread4"/>
      <sheetName val="Per_Unit4"/>
      <sheetName val="2_civil-RA4"/>
      <sheetName val="Detail_In_Door_Stad4"/>
      <sheetName val="_bus_bay4"/>
      <sheetName val="doq_44"/>
      <sheetName val="doq_24"/>
      <sheetName val="Form_64"/>
      <sheetName val="schedule_nos4"/>
      <sheetName val="BOQ_(2)4"/>
      <sheetName val="RENT_MASTER_FILE4"/>
      <sheetName val="Works_-_Quote_Sheet4"/>
      <sheetName val="Cost_summary4"/>
      <sheetName val="Labor_abs-NMR4"/>
      <sheetName val="PointNo_54"/>
      <sheetName val="final_abstract4"/>
      <sheetName val="Cat_A_Change_Control4"/>
      <sheetName val="220_11__BS_4"/>
      <sheetName val="Cleaning_&amp;_Grubbing4"/>
      <sheetName val="RCC,Ret__Wall4"/>
      <sheetName val="01"/>
      <sheetName val="Comparables"/>
      <sheetName val="Parameter"/>
      <sheetName val="1_Project_Profile"/>
      <sheetName val="Exc"/>
      <sheetName val="RCC"/>
      <sheetName val="Basis"/>
      <sheetName val="Project Details"/>
      <sheetName val="Final Bill of Material"/>
      <sheetName val="office"/>
      <sheetName val="Lab"/>
      <sheetName val="Summary"/>
      <sheetName val="Main Gate House"/>
      <sheetName val="std.wt."/>
      <sheetName val="Rate Analysis"/>
      <sheetName val="COP Final"/>
      <sheetName val="Costing-blk-B"/>
      <sheetName val="comp wall"/>
      <sheetName val="detail'02"/>
      <sheetName val="Basic Material Rates(7)"/>
      <sheetName val="assumption sheet"/>
      <sheetName val="Code"/>
      <sheetName val="concrete"/>
      <sheetName val="beam-reinft-IIInd floor"/>
      <sheetName val="F1a-Pile"/>
      <sheetName val="4"/>
      <sheetName val="5"/>
      <sheetName val="1"/>
      <sheetName val="Balance Sheet Details CMC"/>
      <sheetName val="Driveway Beams"/>
      <sheetName val="basic-data"/>
      <sheetName val="mem-property"/>
      <sheetName val="Manager"/>
      <sheetName val="Brick, Block Work"/>
      <sheetName val="Msht 5F"/>
      <sheetName val="Site Dev BOQ"/>
      <sheetName val="WPR-IV"/>
      <sheetName val="PC Master List"/>
      <sheetName val="Output"/>
      <sheetName val="Basics"/>
      <sheetName val="A"/>
      <sheetName val="SITE OVERHEADS"/>
      <sheetName val="CABLERET"/>
      <sheetName val="master"/>
      <sheetName val="prelim"/>
      <sheetName val="I-BEAM-(PLINTH)"/>
      <sheetName val="appendix 2.5 final accounts"/>
      <sheetName val="Plant Cost"/>
      <sheetName val="Structure Bills Qty"/>
      <sheetName val="Base Assumptions"/>
      <sheetName val="매크로"/>
      <sheetName val="Balance sheet DCCDL Nov 06"/>
      <sheetName val="sept-plan"/>
      <sheetName val="GM &amp; TA"/>
      <sheetName val="Macro"/>
      <sheetName val="Main-Material"/>
      <sheetName val="GROUP CODE"/>
      <sheetName val="Calculation Sheet"/>
      <sheetName val="Tender Summary"/>
      <sheetName val="STD"/>
      <sheetName val="Look Up"/>
      <sheetName val="COS_REP.XLS"/>
      <sheetName val="calcul"/>
      <sheetName val="WORK TABLE"/>
      <sheetName val="BOQ-Roadworks"/>
      <sheetName val="Sch 24 TDS"/>
      <sheetName val="Project Details.."/>
      <sheetName val="17"/>
      <sheetName val="STEEL"/>
      <sheetName val="DATA_PILE_BG"/>
      <sheetName val="DATA_PCC"/>
      <sheetName val="DATA_PILECAP"/>
      <sheetName val="DATA_PILE_RT2"/>
      <sheetName val="DATA_PILE_RT1 "/>
      <sheetName val="DATA_PILE _SM"/>
      <sheetName val="Basicrates"/>
      <sheetName val="Calc_SC"/>
      <sheetName val="Calc_ISC"/>
      <sheetName val="Interface_ISC"/>
      <sheetName val="GD"/>
      <sheetName val="Interface_SC"/>
      <sheetName val="Cash Flow Input Data_ISC"/>
      <sheetName val="upa"/>
      <sheetName val="CCTV_EST1"/>
      <sheetName val="Mat.-Rates"/>
      <sheetName val="PA- Consutant "/>
      <sheetName val="Cond Formt"/>
      <sheetName val="labour rates"/>
      <sheetName val="Basic"/>
      <sheetName val="column heights"/>
      <sheetName val="col-reinft1"/>
      <sheetName val="d-safe DELUXE"/>
      <sheetName val="Diawise steel abstract"/>
      <sheetName val="d-safe specs"/>
      <sheetName val="A.O.R r1"/>
      <sheetName val="BS1"/>
      <sheetName val="Inventory"/>
      <sheetName val="DSL-S"/>
      <sheetName val="LA- lookups"/>
      <sheetName val="Other assumptions"/>
      <sheetName val="except wiring"/>
      <sheetName val="GR.slab-reinft"/>
      <sheetName val=""/>
      <sheetName val="BOQ1"/>
      <sheetName val="SUMMARY-client"/>
      <sheetName val="SGS ACQ"/>
      <sheetName val="Intro."/>
      <sheetName val="MASTER_RATE ANALYSIS"/>
      <sheetName val="Cover_Sheet"/>
      <sheetName val="Lease rents"/>
      <sheetName val="Wordsdata"/>
      <sheetName val="item"/>
      <sheetName val="TBAL9697_-group_wise__sdpl6"/>
      <sheetName val="Pacakges_split5"/>
      <sheetName val="Fin_Sum5"/>
      <sheetName val="Name_List5"/>
      <sheetName val="key_dates5"/>
      <sheetName val="Item-_Compact5"/>
      <sheetName val="Material_5"/>
      <sheetName val="Labour_&amp;_Plant5"/>
      <sheetName val="E_&amp;_R6"/>
      <sheetName val="Civil_Works5"/>
      <sheetName val="Staff_Acco_5"/>
      <sheetName val="Fee_Rate_Summary5"/>
      <sheetName val="Fill_this_out_first___5"/>
      <sheetName val="PRECAST_lightconc-II5"/>
      <sheetName val="Cash_Flow5"/>
      <sheetName val="Ward_areas5"/>
      <sheetName val="CFForecast_detail5"/>
      <sheetName val="Basement_Budget5"/>
      <sheetName val="Extra_Item5"/>
      <sheetName val="Cashflow_projection5"/>
      <sheetName val="IO_List5"/>
      <sheetName val="Stress_Calculation5"/>
      <sheetName val="Break_up_Sheet5"/>
      <sheetName val="Data_sheet5"/>
      <sheetName val="CABLE_DATA5"/>
      <sheetName val="loads_at_base_of_pier5"/>
      <sheetName val="CHN_WIP5"/>
      <sheetName val="LOCAL_RATES5"/>
      <sheetName val="labour_coeff5"/>
      <sheetName val="Rates_Basic5"/>
      <sheetName val="Form_65"/>
      <sheetName val="Break_Dw5"/>
      <sheetName val="Staff_Forecast_spread5"/>
      <sheetName val="Detail_1A5"/>
      <sheetName val="Pipe_Supports5"/>
      <sheetName val="Meas_-Hotel_Part5"/>
      <sheetName val="BOQ_Direct_selling_cost5"/>
      <sheetName val="Detail_In_Door_Stad5"/>
      <sheetName val="_bus_bay5"/>
      <sheetName val="doq_45"/>
      <sheetName val="doq_25"/>
      <sheetName val="Per_Unit5"/>
      <sheetName val="2_civil-RA5"/>
      <sheetName val="Works_-_Quote_Sheet5"/>
      <sheetName val="Cat_A_Change_Control5"/>
      <sheetName val="Cost_summary5"/>
      <sheetName val="BOQ_(2)5"/>
      <sheetName val="PointNo_55"/>
      <sheetName val="schedule_nos5"/>
      <sheetName val="RENT_MASTER_FILE5"/>
      <sheetName val="Labor_abs-NMR5"/>
      <sheetName val="Cleaning_&amp;_Grubbing5"/>
      <sheetName val="final_abstract5"/>
      <sheetName val="RCC,Ret__Wall5"/>
      <sheetName val="220_11__BS_5"/>
      <sheetName val="BOQ_-Block_A"/>
      <sheetName val="SPT_vs_PHI"/>
      <sheetName val="assumption_sheet"/>
      <sheetName val="Labour_productivity"/>
      <sheetName val="Civil_Boq"/>
      <sheetName val="comp_wall"/>
      <sheetName val="Basic_Material_Rates(7)"/>
      <sheetName val="Basic_Rates"/>
      <sheetName val="Pipe_Bedding"/>
      <sheetName val="Pile_cap"/>
      <sheetName val="Final_Bill_of_Material"/>
      <sheetName val="Main_Gate_House"/>
      <sheetName val="std_wt_"/>
      <sheetName val="Balance_Sheet_Details_CMC"/>
      <sheetName val="COP_Final"/>
      <sheetName val="Project_Details"/>
      <sheetName val="Rate_Analysis"/>
      <sheetName val="beam-reinft-IIInd_floor"/>
      <sheetName val="PC_Master_List"/>
      <sheetName val="Brick,_Block_Work"/>
      <sheetName val="Msht_5F"/>
      <sheetName val="Site_Dev_BOQ"/>
      <sheetName val="GM_&amp;_TA"/>
      <sheetName val="Driveway_Beams"/>
      <sheetName val="Base_Assumptions"/>
      <sheetName val="Balance_sheet_DCCDL_Nov_06"/>
      <sheetName val="SITE_OVERHEADS"/>
      <sheetName val="Mat_-Rates"/>
      <sheetName val="Plant_Cost"/>
      <sheetName val="Intro_"/>
      <sheetName val="Calculation_Sheet"/>
      <sheetName val="Tender_Summary"/>
      <sheetName val="Cash_Flow_Input_Data_ISC"/>
      <sheetName val="Lease_rents"/>
      <sheetName val="PA-_Consutant_"/>
      <sheetName val="GROUP_CODE"/>
      <sheetName val="COSTPLAN"/>
      <sheetName val="Main sheet"/>
      <sheetName val="shuttering"/>
      <sheetName val="factor sheet"/>
      <sheetName val="VIWSCo1"/>
      <sheetName val="Fin. Assumpt. - Sensitivities"/>
      <sheetName val="Contract Night Staff"/>
      <sheetName val="Contract Day Staff"/>
      <sheetName val="Day Shift"/>
      <sheetName val="Night Shift"/>
      <sheetName val="WWR"/>
      <sheetName val="Control (In)"/>
      <sheetName val="Criteria"/>
      <sheetName val="Params"/>
      <sheetName val="Cases"/>
      <sheetName val="ASS"/>
      <sheetName val="Main"/>
      <sheetName val="Notes"/>
      <sheetName val="IT_FBT_DDTP"/>
      <sheetName val="Total Debtors Ageing Sheet"/>
      <sheetName val="Materials "/>
      <sheetName val="ANAL"/>
      <sheetName val="Lookup"/>
      <sheetName val="Top"/>
      <sheetName val="Chennai - Phasing"/>
      <sheetName val="Input_footings"/>
      <sheetName val="SinglePeir_Input"/>
      <sheetName val="Names&amp;Cases"/>
      <sheetName val="dBase"/>
      <sheetName val="Abstract"/>
      <sheetName val="GST BILL of JULY '17 to May '18"/>
      <sheetName val="INNOVATION"/>
      <sheetName val="Cost Index"/>
      <sheetName val="Mat_Cost"/>
      <sheetName val="C_link"/>
      <sheetName val="P_link"/>
      <sheetName val="Beam-design exp"/>
      <sheetName val="Approved MTD Proj #'s"/>
      <sheetName val="pri-com"/>
      <sheetName val="SPILL OVER"/>
      <sheetName val="Lintel"/>
      <sheetName val="KP1590_E"/>
      <sheetName val="Introduction"/>
      <sheetName val="CASHFLOWS"/>
      <sheetName val="Micro"/>
      <sheetName val="Scaff-Rose"/>
      <sheetName val="BOQ 2"/>
      <sheetName val="Flooring1"/>
      <sheetName val="A1-Continuous"/>
      <sheetName val="csdim"/>
      <sheetName val="cdsload"/>
      <sheetName val="chsload"/>
      <sheetName val="cvsload"/>
      <sheetName val="Project Budget Worksheet"/>
      <sheetName val="banilad"/>
      <sheetName val="BM"/>
      <sheetName val="Mactan"/>
      <sheetName val="Mandaue"/>
      <sheetName val="INPUT SHEET"/>
      <sheetName val="Cover"/>
      <sheetName val="IPO"/>
      <sheetName val="dyes"/>
      <sheetName val="UTILITY"/>
      <sheetName val="class &amp; category"/>
      <sheetName val="code Control Sheet"/>
      <sheetName val="공장별판관비배부"/>
      <sheetName val="GUT (2)"/>
      <sheetName val="A-General"/>
      <sheetName val="RING DETAILS"/>
      <sheetName val="DReport"/>
      <sheetName val="HELP"/>
      <sheetName val="유통망계획"/>
      <sheetName val="Project Charter"/>
      <sheetName val="Lead (Final)"/>
      <sheetName val="Sump_cal"/>
      <sheetName val="Contract_Night_Staff"/>
      <sheetName val="Contract_Day_Staff"/>
      <sheetName val="Day_Shift"/>
      <sheetName val="Night_Shift"/>
      <sheetName val="d-safe_DELUXE"/>
      <sheetName val="Diawise_steel_abstract"/>
      <sheetName val="d-safe_specs"/>
      <sheetName val="A_O_R_r1"/>
      <sheetName val="SGS_ACQ"/>
      <sheetName val="Project_Details__"/>
      <sheetName val="Cond_Formt"/>
      <sheetName val="labour_rates"/>
      <sheetName val="Project"/>
      <sheetName val="COEF"/>
      <sheetName val="Basic Rate"/>
      <sheetName val="CAPA -1"/>
      <sheetName val="TBAL9697_-group_wise__sdpl7"/>
      <sheetName val="Civil_Works6"/>
      <sheetName val="Fee_Rate_Summary6"/>
      <sheetName val="Staff_Acco_6"/>
      <sheetName val="E_&amp;_R7"/>
      <sheetName val="Item-_Compact6"/>
      <sheetName val="Name_List6"/>
      <sheetName val="PRECAST_lightconc-II6"/>
      <sheetName val="Pacakges_split6"/>
      <sheetName val="Fill_this_out_first___6"/>
      <sheetName val="Fin_Sum6"/>
      <sheetName val="IO_List6"/>
      <sheetName val="Stress_Calculation6"/>
      <sheetName val="key_dates6"/>
      <sheetName val="Material_6"/>
      <sheetName val="Labour_&amp;_Plant6"/>
      <sheetName val="CHN_WIP6"/>
      <sheetName val="Cash_Flow6"/>
      <sheetName val="Basement_Budget6"/>
      <sheetName val="CABLE_DATA6"/>
      <sheetName val="CFForecast_detail6"/>
      <sheetName val="Extra_Item6"/>
      <sheetName val="Cashflow_projection6"/>
      <sheetName val="Data_sheet6"/>
      <sheetName val="Break_up_Sheet6"/>
      <sheetName val="Sch_24_TDS"/>
      <sheetName val="LA-_lookups"/>
      <sheetName val="Other_assumptions"/>
      <sheetName val="factor_sheet"/>
      <sheetName val="海外WORK"/>
      <sheetName val="dummy"/>
      <sheetName val="labour &amp; Centering"/>
      <sheetName val="phasing"/>
      <sheetName val="wksht"/>
      <sheetName val="D1_CO"/>
      <sheetName val="合成単価作成表-BLDG"/>
      <sheetName val="Connections"/>
      <sheetName val="DWTables"/>
      <sheetName val="Legal Risk Analysis"/>
      <sheetName val="M.R.1"/>
      <sheetName val="Table 4"/>
      <sheetName val="Table 5"/>
      <sheetName val="Table 2"/>
      <sheetName val="Table 27"/>
      <sheetName val="M+L"/>
      <sheetName val="Labour List"/>
      <sheetName val="Material List"/>
      <sheetName val="sheeet7"/>
      <sheetName val="Headings"/>
      <sheetName val="RECURSOS"/>
      <sheetName val="Table"/>
      <sheetName val="CLAMP"/>
      <sheetName val="pipe"/>
      <sheetName val="GM 000"/>
      <sheetName val="INPUT_SHEET"/>
      <sheetName val="GM_000"/>
      <sheetName val="beam-reinft"/>
      <sheetName val="activit-graph  "/>
      <sheetName val="Ward_areas6"/>
      <sheetName val="loads_at_base_of_pier6"/>
      <sheetName val="LOCAL_RATES6"/>
      <sheetName val="labour_coeff6"/>
      <sheetName val="Rates_Basic6"/>
      <sheetName val="Form_66"/>
      <sheetName val="Break_Dw6"/>
      <sheetName val="Staff_Forecast_spread6"/>
      <sheetName val="Detail_1A6"/>
      <sheetName val="Pipe_Supports6"/>
      <sheetName val="Meas_-Hotel_Part6"/>
      <sheetName val="BOQ_Direct_selling_cost6"/>
      <sheetName val="Detail_In_Door_Stad6"/>
      <sheetName val="_bus_bay6"/>
      <sheetName val="doq_46"/>
      <sheetName val="doq_26"/>
      <sheetName val="Per_Unit6"/>
      <sheetName val="2_civil-RA6"/>
      <sheetName val="Works_-_Quote_Sheet6"/>
      <sheetName val="Cat_A_Change_Control6"/>
      <sheetName val="Cost_summary6"/>
      <sheetName val="BOQ_(2)6"/>
      <sheetName val="PointNo_56"/>
      <sheetName val="schedule_nos6"/>
      <sheetName val="RENT_MASTER_FILE6"/>
      <sheetName val="Labor_abs-NMR6"/>
      <sheetName val="Cleaning_&amp;_Grubbing6"/>
      <sheetName val="final_abstract6"/>
      <sheetName val="RCC,Ret__Wall6"/>
      <sheetName val="220_11__BS_6"/>
      <sheetName val="BOQ_-Block_A1"/>
      <sheetName val="SPT_vs_PHI1"/>
      <sheetName val="assumption_sheet1"/>
      <sheetName val="Labour_productivity1"/>
      <sheetName val="Civil_Boq1"/>
      <sheetName val="comp_wall1"/>
      <sheetName val="Basic_Material_Rates(7)1"/>
      <sheetName val="Basic_Rates1"/>
      <sheetName val="Pipe_Bedding1"/>
      <sheetName val="Pile_cap1"/>
      <sheetName val="Final_Bill_of_Material1"/>
      <sheetName val="Main_Gate_House1"/>
      <sheetName val="std_wt_1"/>
      <sheetName val="Balance_Sheet_Details_CMC1"/>
      <sheetName val="COP_Final1"/>
      <sheetName val="Project_Details1"/>
      <sheetName val="Rate_Analysis1"/>
      <sheetName val="beam-reinft-IIInd_floor1"/>
      <sheetName val="PC_Master_List1"/>
      <sheetName val="Brick,_Block_Work1"/>
      <sheetName val="Msht_5F1"/>
      <sheetName val="Site_Dev_BOQ1"/>
      <sheetName val="GM_&amp;_TA1"/>
      <sheetName val="Driveway_Beams1"/>
      <sheetName val="Base_Assumptions1"/>
      <sheetName val="Balance_sheet_DCCDL_Nov_061"/>
      <sheetName val="SITE_OVERHEADS1"/>
      <sheetName val="Mat_-Rates1"/>
      <sheetName val="Plant_Cost1"/>
      <sheetName val="Intro_1"/>
      <sheetName val="Calculation_Sheet1"/>
      <sheetName val="Tender_Summary1"/>
      <sheetName val="Cash_Flow_Input_Data_ISC1"/>
      <sheetName val="Lease_rents1"/>
      <sheetName val="PA-_Consutant_1"/>
      <sheetName val="GROUP_CODE1"/>
      <sheetName val="GR_slab-reinft"/>
      <sheetName val="Structure_Bills_Qty"/>
      <sheetName val="column_heights"/>
      <sheetName val="FY00Budget info"/>
      <sheetName val="pivot"/>
      <sheetName val="Bu_Lookup"/>
      <sheetName val="GL_Lookup"/>
      <sheetName val="Charts"/>
      <sheetName val="Dec resp"/>
      <sheetName val="Jan HC"/>
      <sheetName val="Service Function"/>
      <sheetName val="Income Statement"/>
      <sheetName val="BASIC MATERIALS"/>
      <sheetName val="Base"/>
      <sheetName val="Q3"/>
      <sheetName val="Comp"/>
      <sheetName val="BALANCE SHEET"/>
      <sheetName val="Breakdown Comp"/>
      <sheetName val="Info"/>
      <sheetName val="Instructions"/>
      <sheetName val="R2"/>
      <sheetName val="Field Values"/>
      <sheetName val="Cal"/>
      <sheetName val="Voucher"/>
      <sheetName val="horizontal"/>
      <sheetName val="Basic Input"/>
      <sheetName val="CABLE"/>
      <sheetName val="Transverse"/>
      <sheetName val="Road Detail Est."/>
      <sheetName val="Road data"/>
      <sheetName val="DATA_PILE_RT1_"/>
      <sheetName val="DATA_PILE__SM"/>
      <sheetName val="Control_(In)"/>
      <sheetName val="Fin__Assumpt__-_Sensitivities"/>
      <sheetName val="WORK_TABLE"/>
      <sheetName val="Total_Debtors_Ageing_Sheet"/>
      <sheetName val="Materials_"/>
      <sheetName val="except_wiring"/>
      <sheetName val="appendix_2_5_final_accounts"/>
      <sheetName val="Breakdown_Comp"/>
      <sheetName val="BOQ_2"/>
      <sheetName val="MASTER_RATE_ANALYSIS"/>
      <sheetName val="COS_REP_XLS"/>
      <sheetName val="CAPA_-1"/>
      <sheetName val="company"/>
      <sheetName val="Calculations"/>
      <sheetName val="Depr"/>
      <sheetName val="Interest"/>
      <sheetName val="Sales"/>
      <sheetName val="Schedules"/>
      <sheetName val="Rate Analysi"/>
      <sheetName val="Sensitivity"/>
      <sheetName val="Projects"/>
      <sheetName val="Budget_CF - Overall"/>
      <sheetName val="JOform"/>
      <sheetName val="P1260Projected.5700 Detail"/>
      <sheetName val="P852.5000 Detail"/>
      <sheetName val="P854.5000 Detail"/>
      <sheetName val="P856.5000 Detail"/>
      <sheetName val="P858.5000 Detail"/>
      <sheetName val="P860Baseline.5000 Detail"/>
      <sheetName val="VF Intertool Logic"/>
      <sheetName val="Mech SOR Comparison  "/>
      <sheetName val="Calender"/>
      <sheetName val="EmplTable_1-1"/>
      <sheetName val="#Lookup"/>
      <sheetName val="Grade"/>
      <sheetName val="Nationalties"/>
      <sheetName val="Positions"/>
      <sheetName val="Titles"/>
      <sheetName val="#Configuration"/>
      <sheetName val="Labour_List"/>
      <sheetName val="Material_List"/>
      <sheetName val="activit-graph__"/>
      <sheetName val="Cost_Index"/>
      <sheetName val="GUT_(2)"/>
      <sheetName val="RING_DETAILS"/>
      <sheetName val="Project_Charter"/>
      <sheetName val="Main_sheet"/>
      <sheetName val="labour_&amp;_Centering"/>
      <sheetName val="Chennai_-_Phasing"/>
      <sheetName val="TBAL9697_-group_wise__sdpl8"/>
      <sheetName val="Pacakges_split7"/>
      <sheetName val="Fin_Sum7"/>
      <sheetName val="Name_List7"/>
      <sheetName val="key_dates7"/>
      <sheetName val="Item-_Compact7"/>
      <sheetName val="Material_7"/>
      <sheetName val="Labour_&amp;_Plant7"/>
      <sheetName val="E_&amp;_R8"/>
      <sheetName val="Civil_Works7"/>
      <sheetName val="Staff_Acco_7"/>
      <sheetName val="PRECAST_lightconc-II7"/>
      <sheetName val="CFForecast_detail7"/>
      <sheetName val="Basement_Budget7"/>
      <sheetName val="Extra_Item7"/>
      <sheetName val="Cashflow_projection7"/>
      <sheetName val="Fee_Rate_Summary7"/>
      <sheetName val="IO_List7"/>
      <sheetName val="Stress_Calculation7"/>
      <sheetName val="Fill_this_out_first___7"/>
      <sheetName val="Cash_Flow7"/>
      <sheetName val="Break_up_Sheet7"/>
      <sheetName val="Data_sheet7"/>
      <sheetName val="CABLE_DATA7"/>
      <sheetName val="loads_at_base_of_pier7"/>
      <sheetName val="CHN_WIP7"/>
      <sheetName val="Rates_Basic7"/>
      <sheetName val="Break_Dw7"/>
      <sheetName val="LOCAL_RATES7"/>
      <sheetName val="Pipe_Supports7"/>
      <sheetName val="labour_coeff7"/>
      <sheetName val="Meas_-Hotel_Part7"/>
      <sheetName val="BOQ_Direct_selling_cost7"/>
      <sheetName val="Detail_1A7"/>
      <sheetName val="Staff_Forecast_spread7"/>
      <sheetName val="Ward_areas7"/>
      <sheetName val="Per_Unit7"/>
      <sheetName val="2_civil-RA7"/>
      <sheetName val="Detail_In_Door_Stad7"/>
      <sheetName val="_bus_bay7"/>
      <sheetName val="doq_47"/>
      <sheetName val="doq_27"/>
      <sheetName val="Form_67"/>
      <sheetName val="schedule_nos7"/>
      <sheetName val="BOQ_(2)7"/>
      <sheetName val="RENT_MASTER_FILE7"/>
      <sheetName val="Works_-_Quote_Sheet7"/>
      <sheetName val="Cost_summary7"/>
      <sheetName val="Labor_abs-NMR7"/>
      <sheetName val="PointNo_57"/>
      <sheetName val="Cleaning_&amp;_Grubbing7"/>
      <sheetName val="final_abstract7"/>
      <sheetName val="Cat_A_Change_Control7"/>
      <sheetName val="RCC,Ret__Wall7"/>
      <sheetName val="220_11__BS_7"/>
      <sheetName val="Pile_cap2"/>
      <sheetName val="SPT_vs_PHI2"/>
      <sheetName val="Labour_productivity2"/>
      <sheetName val="Civil_Boq2"/>
      <sheetName val="Pipe_Bedding2"/>
      <sheetName val="BOQ_-Block_A2"/>
      <sheetName val="Basic_Rates2"/>
      <sheetName val="Final_Bill_of_Material2"/>
      <sheetName val="assumption_sheet2"/>
      <sheetName val="Main_Gate_House2"/>
      <sheetName val="std_wt_2"/>
      <sheetName val="Basic_Material_Rates(7)2"/>
      <sheetName val="Rate_Analysis2"/>
      <sheetName val="Project_Details2"/>
      <sheetName val="beam-reinft-IIInd_floor2"/>
      <sheetName val="comp_wall2"/>
      <sheetName val="Balance_Sheet_Details_CMC2"/>
      <sheetName val="Brick,_Block_Work2"/>
      <sheetName val="Msht_5F2"/>
      <sheetName val="Site_Dev_BOQ2"/>
      <sheetName val="COP_Final2"/>
      <sheetName val="PC_Master_List2"/>
      <sheetName val="Base_Assumptions2"/>
      <sheetName val="Balance_sheet_DCCDL_Nov_062"/>
      <sheetName val="SITE_OVERHEADS2"/>
      <sheetName val="Driveway_Beams2"/>
      <sheetName val="GM_&amp;_TA2"/>
      <sheetName val="d-safe_DELUXE1"/>
      <sheetName val="Diawise_steel_abstract1"/>
      <sheetName val="d-safe_specs1"/>
      <sheetName val="Labour_List1"/>
      <sheetName val="Material_List1"/>
      <sheetName val="A_O_R_r11"/>
      <sheetName val="Calculation_Sheet2"/>
      <sheetName val="Tender_Summary2"/>
      <sheetName val="GROUP_CODE2"/>
      <sheetName val="Control_(In)1"/>
      <sheetName val="labour_rates1"/>
      <sheetName val="DATA_PILE_RT1_1"/>
      <sheetName val="DATA_PILE__SM1"/>
      <sheetName val="Cash_Flow_Input_Data_ISC2"/>
      <sheetName val="Plant_Cost2"/>
      <sheetName val="appendix_2_5_final_accounts1"/>
      <sheetName val="Mat_-Rates2"/>
      <sheetName val="Cond_Formt1"/>
      <sheetName val="Project_Details__1"/>
      <sheetName val="PA-_Consutant_2"/>
      <sheetName val="GR_slab-reinft1"/>
      <sheetName val="Structure_Bills_Qty1"/>
      <sheetName val="SGS_ACQ1"/>
      <sheetName val="Sch_24_TDS1"/>
      <sheetName val="LA-_lookups1"/>
      <sheetName val="Other_assumptions1"/>
      <sheetName val="factor_sheet1"/>
      <sheetName val="Fin__Assumpt__-_Sensitivities1"/>
      <sheetName val="WORK_TABLE1"/>
      <sheetName val="column_heights1"/>
      <sheetName val="except_wiring1"/>
      <sheetName val="Intro_2"/>
      <sheetName val="MASTER_RATE_ANALYSIS1"/>
      <sheetName val="activit-graph__1"/>
      <sheetName val="Cost_Index1"/>
      <sheetName val="GUT_(2)1"/>
      <sheetName val="RING_DETAILS1"/>
      <sheetName val="Lease_rents2"/>
      <sheetName val="Contract_Night_Staff1"/>
      <sheetName val="Contract_Day_Staff1"/>
      <sheetName val="Day_Shift1"/>
      <sheetName val="Night_Shift1"/>
      <sheetName val="BOQ_21"/>
      <sheetName val="Total_Debtors_Ageing_Sheet1"/>
      <sheetName val="Materials_1"/>
      <sheetName val="Project_Charter1"/>
      <sheetName val="Main_sheet1"/>
      <sheetName val="labour_&amp;_Centering1"/>
      <sheetName val="Chennai_-_Phasing1"/>
      <sheetName val="Breakdown_Comp1"/>
      <sheetName val="COS_REP_XLS1"/>
      <sheetName val="CAPA_-11"/>
      <sheetName val="INPUT_SHEET1"/>
      <sheetName val="Assump"/>
      <sheetName val="Entrance (C)"/>
      <sheetName val="RA-PT"/>
      <sheetName val="FITZ MORT 94"/>
      <sheetName val="Trial Balance"/>
      <sheetName val="debt schedule"/>
      <sheetName val="Recon"/>
      <sheetName val="conbs"/>
      <sheetName val="AoR Finishing"/>
      <sheetName val="Store Items"/>
      <sheetName val="Sub-Analysis"/>
      <sheetName val="ACS(1)"/>
      <sheetName val="FAS-C(4)"/>
      <sheetName val="CCTV(old)"/>
      <sheetName val="Ave.wtd.rates"/>
      <sheetName val="F4.13"/>
      <sheetName val="Manpower"/>
      <sheetName val="steam outlet"/>
      <sheetName val="Brickwork "/>
      <sheetName val="Finishing items"/>
      <sheetName val="Beams "/>
      <sheetName val="First Floor "/>
      <sheetName val="cf"/>
      <sheetName val="orders"/>
      <sheetName val="Frt-Breakup"/>
      <sheetName val="FIR"/>
      <sheetName val="Mmt"/>
      <sheetName val="sumary(3)"/>
      <sheetName val="3"/>
      <sheetName val="Cash Flow Working"/>
      <sheetName val="Variation Statement"/>
      <sheetName val="07016, Master List-Major Minor"/>
      <sheetName val="section"/>
      <sheetName val="ETP_220VAC DCS"/>
      <sheetName val="site fab&amp;ernstr"/>
      <sheetName val="Input &amp; Calculations"/>
      <sheetName val="Values"/>
      <sheetName val="Project ODC_NDEU"/>
      <sheetName val="3. Elemental Summary"/>
      <sheetName val="3cd Annexure"/>
      <sheetName val="LIST OF MAKES"/>
      <sheetName val="DETAILED  BOQ"/>
      <sheetName val="Navigation Page"/>
    </sheetNames>
    <sheetDataSet>
      <sheetData sheetId="0">
        <row r="1">
          <cell r="A1" t="str">
            <v>CelI_Id</v>
          </cell>
        </row>
      </sheetData>
      <sheetData sheetId="1">
        <row r="1">
          <cell r="A1" t="str">
            <v>CelI_Id</v>
          </cell>
        </row>
      </sheetData>
      <sheetData sheetId="2">
        <row r="1">
          <cell r="A1" t="str">
            <v>CelI_Id</v>
          </cell>
        </row>
      </sheetData>
      <sheetData sheetId="3" refreshError="1">
        <row r="1">
          <cell r="A1" t="str">
            <v>CelI_Id</v>
          </cell>
          <cell r="B1" t="str">
            <v>Planned</v>
          </cell>
        </row>
        <row r="2">
          <cell r="A2">
            <v>10011</v>
          </cell>
          <cell r="B2">
            <v>4</v>
          </cell>
        </row>
        <row r="3">
          <cell r="A3">
            <v>10012</v>
          </cell>
          <cell r="B3">
            <v>4</v>
          </cell>
        </row>
        <row r="4">
          <cell r="A4">
            <v>10013</v>
          </cell>
          <cell r="B4">
            <v>4</v>
          </cell>
        </row>
        <row r="5">
          <cell r="A5">
            <v>10051</v>
          </cell>
          <cell r="B5">
            <v>4</v>
          </cell>
        </row>
        <row r="6">
          <cell r="A6">
            <v>10052</v>
          </cell>
          <cell r="B6">
            <v>4</v>
          </cell>
        </row>
        <row r="7">
          <cell r="A7">
            <v>10053</v>
          </cell>
          <cell r="B7">
            <v>4</v>
          </cell>
        </row>
        <row r="8">
          <cell r="A8">
            <v>10071</v>
          </cell>
          <cell r="B8">
            <v>4</v>
          </cell>
        </row>
        <row r="9">
          <cell r="A9">
            <v>10072</v>
          </cell>
          <cell r="B9">
            <v>4</v>
          </cell>
        </row>
        <row r="10">
          <cell r="A10">
            <v>10073</v>
          </cell>
          <cell r="B10">
            <v>4</v>
          </cell>
        </row>
        <row r="11">
          <cell r="A11">
            <v>10091</v>
          </cell>
          <cell r="B11">
            <v>4</v>
          </cell>
        </row>
        <row r="12">
          <cell r="A12">
            <v>10092</v>
          </cell>
          <cell r="B12">
            <v>4</v>
          </cell>
        </row>
        <row r="13">
          <cell r="A13">
            <v>10093</v>
          </cell>
          <cell r="B13">
            <v>4</v>
          </cell>
        </row>
        <row r="14">
          <cell r="A14">
            <v>10101</v>
          </cell>
          <cell r="B14">
            <v>4</v>
          </cell>
        </row>
        <row r="15">
          <cell r="A15">
            <v>10102</v>
          </cell>
          <cell r="B15">
            <v>4</v>
          </cell>
        </row>
        <row r="16">
          <cell r="A16">
            <v>10103</v>
          </cell>
          <cell r="B16">
            <v>4</v>
          </cell>
        </row>
        <row r="17">
          <cell r="A17">
            <v>10111</v>
          </cell>
          <cell r="B17">
            <v>4</v>
          </cell>
        </row>
        <row r="18">
          <cell r="A18">
            <v>10112</v>
          </cell>
          <cell r="B18">
            <v>4</v>
          </cell>
        </row>
        <row r="19">
          <cell r="A19">
            <v>10113</v>
          </cell>
          <cell r="B19">
            <v>4</v>
          </cell>
        </row>
        <row r="20">
          <cell r="A20">
            <v>10121</v>
          </cell>
          <cell r="B20">
            <v>3</v>
          </cell>
        </row>
        <row r="21">
          <cell r="A21">
            <v>10122</v>
          </cell>
          <cell r="B21">
            <v>4</v>
          </cell>
        </row>
        <row r="22">
          <cell r="A22">
            <v>10123</v>
          </cell>
          <cell r="B22">
            <v>4</v>
          </cell>
        </row>
        <row r="23">
          <cell r="A23">
            <v>10131</v>
          </cell>
          <cell r="B23">
            <v>4</v>
          </cell>
        </row>
        <row r="24">
          <cell r="A24">
            <v>10132</v>
          </cell>
          <cell r="B24">
            <v>4</v>
          </cell>
        </row>
        <row r="25">
          <cell r="A25">
            <v>10133</v>
          </cell>
          <cell r="B25">
            <v>4</v>
          </cell>
        </row>
        <row r="26">
          <cell r="A26">
            <v>10141</v>
          </cell>
          <cell r="B26">
            <v>3</v>
          </cell>
        </row>
        <row r="27">
          <cell r="A27">
            <v>10142</v>
          </cell>
          <cell r="B27">
            <v>4</v>
          </cell>
        </row>
        <row r="28">
          <cell r="A28">
            <v>10143</v>
          </cell>
          <cell r="B28">
            <v>4</v>
          </cell>
        </row>
        <row r="29">
          <cell r="A29">
            <v>10151</v>
          </cell>
          <cell r="B29">
            <v>3</v>
          </cell>
        </row>
        <row r="30">
          <cell r="A30">
            <v>10152</v>
          </cell>
          <cell r="B30">
            <v>4</v>
          </cell>
        </row>
        <row r="31">
          <cell r="A31">
            <v>10153</v>
          </cell>
          <cell r="B31">
            <v>4</v>
          </cell>
        </row>
        <row r="32">
          <cell r="A32">
            <v>10161</v>
          </cell>
          <cell r="B32">
            <v>4</v>
          </cell>
        </row>
        <row r="33">
          <cell r="A33">
            <v>10162</v>
          </cell>
          <cell r="B33">
            <v>5</v>
          </cell>
        </row>
        <row r="34">
          <cell r="A34">
            <v>10163</v>
          </cell>
          <cell r="B34">
            <v>5</v>
          </cell>
        </row>
        <row r="35">
          <cell r="A35">
            <v>10171</v>
          </cell>
          <cell r="B35">
            <v>4</v>
          </cell>
        </row>
        <row r="36">
          <cell r="A36">
            <v>10172</v>
          </cell>
          <cell r="B36">
            <v>4</v>
          </cell>
        </row>
        <row r="37">
          <cell r="A37">
            <v>10173</v>
          </cell>
          <cell r="B37">
            <v>4</v>
          </cell>
        </row>
        <row r="38">
          <cell r="A38">
            <v>10181</v>
          </cell>
          <cell r="B38">
            <v>4</v>
          </cell>
        </row>
        <row r="39">
          <cell r="A39">
            <v>10182</v>
          </cell>
          <cell r="B39">
            <v>3</v>
          </cell>
        </row>
        <row r="40">
          <cell r="A40">
            <v>10183</v>
          </cell>
          <cell r="B40">
            <v>4</v>
          </cell>
        </row>
        <row r="41">
          <cell r="A41">
            <v>10191</v>
          </cell>
          <cell r="B41">
            <v>4</v>
          </cell>
        </row>
        <row r="42">
          <cell r="A42">
            <v>10192</v>
          </cell>
          <cell r="B42">
            <v>5</v>
          </cell>
        </row>
        <row r="43">
          <cell r="A43">
            <v>10193</v>
          </cell>
          <cell r="B43">
            <v>6</v>
          </cell>
        </row>
        <row r="44">
          <cell r="A44">
            <v>10271</v>
          </cell>
          <cell r="B44">
            <v>3</v>
          </cell>
        </row>
        <row r="45">
          <cell r="A45">
            <v>10272</v>
          </cell>
          <cell r="B45">
            <v>3</v>
          </cell>
        </row>
        <row r="46">
          <cell r="A46">
            <v>10273</v>
          </cell>
          <cell r="B46">
            <v>3</v>
          </cell>
        </row>
        <row r="47">
          <cell r="A47">
            <v>10281</v>
          </cell>
          <cell r="B47">
            <v>4</v>
          </cell>
        </row>
        <row r="48">
          <cell r="A48">
            <v>10282</v>
          </cell>
          <cell r="B48">
            <v>4</v>
          </cell>
        </row>
        <row r="49">
          <cell r="A49">
            <v>10283</v>
          </cell>
          <cell r="B49">
            <v>4</v>
          </cell>
        </row>
        <row r="50">
          <cell r="A50">
            <v>10291</v>
          </cell>
          <cell r="B50">
            <v>3</v>
          </cell>
        </row>
        <row r="51">
          <cell r="A51">
            <v>10292</v>
          </cell>
          <cell r="B51">
            <v>2</v>
          </cell>
        </row>
        <row r="52">
          <cell r="A52">
            <v>10293</v>
          </cell>
          <cell r="B52">
            <v>1</v>
          </cell>
        </row>
        <row r="53">
          <cell r="A53">
            <v>10294</v>
          </cell>
          <cell r="B53">
            <v>1</v>
          </cell>
        </row>
        <row r="54">
          <cell r="A54">
            <v>10301</v>
          </cell>
          <cell r="B54">
            <v>1</v>
          </cell>
        </row>
        <row r="55">
          <cell r="A55">
            <v>10302</v>
          </cell>
          <cell r="B55">
            <v>2</v>
          </cell>
        </row>
        <row r="56">
          <cell r="A56">
            <v>10303</v>
          </cell>
          <cell r="B56">
            <v>2</v>
          </cell>
        </row>
        <row r="57">
          <cell r="A57">
            <v>10311</v>
          </cell>
          <cell r="B57">
            <v>2</v>
          </cell>
        </row>
        <row r="58">
          <cell r="A58">
            <v>10312</v>
          </cell>
          <cell r="B58">
            <v>2</v>
          </cell>
        </row>
        <row r="59">
          <cell r="A59">
            <v>10313</v>
          </cell>
          <cell r="B59">
            <v>1</v>
          </cell>
        </row>
        <row r="60">
          <cell r="A60">
            <v>10321</v>
          </cell>
          <cell r="B60">
            <v>2</v>
          </cell>
        </row>
        <row r="61">
          <cell r="A61">
            <v>10322</v>
          </cell>
          <cell r="B61">
            <v>2</v>
          </cell>
        </row>
        <row r="62">
          <cell r="A62">
            <v>10323</v>
          </cell>
          <cell r="B62">
            <v>2</v>
          </cell>
        </row>
        <row r="63">
          <cell r="A63">
            <v>10324</v>
          </cell>
          <cell r="B63">
            <v>2</v>
          </cell>
        </row>
        <row r="64">
          <cell r="A64">
            <v>10331</v>
          </cell>
          <cell r="B64">
            <v>3</v>
          </cell>
        </row>
        <row r="65">
          <cell r="A65">
            <v>10332</v>
          </cell>
          <cell r="B65">
            <v>2</v>
          </cell>
        </row>
        <row r="66">
          <cell r="A66">
            <v>10333</v>
          </cell>
          <cell r="B66">
            <v>2</v>
          </cell>
        </row>
        <row r="67">
          <cell r="A67">
            <v>10334</v>
          </cell>
          <cell r="B67">
            <v>1</v>
          </cell>
        </row>
        <row r="68">
          <cell r="A68">
            <v>10341</v>
          </cell>
          <cell r="B68">
            <v>2</v>
          </cell>
        </row>
        <row r="69">
          <cell r="A69">
            <v>10342</v>
          </cell>
          <cell r="B69">
            <v>2</v>
          </cell>
        </row>
        <row r="70">
          <cell r="A70">
            <v>10343</v>
          </cell>
          <cell r="B70">
            <v>1</v>
          </cell>
        </row>
        <row r="71">
          <cell r="A71">
            <v>10344</v>
          </cell>
          <cell r="B71">
            <v>1</v>
          </cell>
        </row>
        <row r="72">
          <cell r="A72">
            <v>10351</v>
          </cell>
          <cell r="B72">
            <v>1</v>
          </cell>
        </row>
        <row r="73">
          <cell r="A73">
            <v>10352</v>
          </cell>
          <cell r="B73">
            <v>2</v>
          </cell>
        </row>
        <row r="74">
          <cell r="A74">
            <v>10353</v>
          </cell>
          <cell r="B74">
            <v>1</v>
          </cell>
        </row>
        <row r="75">
          <cell r="A75">
            <v>10354</v>
          </cell>
          <cell r="B75">
            <v>2</v>
          </cell>
        </row>
        <row r="76">
          <cell r="A76">
            <v>10361</v>
          </cell>
          <cell r="B76">
            <v>1</v>
          </cell>
        </row>
        <row r="77">
          <cell r="A77">
            <v>10362</v>
          </cell>
          <cell r="B77">
            <v>1</v>
          </cell>
        </row>
        <row r="78">
          <cell r="A78">
            <v>10363</v>
          </cell>
          <cell r="B78">
            <v>2</v>
          </cell>
        </row>
        <row r="79">
          <cell r="A79">
            <v>10364</v>
          </cell>
          <cell r="B79">
            <v>2</v>
          </cell>
        </row>
        <row r="80">
          <cell r="A80">
            <v>10381</v>
          </cell>
          <cell r="B80">
            <v>4</v>
          </cell>
        </row>
        <row r="81">
          <cell r="A81">
            <v>10382</v>
          </cell>
          <cell r="B81">
            <v>4</v>
          </cell>
        </row>
        <row r="82">
          <cell r="A82">
            <v>10383</v>
          </cell>
          <cell r="B82">
            <v>4</v>
          </cell>
        </row>
        <row r="83">
          <cell r="A83">
            <v>10401</v>
          </cell>
          <cell r="B83">
            <v>4</v>
          </cell>
        </row>
        <row r="84">
          <cell r="A84">
            <v>10402</v>
          </cell>
          <cell r="B84">
            <v>4</v>
          </cell>
        </row>
        <row r="85">
          <cell r="A85">
            <v>10403</v>
          </cell>
          <cell r="B85">
            <v>3</v>
          </cell>
        </row>
        <row r="86">
          <cell r="A86">
            <v>10421</v>
          </cell>
          <cell r="B86">
            <v>3</v>
          </cell>
        </row>
        <row r="87">
          <cell r="A87">
            <v>10422</v>
          </cell>
          <cell r="B87">
            <v>4</v>
          </cell>
        </row>
        <row r="88">
          <cell r="A88">
            <v>10423</v>
          </cell>
          <cell r="B88">
            <v>4</v>
          </cell>
        </row>
        <row r="89">
          <cell r="A89">
            <v>10431</v>
          </cell>
          <cell r="B89">
            <v>3</v>
          </cell>
        </row>
        <row r="90">
          <cell r="A90">
            <v>10432</v>
          </cell>
          <cell r="B90">
            <v>5</v>
          </cell>
        </row>
        <row r="91">
          <cell r="A91">
            <v>10433</v>
          </cell>
          <cell r="B91">
            <v>3</v>
          </cell>
        </row>
        <row r="92">
          <cell r="A92">
            <v>10441</v>
          </cell>
          <cell r="B92">
            <v>4</v>
          </cell>
        </row>
        <row r="93">
          <cell r="A93">
            <v>10442</v>
          </cell>
          <cell r="B93">
            <v>3</v>
          </cell>
        </row>
        <row r="94">
          <cell r="A94">
            <v>10443</v>
          </cell>
          <cell r="B94">
            <v>4</v>
          </cell>
        </row>
        <row r="95">
          <cell r="A95">
            <v>10451</v>
          </cell>
          <cell r="B95">
            <v>3</v>
          </cell>
        </row>
        <row r="96">
          <cell r="A96">
            <v>10452</v>
          </cell>
          <cell r="B96">
            <v>2</v>
          </cell>
        </row>
        <row r="97">
          <cell r="A97">
            <v>10453</v>
          </cell>
          <cell r="B97">
            <v>4</v>
          </cell>
        </row>
        <row r="98">
          <cell r="A98">
            <v>10481</v>
          </cell>
          <cell r="B98">
            <v>4</v>
          </cell>
        </row>
        <row r="99">
          <cell r="A99">
            <v>10482</v>
          </cell>
          <cell r="B99">
            <v>4</v>
          </cell>
        </row>
        <row r="100">
          <cell r="A100">
            <v>10483</v>
          </cell>
          <cell r="B100">
            <v>4</v>
          </cell>
        </row>
        <row r="101">
          <cell r="A101">
            <v>10491</v>
          </cell>
          <cell r="B101">
            <v>3</v>
          </cell>
        </row>
        <row r="102">
          <cell r="A102">
            <v>10492</v>
          </cell>
          <cell r="B102">
            <v>4</v>
          </cell>
        </row>
        <row r="103">
          <cell r="A103">
            <v>10493</v>
          </cell>
          <cell r="B103">
            <v>4</v>
          </cell>
        </row>
        <row r="104">
          <cell r="A104">
            <v>10501</v>
          </cell>
          <cell r="B104">
            <v>4</v>
          </cell>
        </row>
        <row r="105">
          <cell r="A105">
            <v>10502</v>
          </cell>
          <cell r="B105">
            <v>3</v>
          </cell>
        </row>
        <row r="106">
          <cell r="A106">
            <v>10503</v>
          </cell>
          <cell r="B106">
            <v>3</v>
          </cell>
        </row>
        <row r="107">
          <cell r="A107">
            <v>10511</v>
          </cell>
          <cell r="B107">
            <v>4</v>
          </cell>
        </row>
        <row r="108">
          <cell r="A108">
            <v>10512</v>
          </cell>
          <cell r="B108">
            <v>3</v>
          </cell>
        </row>
        <row r="109">
          <cell r="A109">
            <v>10513</v>
          </cell>
          <cell r="B109">
            <v>4</v>
          </cell>
        </row>
        <row r="110">
          <cell r="A110">
            <v>10521</v>
          </cell>
          <cell r="B110">
            <v>4</v>
          </cell>
        </row>
        <row r="111">
          <cell r="A111">
            <v>10522</v>
          </cell>
          <cell r="B111">
            <v>4</v>
          </cell>
        </row>
        <row r="112">
          <cell r="A112">
            <v>10523</v>
          </cell>
          <cell r="B112">
            <v>4</v>
          </cell>
        </row>
        <row r="113">
          <cell r="A113">
            <v>10531</v>
          </cell>
          <cell r="B113">
            <v>4</v>
          </cell>
        </row>
        <row r="114">
          <cell r="A114">
            <v>10532</v>
          </cell>
          <cell r="B114">
            <v>3</v>
          </cell>
        </row>
        <row r="115">
          <cell r="A115">
            <v>10533</v>
          </cell>
          <cell r="B115">
            <v>4</v>
          </cell>
        </row>
        <row r="116">
          <cell r="A116">
            <v>10541</v>
          </cell>
          <cell r="B116">
            <v>4</v>
          </cell>
        </row>
        <row r="117">
          <cell r="A117">
            <v>10542</v>
          </cell>
          <cell r="B117">
            <v>4</v>
          </cell>
        </row>
        <row r="118">
          <cell r="A118">
            <v>10543</v>
          </cell>
          <cell r="B118">
            <v>3</v>
          </cell>
        </row>
        <row r="119">
          <cell r="A119">
            <v>10561</v>
          </cell>
          <cell r="B119">
            <v>3</v>
          </cell>
        </row>
        <row r="120">
          <cell r="A120">
            <v>10562</v>
          </cell>
          <cell r="B120">
            <v>4</v>
          </cell>
        </row>
        <row r="121">
          <cell r="A121">
            <v>10563</v>
          </cell>
          <cell r="B121">
            <v>4</v>
          </cell>
        </row>
        <row r="122">
          <cell r="A122">
            <v>10571</v>
          </cell>
          <cell r="B122">
            <v>3</v>
          </cell>
        </row>
        <row r="123">
          <cell r="A123">
            <v>10572</v>
          </cell>
          <cell r="B123">
            <v>4</v>
          </cell>
        </row>
        <row r="124">
          <cell r="A124">
            <v>10573</v>
          </cell>
          <cell r="B124">
            <v>3</v>
          </cell>
        </row>
        <row r="125">
          <cell r="A125">
            <v>10581</v>
          </cell>
          <cell r="B125">
            <v>4</v>
          </cell>
        </row>
        <row r="126">
          <cell r="A126">
            <v>10582</v>
          </cell>
          <cell r="B126">
            <v>4</v>
          </cell>
        </row>
        <row r="127">
          <cell r="A127">
            <v>10583</v>
          </cell>
          <cell r="B127">
            <v>3</v>
          </cell>
        </row>
        <row r="128">
          <cell r="A128">
            <v>10591</v>
          </cell>
          <cell r="B128">
            <v>4</v>
          </cell>
        </row>
        <row r="129">
          <cell r="A129">
            <v>10592</v>
          </cell>
          <cell r="B129">
            <v>3</v>
          </cell>
        </row>
        <row r="130">
          <cell r="A130">
            <v>10593</v>
          </cell>
          <cell r="B130">
            <v>4</v>
          </cell>
        </row>
        <row r="131">
          <cell r="A131">
            <v>10601</v>
          </cell>
          <cell r="B131">
            <v>5</v>
          </cell>
        </row>
        <row r="132">
          <cell r="A132">
            <v>10602</v>
          </cell>
          <cell r="B132">
            <v>4</v>
          </cell>
        </row>
        <row r="133">
          <cell r="A133">
            <v>10603</v>
          </cell>
          <cell r="B133">
            <v>4</v>
          </cell>
        </row>
        <row r="134">
          <cell r="A134">
            <v>10611</v>
          </cell>
          <cell r="B134">
            <v>4</v>
          </cell>
        </row>
        <row r="135">
          <cell r="A135">
            <v>10612</v>
          </cell>
          <cell r="B135">
            <v>4</v>
          </cell>
        </row>
        <row r="136">
          <cell r="A136">
            <v>10613</v>
          </cell>
          <cell r="B136">
            <v>4</v>
          </cell>
        </row>
        <row r="137">
          <cell r="A137">
            <v>10621</v>
          </cell>
          <cell r="B137">
            <v>4</v>
          </cell>
        </row>
        <row r="138">
          <cell r="A138">
            <v>10622</v>
          </cell>
          <cell r="B138">
            <v>4</v>
          </cell>
        </row>
        <row r="139">
          <cell r="A139">
            <v>10623</v>
          </cell>
          <cell r="B139">
            <v>3</v>
          </cell>
        </row>
        <row r="140">
          <cell r="A140">
            <v>10641</v>
          </cell>
          <cell r="B140">
            <v>3</v>
          </cell>
        </row>
        <row r="141">
          <cell r="A141">
            <v>10642</v>
          </cell>
          <cell r="B141">
            <v>4</v>
          </cell>
        </row>
        <row r="142">
          <cell r="A142">
            <v>10643</v>
          </cell>
          <cell r="B142">
            <v>3</v>
          </cell>
        </row>
        <row r="143">
          <cell r="A143">
            <v>10651</v>
          </cell>
          <cell r="B143">
            <v>4</v>
          </cell>
        </row>
        <row r="144">
          <cell r="A144">
            <v>10652</v>
          </cell>
          <cell r="B144">
            <v>4</v>
          </cell>
        </row>
        <row r="145">
          <cell r="A145">
            <v>10653</v>
          </cell>
          <cell r="B145">
            <v>4</v>
          </cell>
        </row>
        <row r="146">
          <cell r="A146">
            <v>10661</v>
          </cell>
          <cell r="B146">
            <v>6</v>
          </cell>
        </row>
        <row r="147">
          <cell r="A147">
            <v>10662</v>
          </cell>
          <cell r="B147">
            <v>3</v>
          </cell>
        </row>
        <row r="148">
          <cell r="A148">
            <v>10663</v>
          </cell>
          <cell r="B148">
            <v>3</v>
          </cell>
        </row>
        <row r="149">
          <cell r="A149">
            <v>10664</v>
          </cell>
          <cell r="B149">
            <v>6</v>
          </cell>
        </row>
        <row r="150">
          <cell r="A150">
            <v>10671</v>
          </cell>
          <cell r="B150">
            <v>4</v>
          </cell>
        </row>
        <row r="151">
          <cell r="A151">
            <v>10672</v>
          </cell>
          <cell r="B151">
            <v>4</v>
          </cell>
        </row>
        <row r="152">
          <cell r="A152">
            <v>10673</v>
          </cell>
          <cell r="B152">
            <v>4</v>
          </cell>
        </row>
        <row r="153">
          <cell r="A153">
            <v>10681</v>
          </cell>
          <cell r="B153">
            <v>3</v>
          </cell>
        </row>
        <row r="154">
          <cell r="A154">
            <v>10682</v>
          </cell>
          <cell r="B154">
            <v>3</v>
          </cell>
        </row>
        <row r="155">
          <cell r="A155">
            <v>10683</v>
          </cell>
          <cell r="B155">
            <v>4</v>
          </cell>
        </row>
        <row r="156">
          <cell r="A156">
            <v>10691</v>
          </cell>
          <cell r="B156">
            <v>3</v>
          </cell>
        </row>
        <row r="157">
          <cell r="A157">
            <v>10692</v>
          </cell>
          <cell r="B157">
            <v>4</v>
          </cell>
        </row>
        <row r="158">
          <cell r="A158">
            <v>10693</v>
          </cell>
          <cell r="B158">
            <v>4</v>
          </cell>
        </row>
        <row r="159">
          <cell r="A159">
            <v>10701</v>
          </cell>
          <cell r="B159">
            <v>4</v>
          </cell>
        </row>
        <row r="160">
          <cell r="A160">
            <v>10702</v>
          </cell>
          <cell r="B160">
            <v>4</v>
          </cell>
        </row>
        <row r="161">
          <cell r="A161">
            <v>10703</v>
          </cell>
          <cell r="B161">
            <v>4</v>
          </cell>
        </row>
        <row r="162">
          <cell r="A162">
            <v>10711</v>
          </cell>
          <cell r="B162">
            <v>3</v>
          </cell>
        </row>
        <row r="163">
          <cell r="A163">
            <v>10712</v>
          </cell>
          <cell r="B163">
            <v>3</v>
          </cell>
        </row>
        <row r="164">
          <cell r="A164">
            <v>10713</v>
          </cell>
          <cell r="B164">
            <v>3</v>
          </cell>
        </row>
        <row r="165">
          <cell r="A165">
            <v>10721</v>
          </cell>
          <cell r="B165">
            <v>4</v>
          </cell>
        </row>
        <row r="166">
          <cell r="A166">
            <v>10722</v>
          </cell>
          <cell r="B166">
            <v>4</v>
          </cell>
        </row>
        <row r="167">
          <cell r="A167">
            <v>10723</v>
          </cell>
          <cell r="B167">
            <v>3</v>
          </cell>
        </row>
        <row r="168">
          <cell r="A168">
            <v>10731</v>
          </cell>
          <cell r="B168">
            <v>4</v>
          </cell>
        </row>
        <row r="169">
          <cell r="A169">
            <v>10732</v>
          </cell>
          <cell r="B169">
            <v>4</v>
          </cell>
        </row>
        <row r="170">
          <cell r="A170">
            <v>10733</v>
          </cell>
          <cell r="B170">
            <v>4</v>
          </cell>
        </row>
        <row r="171">
          <cell r="A171">
            <v>10741</v>
          </cell>
          <cell r="B171">
            <v>4</v>
          </cell>
        </row>
        <row r="172">
          <cell r="A172">
            <v>10742</v>
          </cell>
          <cell r="B172">
            <v>4</v>
          </cell>
        </row>
        <row r="173">
          <cell r="A173">
            <v>10743</v>
          </cell>
          <cell r="B173">
            <v>4</v>
          </cell>
        </row>
        <row r="174">
          <cell r="A174">
            <v>10751</v>
          </cell>
          <cell r="B174">
            <v>4</v>
          </cell>
        </row>
        <row r="175">
          <cell r="A175">
            <v>10752</v>
          </cell>
          <cell r="B175">
            <v>4</v>
          </cell>
        </row>
        <row r="176">
          <cell r="A176">
            <v>10753</v>
          </cell>
          <cell r="B176">
            <v>4</v>
          </cell>
        </row>
        <row r="177">
          <cell r="A177">
            <v>10761</v>
          </cell>
          <cell r="B177">
            <v>4</v>
          </cell>
        </row>
        <row r="178">
          <cell r="A178">
            <v>10762</v>
          </cell>
          <cell r="B178">
            <v>4</v>
          </cell>
        </row>
        <row r="179">
          <cell r="A179">
            <v>10763</v>
          </cell>
          <cell r="B179">
            <v>4</v>
          </cell>
        </row>
        <row r="180">
          <cell r="A180">
            <v>10771</v>
          </cell>
          <cell r="B180">
            <v>4</v>
          </cell>
        </row>
        <row r="181">
          <cell r="A181">
            <v>10772</v>
          </cell>
          <cell r="B181">
            <v>4</v>
          </cell>
        </row>
        <row r="182">
          <cell r="A182">
            <v>10773</v>
          </cell>
          <cell r="B182">
            <v>4</v>
          </cell>
        </row>
        <row r="183">
          <cell r="A183">
            <v>10781</v>
          </cell>
          <cell r="B183">
            <v>6</v>
          </cell>
        </row>
        <row r="184">
          <cell r="A184">
            <v>10782</v>
          </cell>
          <cell r="B184">
            <v>4</v>
          </cell>
        </row>
        <row r="185">
          <cell r="A185">
            <v>10783</v>
          </cell>
          <cell r="B185">
            <v>6</v>
          </cell>
        </row>
        <row r="186">
          <cell r="A186">
            <v>10801</v>
          </cell>
          <cell r="B186">
            <v>2</v>
          </cell>
        </row>
        <row r="187">
          <cell r="A187">
            <v>10802</v>
          </cell>
          <cell r="B187">
            <v>2</v>
          </cell>
        </row>
        <row r="188">
          <cell r="A188">
            <v>10803</v>
          </cell>
          <cell r="B188">
            <v>1</v>
          </cell>
        </row>
        <row r="189">
          <cell r="A189">
            <v>10804</v>
          </cell>
          <cell r="B189">
            <v>2</v>
          </cell>
        </row>
        <row r="190">
          <cell r="A190">
            <v>10811</v>
          </cell>
          <cell r="B190">
            <v>2</v>
          </cell>
        </row>
        <row r="191">
          <cell r="A191">
            <v>10812</v>
          </cell>
          <cell r="B191">
            <v>1</v>
          </cell>
        </row>
        <row r="192">
          <cell r="A192">
            <v>10813</v>
          </cell>
          <cell r="B192">
            <v>1</v>
          </cell>
        </row>
        <row r="193">
          <cell r="A193">
            <v>10814</v>
          </cell>
          <cell r="B193">
            <v>2</v>
          </cell>
        </row>
        <row r="194">
          <cell r="A194">
            <v>10891</v>
          </cell>
          <cell r="B194">
            <v>3</v>
          </cell>
        </row>
        <row r="195">
          <cell r="A195">
            <v>10892</v>
          </cell>
          <cell r="B195">
            <v>2</v>
          </cell>
        </row>
        <row r="196">
          <cell r="A196">
            <v>10893</v>
          </cell>
          <cell r="B196">
            <v>2</v>
          </cell>
        </row>
        <row r="197">
          <cell r="A197">
            <v>10894</v>
          </cell>
          <cell r="B197">
            <v>1</v>
          </cell>
        </row>
        <row r="198">
          <cell r="A198">
            <v>10901</v>
          </cell>
          <cell r="B198">
            <v>1</v>
          </cell>
        </row>
        <row r="199">
          <cell r="A199">
            <v>10902</v>
          </cell>
          <cell r="B199">
            <v>1</v>
          </cell>
        </row>
        <row r="200">
          <cell r="A200">
            <v>10903</v>
          </cell>
          <cell r="B200">
            <v>1</v>
          </cell>
        </row>
        <row r="201">
          <cell r="A201">
            <v>10904</v>
          </cell>
          <cell r="B201">
            <v>2</v>
          </cell>
        </row>
        <row r="202">
          <cell r="A202">
            <v>10921</v>
          </cell>
          <cell r="B202">
            <v>3</v>
          </cell>
        </row>
        <row r="203">
          <cell r="A203">
            <v>10922</v>
          </cell>
          <cell r="B203">
            <v>1</v>
          </cell>
        </row>
        <row r="204">
          <cell r="A204">
            <v>10923</v>
          </cell>
          <cell r="B204">
            <v>3</v>
          </cell>
        </row>
        <row r="205">
          <cell r="A205">
            <v>10924</v>
          </cell>
          <cell r="B205">
            <v>1</v>
          </cell>
        </row>
        <row r="206">
          <cell r="A206">
            <v>10931</v>
          </cell>
          <cell r="B206">
            <v>3</v>
          </cell>
        </row>
        <row r="207">
          <cell r="A207">
            <v>10932</v>
          </cell>
          <cell r="B207">
            <v>4</v>
          </cell>
        </row>
        <row r="208">
          <cell r="A208">
            <v>10933</v>
          </cell>
          <cell r="B208">
            <v>4</v>
          </cell>
        </row>
        <row r="209">
          <cell r="A209">
            <v>10941</v>
          </cell>
          <cell r="B209">
            <v>4</v>
          </cell>
        </row>
        <row r="210">
          <cell r="A210">
            <v>10942</v>
          </cell>
          <cell r="B210">
            <v>4</v>
          </cell>
        </row>
        <row r="211">
          <cell r="A211">
            <v>10943</v>
          </cell>
          <cell r="B211">
            <v>4</v>
          </cell>
        </row>
        <row r="212">
          <cell r="A212">
            <v>10951</v>
          </cell>
          <cell r="B212">
            <v>4</v>
          </cell>
        </row>
        <row r="213">
          <cell r="A213">
            <v>10952</v>
          </cell>
          <cell r="B213">
            <v>4</v>
          </cell>
        </row>
        <row r="214">
          <cell r="A214">
            <v>10953</v>
          </cell>
          <cell r="B214">
            <v>4</v>
          </cell>
        </row>
        <row r="215">
          <cell r="A215">
            <v>10961</v>
          </cell>
          <cell r="B215">
            <v>4</v>
          </cell>
        </row>
        <row r="216">
          <cell r="A216">
            <v>10962</v>
          </cell>
          <cell r="B216">
            <v>4</v>
          </cell>
        </row>
        <row r="217">
          <cell r="A217">
            <v>10963</v>
          </cell>
          <cell r="B217">
            <v>4</v>
          </cell>
        </row>
        <row r="218">
          <cell r="A218">
            <v>10971</v>
          </cell>
          <cell r="B218">
            <v>4</v>
          </cell>
        </row>
        <row r="219">
          <cell r="A219">
            <v>10972</v>
          </cell>
          <cell r="B219">
            <v>4</v>
          </cell>
        </row>
        <row r="220">
          <cell r="A220">
            <v>10973</v>
          </cell>
          <cell r="B220">
            <v>5</v>
          </cell>
        </row>
        <row r="221">
          <cell r="A221">
            <v>10981</v>
          </cell>
          <cell r="B221">
            <v>4</v>
          </cell>
        </row>
        <row r="222">
          <cell r="A222">
            <v>10982</v>
          </cell>
          <cell r="B222">
            <v>4</v>
          </cell>
        </row>
        <row r="223">
          <cell r="A223">
            <v>10991</v>
          </cell>
          <cell r="B223">
            <v>3</v>
          </cell>
        </row>
        <row r="224">
          <cell r="A224">
            <v>10992</v>
          </cell>
          <cell r="B224">
            <v>4</v>
          </cell>
        </row>
        <row r="225">
          <cell r="A225">
            <v>10993</v>
          </cell>
          <cell r="B225">
            <v>4</v>
          </cell>
        </row>
        <row r="226">
          <cell r="A226">
            <v>11031</v>
          </cell>
          <cell r="B226">
            <v>3</v>
          </cell>
        </row>
        <row r="227">
          <cell r="A227">
            <v>11032</v>
          </cell>
          <cell r="B227">
            <v>4</v>
          </cell>
        </row>
        <row r="228">
          <cell r="A228">
            <v>11033</v>
          </cell>
          <cell r="B228">
            <v>4</v>
          </cell>
        </row>
        <row r="229">
          <cell r="A229">
            <v>11051</v>
          </cell>
          <cell r="B229">
            <v>2</v>
          </cell>
        </row>
        <row r="230">
          <cell r="A230">
            <v>11052</v>
          </cell>
          <cell r="B230">
            <v>2</v>
          </cell>
        </row>
        <row r="231">
          <cell r="A231">
            <v>11053</v>
          </cell>
          <cell r="B231">
            <v>2</v>
          </cell>
        </row>
        <row r="232">
          <cell r="A232">
            <v>11054</v>
          </cell>
          <cell r="B232">
            <v>2</v>
          </cell>
        </row>
        <row r="233">
          <cell r="A233">
            <v>11061</v>
          </cell>
          <cell r="B233">
            <v>2</v>
          </cell>
        </row>
        <row r="234">
          <cell r="A234">
            <v>11062</v>
          </cell>
          <cell r="B234">
            <v>2</v>
          </cell>
        </row>
        <row r="235">
          <cell r="A235">
            <v>11063</v>
          </cell>
          <cell r="B235">
            <v>2</v>
          </cell>
        </row>
        <row r="236">
          <cell r="A236">
            <v>11081</v>
          </cell>
          <cell r="B236">
            <v>4</v>
          </cell>
        </row>
        <row r="237">
          <cell r="A237">
            <v>11082</v>
          </cell>
          <cell r="B237">
            <v>4</v>
          </cell>
        </row>
        <row r="238">
          <cell r="A238">
            <v>11083</v>
          </cell>
          <cell r="B238">
            <v>4</v>
          </cell>
        </row>
        <row r="239">
          <cell r="A239">
            <v>11091</v>
          </cell>
          <cell r="B239">
            <v>4</v>
          </cell>
        </row>
        <row r="240">
          <cell r="A240">
            <v>11092</v>
          </cell>
          <cell r="B240">
            <v>4</v>
          </cell>
        </row>
        <row r="241">
          <cell r="A241">
            <v>11093</v>
          </cell>
          <cell r="B241">
            <v>4</v>
          </cell>
        </row>
        <row r="242">
          <cell r="A242">
            <v>11101</v>
          </cell>
          <cell r="B242">
            <v>4</v>
          </cell>
        </row>
        <row r="243">
          <cell r="A243">
            <v>11102</v>
          </cell>
          <cell r="B243">
            <v>3</v>
          </cell>
        </row>
        <row r="244">
          <cell r="A244">
            <v>11103</v>
          </cell>
          <cell r="B244">
            <v>4</v>
          </cell>
        </row>
        <row r="245">
          <cell r="A245">
            <v>11111</v>
          </cell>
          <cell r="B245">
            <v>4</v>
          </cell>
        </row>
        <row r="246">
          <cell r="A246">
            <v>11112</v>
          </cell>
          <cell r="B246">
            <v>4</v>
          </cell>
        </row>
        <row r="247">
          <cell r="A247">
            <v>11113</v>
          </cell>
          <cell r="B247">
            <v>4</v>
          </cell>
        </row>
        <row r="248">
          <cell r="A248">
            <v>11121</v>
          </cell>
          <cell r="B248">
            <v>4</v>
          </cell>
        </row>
        <row r="249">
          <cell r="A249">
            <v>11122</v>
          </cell>
          <cell r="B249">
            <v>4</v>
          </cell>
        </row>
        <row r="250">
          <cell r="A250">
            <v>11123</v>
          </cell>
          <cell r="B250">
            <v>4</v>
          </cell>
        </row>
        <row r="251">
          <cell r="A251">
            <v>11131</v>
          </cell>
          <cell r="B251">
            <v>2</v>
          </cell>
        </row>
        <row r="252">
          <cell r="A252">
            <v>11132</v>
          </cell>
          <cell r="B252">
            <v>2</v>
          </cell>
        </row>
        <row r="253">
          <cell r="A253">
            <v>11133</v>
          </cell>
          <cell r="B253">
            <v>2</v>
          </cell>
        </row>
        <row r="254">
          <cell r="A254">
            <v>11141</v>
          </cell>
          <cell r="B254">
            <v>4</v>
          </cell>
        </row>
        <row r="255">
          <cell r="A255">
            <v>11142</v>
          </cell>
          <cell r="B255">
            <v>4</v>
          </cell>
        </row>
        <row r="256">
          <cell r="A256">
            <v>11143</v>
          </cell>
          <cell r="B256">
            <v>4</v>
          </cell>
        </row>
        <row r="257">
          <cell r="A257">
            <v>11151</v>
          </cell>
          <cell r="B257">
            <v>4</v>
          </cell>
        </row>
        <row r="258">
          <cell r="A258">
            <v>11152</v>
          </cell>
          <cell r="B258">
            <v>4</v>
          </cell>
        </row>
        <row r="259">
          <cell r="A259">
            <v>11153</v>
          </cell>
          <cell r="B259">
            <v>4</v>
          </cell>
        </row>
        <row r="260">
          <cell r="A260">
            <v>11161</v>
          </cell>
          <cell r="B260">
            <v>4</v>
          </cell>
        </row>
        <row r="261">
          <cell r="A261">
            <v>11162</v>
          </cell>
          <cell r="B261">
            <v>4</v>
          </cell>
        </row>
        <row r="262">
          <cell r="A262">
            <v>11163</v>
          </cell>
          <cell r="B262">
            <v>4</v>
          </cell>
        </row>
        <row r="263">
          <cell r="A263">
            <v>11171</v>
          </cell>
          <cell r="B263">
            <v>4</v>
          </cell>
        </row>
        <row r="264">
          <cell r="A264">
            <v>11172</v>
          </cell>
          <cell r="B264">
            <v>4</v>
          </cell>
        </row>
        <row r="265">
          <cell r="A265">
            <v>11173</v>
          </cell>
          <cell r="B265">
            <v>4</v>
          </cell>
        </row>
        <row r="266">
          <cell r="A266">
            <v>11181</v>
          </cell>
          <cell r="B266">
            <v>4</v>
          </cell>
        </row>
        <row r="267">
          <cell r="A267">
            <v>11182</v>
          </cell>
          <cell r="B267">
            <v>3</v>
          </cell>
        </row>
        <row r="268">
          <cell r="A268">
            <v>11183</v>
          </cell>
          <cell r="B268">
            <v>4</v>
          </cell>
        </row>
        <row r="269">
          <cell r="A269">
            <v>11191</v>
          </cell>
          <cell r="B269">
            <v>4</v>
          </cell>
        </row>
        <row r="270">
          <cell r="A270">
            <v>11192</v>
          </cell>
          <cell r="B270">
            <v>4</v>
          </cell>
        </row>
        <row r="271">
          <cell r="A271">
            <v>11193</v>
          </cell>
          <cell r="B271">
            <v>4</v>
          </cell>
        </row>
        <row r="272">
          <cell r="A272">
            <v>11201</v>
          </cell>
          <cell r="B272">
            <v>4</v>
          </cell>
        </row>
        <row r="273">
          <cell r="A273">
            <v>11202</v>
          </cell>
          <cell r="B273">
            <v>4</v>
          </cell>
        </row>
        <row r="274">
          <cell r="A274">
            <v>11203</v>
          </cell>
          <cell r="B274">
            <v>4</v>
          </cell>
        </row>
        <row r="275">
          <cell r="A275">
            <v>11211</v>
          </cell>
          <cell r="B275">
            <v>4</v>
          </cell>
        </row>
        <row r="276">
          <cell r="A276">
            <v>11212</v>
          </cell>
          <cell r="B276">
            <v>4</v>
          </cell>
        </row>
        <row r="277">
          <cell r="A277">
            <v>11213</v>
          </cell>
          <cell r="B277">
            <v>4</v>
          </cell>
        </row>
        <row r="278">
          <cell r="A278">
            <v>11221</v>
          </cell>
          <cell r="B278">
            <v>4</v>
          </cell>
        </row>
        <row r="279">
          <cell r="A279">
            <v>11222</v>
          </cell>
          <cell r="B279">
            <v>4</v>
          </cell>
        </row>
        <row r="280">
          <cell r="A280">
            <v>11223</v>
          </cell>
          <cell r="B280">
            <v>4</v>
          </cell>
        </row>
        <row r="281">
          <cell r="A281">
            <v>11231</v>
          </cell>
          <cell r="B281">
            <v>3</v>
          </cell>
        </row>
        <row r="282">
          <cell r="A282">
            <v>11232</v>
          </cell>
          <cell r="B282">
            <v>4</v>
          </cell>
        </row>
        <row r="283">
          <cell r="A283">
            <v>11233</v>
          </cell>
          <cell r="B283">
            <v>4</v>
          </cell>
        </row>
        <row r="284">
          <cell r="A284">
            <v>11241</v>
          </cell>
          <cell r="B284">
            <v>4</v>
          </cell>
        </row>
        <row r="285">
          <cell r="A285">
            <v>11242</v>
          </cell>
          <cell r="B285">
            <v>4</v>
          </cell>
        </row>
        <row r="286">
          <cell r="A286">
            <v>11243</v>
          </cell>
          <cell r="B286">
            <v>4</v>
          </cell>
        </row>
        <row r="287">
          <cell r="A287">
            <v>11251</v>
          </cell>
          <cell r="B287">
            <v>4</v>
          </cell>
        </row>
        <row r="288">
          <cell r="A288">
            <v>11252</v>
          </cell>
          <cell r="B288">
            <v>4</v>
          </cell>
        </row>
        <row r="289">
          <cell r="A289">
            <v>11253</v>
          </cell>
          <cell r="B289">
            <v>4</v>
          </cell>
        </row>
        <row r="290">
          <cell r="A290">
            <v>11261</v>
          </cell>
          <cell r="B290">
            <v>4</v>
          </cell>
        </row>
        <row r="291">
          <cell r="A291">
            <v>11262</v>
          </cell>
          <cell r="B291">
            <v>3</v>
          </cell>
        </row>
        <row r="292">
          <cell r="A292">
            <v>11263</v>
          </cell>
          <cell r="B292">
            <v>4</v>
          </cell>
        </row>
        <row r="293">
          <cell r="A293">
            <v>11271</v>
          </cell>
          <cell r="B293">
            <v>4</v>
          </cell>
        </row>
        <row r="294">
          <cell r="A294">
            <v>11272</v>
          </cell>
          <cell r="B294">
            <v>4</v>
          </cell>
        </row>
        <row r="295">
          <cell r="A295">
            <v>11273</v>
          </cell>
          <cell r="B295">
            <v>4</v>
          </cell>
        </row>
        <row r="296">
          <cell r="A296">
            <v>11281</v>
          </cell>
          <cell r="B296">
            <v>4</v>
          </cell>
        </row>
        <row r="297">
          <cell r="A297">
            <v>11282</v>
          </cell>
          <cell r="B297">
            <v>4</v>
          </cell>
        </row>
        <row r="298">
          <cell r="A298">
            <v>11283</v>
          </cell>
          <cell r="B298">
            <v>4</v>
          </cell>
        </row>
        <row r="299">
          <cell r="A299">
            <v>11291</v>
          </cell>
          <cell r="B299">
            <v>4</v>
          </cell>
        </row>
        <row r="300">
          <cell r="A300">
            <v>11292</v>
          </cell>
          <cell r="B300">
            <v>4</v>
          </cell>
        </row>
        <row r="301">
          <cell r="A301">
            <v>11293</v>
          </cell>
          <cell r="B301">
            <v>4</v>
          </cell>
        </row>
        <row r="302">
          <cell r="A302">
            <v>11301</v>
          </cell>
          <cell r="B302">
            <v>4</v>
          </cell>
        </row>
        <row r="303">
          <cell r="A303">
            <v>11302</v>
          </cell>
          <cell r="B303">
            <v>3</v>
          </cell>
        </row>
        <row r="304">
          <cell r="A304">
            <v>11303</v>
          </cell>
          <cell r="B304">
            <v>3</v>
          </cell>
        </row>
        <row r="305">
          <cell r="A305">
            <v>11311</v>
          </cell>
          <cell r="B305">
            <v>4</v>
          </cell>
        </row>
        <row r="306">
          <cell r="A306">
            <v>11312</v>
          </cell>
          <cell r="B306">
            <v>3</v>
          </cell>
        </row>
        <row r="307">
          <cell r="A307">
            <v>11313</v>
          </cell>
          <cell r="B307">
            <v>4</v>
          </cell>
        </row>
        <row r="308">
          <cell r="A308">
            <v>11321</v>
          </cell>
          <cell r="B308">
            <v>4</v>
          </cell>
        </row>
        <row r="309">
          <cell r="A309">
            <v>11322</v>
          </cell>
          <cell r="B309">
            <v>4</v>
          </cell>
        </row>
        <row r="310">
          <cell r="A310">
            <v>11323</v>
          </cell>
          <cell r="B310">
            <v>4</v>
          </cell>
        </row>
        <row r="311">
          <cell r="A311">
            <v>11331</v>
          </cell>
          <cell r="B311">
            <v>4</v>
          </cell>
        </row>
        <row r="312">
          <cell r="A312">
            <v>11332</v>
          </cell>
          <cell r="B312">
            <v>3</v>
          </cell>
        </row>
        <row r="313">
          <cell r="A313">
            <v>11333</v>
          </cell>
          <cell r="B313">
            <v>4</v>
          </cell>
        </row>
        <row r="314">
          <cell r="A314">
            <v>11341</v>
          </cell>
          <cell r="B314">
            <v>4</v>
          </cell>
        </row>
        <row r="315">
          <cell r="A315">
            <v>11342</v>
          </cell>
          <cell r="B315">
            <v>4</v>
          </cell>
        </row>
        <row r="316">
          <cell r="A316">
            <v>11343</v>
          </cell>
          <cell r="B316">
            <v>3</v>
          </cell>
        </row>
        <row r="317">
          <cell r="A317">
            <v>11351</v>
          </cell>
          <cell r="B317">
            <v>3</v>
          </cell>
        </row>
        <row r="318">
          <cell r="A318">
            <v>11352</v>
          </cell>
          <cell r="B318">
            <v>4</v>
          </cell>
        </row>
        <row r="319">
          <cell r="A319">
            <v>11353</v>
          </cell>
          <cell r="B319">
            <v>4</v>
          </cell>
        </row>
        <row r="320">
          <cell r="A320">
            <v>11421</v>
          </cell>
          <cell r="B320">
            <v>4</v>
          </cell>
        </row>
        <row r="321">
          <cell r="A321">
            <v>11422</v>
          </cell>
          <cell r="B321">
            <v>4</v>
          </cell>
        </row>
        <row r="322">
          <cell r="A322">
            <v>11423</v>
          </cell>
          <cell r="B322">
            <v>4</v>
          </cell>
        </row>
        <row r="323">
          <cell r="A323">
            <v>11431</v>
          </cell>
          <cell r="B323">
            <v>4</v>
          </cell>
        </row>
        <row r="324">
          <cell r="A324">
            <v>11432</v>
          </cell>
          <cell r="B324">
            <v>4</v>
          </cell>
        </row>
        <row r="325">
          <cell r="A325">
            <v>11433</v>
          </cell>
          <cell r="B325">
            <v>4</v>
          </cell>
        </row>
        <row r="326">
          <cell r="A326">
            <v>11491</v>
          </cell>
          <cell r="B326">
            <v>3</v>
          </cell>
        </row>
        <row r="327">
          <cell r="A327">
            <v>11492</v>
          </cell>
          <cell r="B327">
            <v>3</v>
          </cell>
        </row>
        <row r="328">
          <cell r="A328">
            <v>11493</v>
          </cell>
          <cell r="B328">
            <v>4</v>
          </cell>
        </row>
        <row r="329">
          <cell r="A329">
            <v>11501</v>
          </cell>
          <cell r="B329">
            <v>4</v>
          </cell>
        </row>
        <row r="330">
          <cell r="A330">
            <v>11502</v>
          </cell>
          <cell r="B330">
            <v>4</v>
          </cell>
        </row>
        <row r="331">
          <cell r="A331">
            <v>11503</v>
          </cell>
          <cell r="B331">
            <v>4</v>
          </cell>
        </row>
        <row r="332">
          <cell r="A332">
            <v>11511</v>
          </cell>
          <cell r="B332">
            <v>4</v>
          </cell>
        </row>
        <row r="333">
          <cell r="A333">
            <v>11512</v>
          </cell>
          <cell r="B333">
            <v>3</v>
          </cell>
        </row>
        <row r="334">
          <cell r="A334">
            <v>11513</v>
          </cell>
          <cell r="B334">
            <v>4</v>
          </cell>
        </row>
        <row r="335">
          <cell r="A335">
            <v>11521</v>
          </cell>
          <cell r="B335">
            <v>4</v>
          </cell>
        </row>
        <row r="336">
          <cell r="A336">
            <v>11522</v>
          </cell>
          <cell r="B336">
            <v>4</v>
          </cell>
        </row>
        <row r="337">
          <cell r="A337">
            <v>11523</v>
          </cell>
          <cell r="B337">
            <v>4</v>
          </cell>
        </row>
        <row r="338">
          <cell r="A338">
            <v>11531</v>
          </cell>
          <cell r="B338">
            <v>4</v>
          </cell>
        </row>
        <row r="339">
          <cell r="A339">
            <v>11532</v>
          </cell>
          <cell r="B339">
            <v>4</v>
          </cell>
        </row>
        <row r="340">
          <cell r="A340">
            <v>11533</v>
          </cell>
          <cell r="B340">
            <v>4</v>
          </cell>
        </row>
        <row r="341">
          <cell r="A341">
            <v>11541</v>
          </cell>
          <cell r="B341">
            <v>4</v>
          </cell>
        </row>
        <row r="342">
          <cell r="A342">
            <v>11542</v>
          </cell>
          <cell r="B342">
            <v>4</v>
          </cell>
        </row>
        <row r="343">
          <cell r="A343">
            <v>11543</v>
          </cell>
          <cell r="B343">
            <v>4</v>
          </cell>
        </row>
        <row r="344">
          <cell r="A344">
            <v>11551</v>
          </cell>
          <cell r="B344">
            <v>4</v>
          </cell>
        </row>
        <row r="345">
          <cell r="A345">
            <v>11552</v>
          </cell>
          <cell r="B345">
            <v>4</v>
          </cell>
        </row>
        <row r="346">
          <cell r="A346">
            <v>11553</v>
          </cell>
          <cell r="B346">
            <v>4</v>
          </cell>
        </row>
        <row r="347">
          <cell r="A347">
            <v>11561</v>
          </cell>
          <cell r="B347">
            <v>4</v>
          </cell>
        </row>
        <row r="348">
          <cell r="A348">
            <v>11562</v>
          </cell>
          <cell r="B348">
            <v>4</v>
          </cell>
        </row>
        <row r="349">
          <cell r="A349">
            <v>11563</v>
          </cell>
          <cell r="B349">
            <v>4</v>
          </cell>
        </row>
        <row r="350">
          <cell r="A350">
            <v>11571</v>
          </cell>
          <cell r="B350">
            <v>4</v>
          </cell>
        </row>
        <row r="351">
          <cell r="A351">
            <v>11572</v>
          </cell>
          <cell r="B351">
            <v>4</v>
          </cell>
        </row>
        <row r="352">
          <cell r="A352">
            <v>11573</v>
          </cell>
          <cell r="B352">
            <v>4</v>
          </cell>
        </row>
        <row r="353">
          <cell r="A353">
            <v>11581</v>
          </cell>
          <cell r="B353">
            <v>3</v>
          </cell>
        </row>
        <row r="354">
          <cell r="A354">
            <v>11582</v>
          </cell>
          <cell r="B354">
            <v>2</v>
          </cell>
        </row>
        <row r="355">
          <cell r="A355">
            <v>11583</v>
          </cell>
          <cell r="B355">
            <v>3</v>
          </cell>
        </row>
        <row r="356">
          <cell r="A356">
            <v>11584</v>
          </cell>
          <cell r="B356">
            <v>2</v>
          </cell>
        </row>
        <row r="357">
          <cell r="A357">
            <v>11591</v>
          </cell>
          <cell r="B357">
            <v>4</v>
          </cell>
        </row>
        <row r="358">
          <cell r="A358">
            <v>11592</v>
          </cell>
          <cell r="B358">
            <v>4</v>
          </cell>
        </row>
        <row r="359">
          <cell r="A359">
            <v>11593</v>
          </cell>
          <cell r="B359">
            <v>4</v>
          </cell>
        </row>
        <row r="360">
          <cell r="A360">
            <v>11611</v>
          </cell>
          <cell r="B360">
            <v>4</v>
          </cell>
        </row>
        <row r="361">
          <cell r="A361">
            <v>11612</v>
          </cell>
          <cell r="B361">
            <v>3</v>
          </cell>
        </row>
        <row r="362">
          <cell r="A362">
            <v>11613</v>
          </cell>
          <cell r="B362">
            <v>4</v>
          </cell>
        </row>
        <row r="363">
          <cell r="A363">
            <v>11631</v>
          </cell>
          <cell r="B363">
            <v>3</v>
          </cell>
        </row>
        <row r="364">
          <cell r="A364">
            <v>11632</v>
          </cell>
          <cell r="B364">
            <v>4</v>
          </cell>
        </row>
        <row r="365">
          <cell r="A365">
            <v>11633</v>
          </cell>
          <cell r="B365">
            <v>4</v>
          </cell>
        </row>
        <row r="366">
          <cell r="A366">
            <v>11641</v>
          </cell>
          <cell r="B366">
            <v>4</v>
          </cell>
        </row>
        <row r="367">
          <cell r="A367">
            <v>11642</v>
          </cell>
          <cell r="B367">
            <v>4</v>
          </cell>
        </row>
        <row r="368">
          <cell r="A368">
            <v>11643</v>
          </cell>
          <cell r="B368">
            <v>3</v>
          </cell>
        </row>
        <row r="369">
          <cell r="A369">
            <v>11651</v>
          </cell>
          <cell r="B369">
            <v>4</v>
          </cell>
        </row>
        <row r="370">
          <cell r="A370">
            <v>11652</v>
          </cell>
          <cell r="B370">
            <v>2</v>
          </cell>
        </row>
        <row r="371">
          <cell r="A371">
            <v>11661</v>
          </cell>
          <cell r="B371">
            <v>4</v>
          </cell>
        </row>
        <row r="372">
          <cell r="A372">
            <v>11662</v>
          </cell>
          <cell r="B372">
            <v>4</v>
          </cell>
        </row>
        <row r="373">
          <cell r="A373">
            <v>11663</v>
          </cell>
          <cell r="B373">
            <v>3</v>
          </cell>
        </row>
        <row r="374">
          <cell r="A374">
            <v>11671</v>
          </cell>
          <cell r="B374">
            <v>4</v>
          </cell>
        </row>
        <row r="375">
          <cell r="A375">
            <v>11672</v>
          </cell>
          <cell r="B375">
            <v>3</v>
          </cell>
        </row>
        <row r="376">
          <cell r="A376">
            <v>11673</v>
          </cell>
          <cell r="B376">
            <v>4</v>
          </cell>
        </row>
        <row r="377">
          <cell r="A377">
            <v>11681</v>
          </cell>
          <cell r="B377">
            <v>4</v>
          </cell>
        </row>
        <row r="378">
          <cell r="A378">
            <v>11682</v>
          </cell>
          <cell r="B378">
            <v>4</v>
          </cell>
        </row>
        <row r="379">
          <cell r="A379">
            <v>11683</v>
          </cell>
          <cell r="B379">
            <v>3</v>
          </cell>
        </row>
        <row r="380">
          <cell r="A380">
            <v>11691</v>
          </cell>
          <cell r="B380">
            <v>4</v>
          </cell>
        </row>
        <row r="381">
          <cell r="A381">
            <v>11692</v>
          </cell>
          <cell r="B381">
            <v>4</v>
          </cell>
        </row>
        <row r="382">
          <cell r="A382">
            <v>11693</v>
          </cell>
          <cell r="B382">
            <v>4</v>
          </cell>
        </row>
        <row r="383">
          <cell r="A383">
            <v>11701</v>
          </cell>
          <cell r="B383">
            <v>4</v>
          </cell>
        </row>
        <row r="384">
          <cell r="A384">
            <v>11702</v>
          </cell>
          <cell r="B384">
            <v>3</v>
          </cell>
        </row>
        <row r="385">
          <cell r="A385">
            <v>11703</v>
          </cell>
          <cell r="B385">
            <v>4</v>
          </cell>
        </row>
        <row r="386">
          <cell r="A386">
            <v>11721</v>
          </cell>
          <cell r="B386">
            <v>4</v>
          </cell>
        </row>
        <row r="387">
          <cell r="A387">
            <v>11722</v>
          </cell>
          <cell r="B387">
            <v>4</v>
          </cell>
        </row>
        <row r="388">
          <cell r="A388">
            <v>11723</v>
          </cell>
          <cell r="B388">
            <v>4</v>
          </cell>
        </row>
        <row r="389">
          <cell r="A389">
            <v>11731</v>
          </cell>
          <cell r="B389">
            <v>4</v>
          </cell>
        </row>
        <row r="390">
          <cell r="A390">
            <v>11732</v>
          </cell>
          <cell r="B390">
            <v>4</v>
          </cell>
        </row>
        <row r="391">
          <cell r="A391">
            <v>11733</v>
          </cell>
          <cell r="B391">
            <v>4</v>
          </cell>
        </row>
        <row r="392">
          <cell r="A392">
            <v>11741</v>
          </cell>
          <cell r="B392">
            <v>4</v>
          </cell>
        </row>
        <row r="393">
          <cell r="A393">
            <v>11742</v>
          </cell>
          <cell r="B393">
            <v>4</v>
          </cell>
        </row>
        <row r="394">
          <cell r="A394">
            <v>11743</v>
          </cell>
          <cell r="B394">
            <v>3</v>
          </cell>
        </row>
        <row r="395">
          <cell r="A395">
            <v>11751</v>
          </cell>
          <cell r="B395">
            <v>4</v>
          </cell>
        </row>
        <row r="396">
          <cell r="A396">
            <v>11752</v>
          </cell>
          <cell r="B396">
            <v>3</v>
          </cell>
        </row>
        <row r="397">
          <cell r="A397">
            <v>11753</v>
          </cell>
          <cell r="B397">
            <v>4</v>
          </cell>
        </row>
        <row r="398">
          <cell r="A398">
            <v>11761</v>
          </cell>
          <cell r="B398">
            <v>4</v>
          </cell>
        </row>
        <row r="399">
          <cell r="A399">
            <v>11762</v>
          </cell>
          <cell r="B399">
            <v>4</v>
          </cell>
        </row>
        <row r="400">
          <cell r="A400">
            <v>11763</v>
          </cell>
          <cell r="B400">
            <v>4</v>
          </cell>
        </row>
        <row r="401">
          <cell r="A401">
            <v>11771</v>
          </cell>
          <cell r="B401">
            <v>4</v>
          </cell>
        </row>
        <row r="402">
          <cell r="A402">
            <v>11772</v>
          </cell>
          <cell r="B402">
            <v>4</v>
          </cell>
        </row>
        <row r="403">
          <cell r="A403">
            <v>11773</v>
          </cell>
          <cell r="B403">
            <v>4</v>
          </cell>
        </row>
        <row r="404">
          <cell r="A404">
            <v>11781</v>
          </cell>
          <cell r="B404">
            <v>4</v>
          </cell>
        </row>
        <row r="405">
          <cell r="A405">
            <v>11782</v>
          </cell>
          <cell r="B405">
            <v>3</v>
          </cell>
        </row>
        <row r="406">
          <cell r="A406">
            <v>11783</v>
          </cell>
          <cell r="B406">
            <v>4</v>
          </cell>
        </row>
        <row r="407">
          <cell r="A407">
            <v>11791</v>
          </cell>
          <cell r="B407">
            <v>4</v>
          </cell>
        </row>
        <row r="408">
          <cell r="A408">
            <v>11792</v>
          </cell>
          <cell r="B408">
            <v>4</v>
          </cell>
        </row>
        <row r="409">
          <cell r="A409">
            <v>11793</v>
          </cell>
          <cell r="B409">
            <v>4</v>
          </cell>
        </row>
        <row r="410">
          <cell r="A410">
            <v>11801</v>
          </cell>
          <cell r="B410">
            <v>4</v>
          </cell>
        </row>
        <row r="411">
          <cell r="A411">
            <v>11802</v>
          </cell>
          <cell r="B411">
            <v>4</v>
          </cell>
        </row>
        <row r="412">
          <cell r="A412">
            <v>11803</v>
          </cell>
          <cell r="B412">
            <v>4</v>
          </cell>
        </row>
        <row r="413">
          <cell r="A413">
            <v>11811</v>
          </cell>
          <cell r="B413">
            <v>4</v>
          </cell>
        </row>
        <row r="414">
          <cell r="A414">
            <v>11812</v>
          </cell>
          <cell r="B414">
            <v>4</v>
          </cell>
        </row>
        <row r="415">
          <cell r="A415">
            <v>11813</v>
          </cell>
          <cell r="B415">
            <v>3</v>
          </cell>
        </row>
        <row r="416">
          <cell r="A416">
            <v>11821</v>
          </cell>
          <cell r="B416">
            <v>3</v>
          </cell>
        </row>
        <row r="417">
          <cell r="A417">
            <v>11822</v>
          </cell>
          <cell r="B417">
            <v>4</v>
          </cell>
        </row>
        <row r="418">
          <cell r="A418">
            <v>11823</v>
          </cell>
          <cell r="B418">
            <v>3</v>
          </cell>
        </row>
        <row r="419">
          <cell r="A419">
            <v>11831</v>
          </cell>
          <cell r="B419">
            <v>4</v>
          </cell>
        </row>
        <row r="420">
          <cell r="A420">
            <v>11832</v>
          </cell>
          <cell r="B420">
            <v>4</v>
          </cell>
        </row>
        <row r="421">
          <cell r="A421">
            <v>11833</v>
          </cell>
          <cell r="B421">
            <v>4</v>
          </cell>
        </row>
        <row r="422">
          <cell r="A422">
            <v>11841</v>
          </cell>
          <cell r="B422">
            <v>4</v>
          </cell>
        </row>
        <row r="423">
          <cell r="A423">
            <v>11842</v>
          </cell>
          <cell r="B423">
            <v>4</v>
          </cell>
        </row>
        <row r="424">
          <cell r="A424">
            <v>11843</v>
          </cell>
          <cell r="B424">
            <v>4</v>
          </cell>
        </row>
        <row r="425">
          <cell r="A425">
            <v>11851</v>
          </cell>
          <cell r="B425">
            <v>4</v>
          </cell>
        </row>
        <row r="426">
          <cell r="A426">
            <v>11852</v>
          </cell>
          <cell r="B426">
            <v>4</v>
          </cell>
        </row>
        <row r="427">
          <cell r="A427">
            <v>11853</v>
          </cell>
          <cell r="B427">
            <v>4</v>
          </cell>
        </row>
        <row r="428">
          <cell r="A428">
            <v>11861</v>
          </cell>
          <cell r="B428">
            <v>4</v>
          </cell>
        </row>
        <row r="429">
          <cell r="A429">
            <v>11862</v>
          </cell>
          <cell r="B429">
            <v>3</v>
          </cell>
        </row>
        <row r="430">
          <cell r="A430">
            <v>11863</v>
          </cell>
          <cell r="B430">
            <v>4</v>
          </cell>
        </row>
        <row r="431">
          <cell r="A431">
            <v>11871</v>
          </cell>
          <cell r="B431">
            <v>4</v>
          </cell>
        </row>
        <row r="432">
          <cell r="A432">
            <v>11872</v>
          </cell>
          <cell r="B432">
            <v>4</v>
          </cell>
        </row>
        <row r="433">
          <cell r="A433">
            <v>11873</v>
          </cell>
          <cell r="B433">
            <v>4</v>
          </cell>
        </row>
        <row r="434">
          <cell r="A434">
            <v>11881</v>
          </cell>
          <cell r="B434">
            <v>4</v>
          </cell>
        </row>
        <row r="435">
          <cell r="A435">
            <v>11882</v>
          </cell>
          <cell r="B435">
            <v>3</v>
          </cell>
        </row>
        <row r="436">
          <cell r="A436">
            <v>11883</v>
          </cell>
          <cell r="B436">
            <v>4</v>
          </cell>
        </row>
        <row r="437">
          <cell r="A437">
            <v>11891</v>
          </cell>
          <cell r="B437">
            <v>4</v>
          </cell>
        </row>
        <row r="438">
          <cell r="A438">
            <v>11892</v>
          </cell>
          <cell r="B438">
            <v>4</v>
          </cell>
        </row>
        <row r="439">
          <cell r="A439">
            <v>11893</v>
          </cell>
          <cell r="B439">
            <v>4</v>
          </cell>
        </row>
        <row r="440">
          <cell r="A440">
            <v>11901</v>
          </cell>
          <cell r="B440">
            <v>4</v>
          </cell>
        </row>
        <row r="441">
          <cell r="A441">
            <v>11902</v>
          </cell>
          <cell r="B441">
            <v>4</v>
          </cell>
        </row>
        <row r="442">
          <cell r="A442">
            <v>11903</v>
          </cell>
          <cell r="B442">
            <v>4</v>
          </cell>
        </row>
        <row r="443">
          <cell r="A443">
            <v>11911</v>
          </cell>
          <cell r="B443">
            <v>4</v>
          </cell>
        </row>
        <row r="444">
          <cell r="A444">
            <v>11912</v>
          </cell>
          <cell r="B444">
            <v>4</v>
          </cell>
        </row>
        <row r="445">
          <cell r="A445">
            <v>11913</v>
          </cell>
          <cell r="B445">
            <v>4</v>
          </cell>
        </row>
        <row r="446">
          <cell r="A446">
            <v>11921</v>
          </cell>
          <cell r="B446">
            <v>4</v>
          </cell>
        </row>
        <row r="447">
          <cell r="A447">
            <v>11922</v>
          </cell>
          <cell r="B447">
            <v>4</v>
          </cell>
        </row>
        <row r="448">
          <cell r="A448">
            <v>11923</v>
          </cell>
          <cell r="B448">
            <v>4</v>
          </cell>
        </row>
        <row r="449">
          <cell r="A449">
            <v>11931</v>
          </cell>
          <cell r="B449">
            <v>3</v>
          </cell>
        </row>
        <row r="450">
          <cell r="A450">
            <v>11932</v>
          </cell>
          <cell r="B450">
            <v>3</v>
          </cell>
        </row>
        <row r="451">
          <cell r="A451">
            <v>11933</v>
          </cell>
          <cell r="B451">
            <v>4</v>
          </cell>
        </row>
        <row r="452">
          <cell r="A452">
            <v>11941</v>
          </cell>
          <cell r="B452">
            <v>3</v>
          </cell>
        </row>
        <row r="453">
          <cell r="A453">
            <v>11942</v>
          </cell>
          <cell r="B453">
            <v>3</v>
          </cell>
        </row>
        <row r="454">
          <cell r="A454">
            <v>11943</v>
          </cell>
          <cell r="B454">
            <v>3</v>
          </cell>
        </row>
        <row r="455">
          <cell r="A455">
            <v>11951</v>
          </cell>
          <cell r="B455">
            <v>4</v>
          </cell>
        </row>
        <row r="456">
          <cell r="A456">
            <v>11952</v>
          </cell>
          <cell r="B456">
            <v>4</v>
          </cell>
        </row>
        <row r="457">
          <cell r="A457">
            <v>11953</v>
          </cell>
          <cell r="B457">
            <v>4</v>
          </cell>
        </row>
        <row r="458">
          <cell r="A458">
            <v>11961</v>
          </cell>
          <cell r="B458">
            <v>4</v>
          </cell>
        </row>
        <row r="459">
          <cell r="A459">
            <v>11962</v>
          </cell>
          <cell r="B459">
            <v>4</v>
          </cell>
        </row>
        <row r="460">
          <cell r="A460">
            <v>11963</v>
          </cell>
          <cell r="B460">
            <v>3</v>
          </cell>
        </row>
        <row r="461">
          <cell r="A461">
            <v>11981</v>
          </cell>
          <cell r="B461">
            <v>4</v>
          </cell>
        </row>
        <row r="462">
          <cell r="A462">
            <v>11982</v>
          </cell>
          <cell r="B462">
            <v>4</v>
          </cell>
        </row>
        <row r="463">
          <cell r="A463">
            <v>11983</v>
          </cell>
          <cell r="B463">
            <v>4</v>
          </cell>
        </row>
        <row r="464">
          <cell r="A464">
            <v>11991</v>
          </cell>
          <cell r="B464">
            <v>2</v>
          </cell>
        </row>
        <row r="465">
          <cell r="A465">
            <v>11992</v>
          </cell>
          <cell r="B465">
            <v>2</v>
          </cell>
        </row>
        <row r="466">
          <cell r="A466">
            <v>11993</v>
          </cell>
          <cell r="B466">
            <v>1</v>
          </cell>
        </row>
        <row r="467">
          <cell r="A467">
            <v>15011</v>
          </cell>
          <cell r="B467">
            <v>4</v>
          </cell>
        </row>
        <row r="468">
          <cell r="A468">
            <v>15012</v>
          </cell>
          <cell r="B468">
            <v>3</v>
          </cell>
        </row>
        <row r="469">
          <cell r="A469">
            <v>15013</v>
          </cell>
          <cell r="B469">
            <v>3</v>
          </cell>
        </row>
        <row r="470">
          <cell r="A470">
            <v>15021</v>
          </cell>
          <cell r="B470">
            <v>4</v>
          </cell>
        </row>
        <row r="471">
          <cell r="A471">
            <v>15022</v>
          </cell>
          <cell r="B471">
            <v>3</v>
          </cell>
        </row>
        <row r="472">
          <cell r="A472">
            <v>15023</v>
          </cell>
          <cell r="B472">
            <v>4</v>
          </cell>
        </row>
        <row r="473">
          <cell r="A473">
            <v>15031</v>
          </cell>
          <cell r="B473">
            <v>4</v>
          </cell>
        </row>
        <row r="474">
          <cell r="A474">
            <v>15032</v>
          </cell>
          <cell r="B474">
            <v>4</v>
          </cell>
        </row>
        <row r="475">
          <cell r="A475">
            <v>15033</v>
          </cell>
          <cell r="B475">
            <v>3</v>
          </cell>
        </row>
        <row r="476">
          <cell r="A476">
            <v>15041</v>
          </cell>
          <cell r="B476">
            <v>4</v>
          </cell>
        </row>
        <row r="477">
          <cell r="A477">
            <v>15042</v>
          </cell>
          <cell r="B477">
            <v>3</v>
          </cell>
        </row>
        <row r="478">
          <cell r="A478">
            <v>15043</v>
          </cell>
          <cell r="B478">
            <v>4</v>
          </cell>
        </row>
        <row r="479">
          <cell r="A479">
            <v>15051</v>
          </cell>
          <cell r="B479">
            <v>4</v>
          </cell>
        </row>
        <row r="480">
          <cell r="A480">
            <v>15052</v>
          </cell>
          <cell r="B480">
            <v>3</v>
          </cell>
        </row>
        <row r="481">
          <cell r="A481">
            <v>15053</v>
          </cell>
          <cell r="B481">
            <v>4</v>
          </cell>
        </row>
        <row r="482">
          <cell r="A482">
            <v>15061</v>
          </cell>
          <cell r="B482">
            <v>2</v>
          </cell>
        </row>
        <row r="483">
          <cell r="A483">
            <v>15062</v>
          </cell>
          <cell r="B483">
            <v>2</v>
          </cell>
        </row>
        <row r="484">
          <cell r="A484">
            <v>15063</v>
          </cell>
          <cell r="B484">
            <v>2</v>
          </cell>
        </row>
        <row r="485">
          <cell r="A485">
            <v>15081</v>
          </cell>
          <cell r="B485">
            <v>4</v>
          </cell>
        </row>
        <row r="486">
          <cell r="A486">
            <v>15082</v>
          </cell>
          <cell r="B486">
            <v>3</v>
          </cell>
        </row>
        <row r="487">
          <cell r="A487">
            <v>15083</v>
          </cell>
          <cell r="B487">
            <v>4</v>
          </cell>
        </row>
        <row r="488">
          <cell r="A488">
            <v>15091</v>
          </cell>
          <cell r="B488">
            <v>4</v>
          </cell>
        </row>
        <row r="489">
          <cell r="A489">
            <v>15092</v>
          </cell>
          <cell r="B489">
            <v>4</v>
          </cell>
        </row>
        <row r="490">
          <cell r="A490">
            <v>15093</v>
          </cell>
          <cell r="B490">
            <v>4</v>
          </cell>
        </row>
        <row r="491">
          <cell r="A491">
            <v>15101</v>
          </cell>
          <cell r="B491">
            <v>4</v>
          </cell>
        </row>
        <row r="492">
          <cell r="A492">
            <v>15102</v>
          </cell>
          <cell r="B492">
            <v>4</v>
          </cell>
        </row>
        <row r="493">
          <cell r="A493">
            <v>15103</v>
          </cell>
          <cell r="B493">
            <v>3</v>
          </cell>
        </row>
        <row r="494">
          <cell r="A494">
            <v>15111</v>
          </cell>
          <cell r="B494">
            <v>4</v>
          </cell>
        </row>
        <row r="495">
          <cell r="A495">
            <v>15112</v>
          </cell>
          <cell r="B495">
            <v>4</v>
          </cell>
        </row>
        <row r="496">
          <cell r="A496">
            <v>15113</v>
          </cell>
          <cell r="B496">
            <v>4</v>
          </cell>
        </row>
        <row r="497">
          <cell r="A497">
            <v>15121</v>
          </cell>
          <cell r="B497">
            <v>4</v>
          </cell>
        </row>
        <row r="498">
          <cell r="A498">
            <v>15122</v>
          </cell>
          <cell r="B498">
            <v>4</v>
          </cell>
        </row>
        <row r="499">
          <cell r="A499">
            <v>15123</v>
          </cell>
          <cell r="B499">
            <v>3</v>
          </cell>
        </row>
        <row r="500">
          <cell r="A500">
            <v>15131</v>
          </cell>
          <cell r="B500">
            <v>4</v>
          </cell>
        </row>
        <row r="501">
          <cell r="A501">
            <v>15132</v>
          </cell>
          <cell r="B501">
            <v>3</v>
          </cell>
        </row>
        <row r="502">
          <cell r="A502">
            <v>15133</v>
          </cell>
          <cell r="B502">
            <v>4</v>
          </cell>
        </row>
        <row r="503">
          <cell r="A503">
            <v>15141</v>
          </cell>
          <cell r="B503">
            <v>4</v>
          </cell>
        </row>
        <row r="504">
          <cell r="A504">
            <v>15142</v>
          </cell>
          <cell r="B504">
            <v>3</v>
          </cell>
        </row>
        <row r="505">
          <cell r="A505">
            <v>15143</v>
          </cell>
          <cell r="B505">
            <v>3</v>
          </cell>
        </row>
        <row r="506">
          <cell r="A506">
            <v>15151</v>
          </cell>
          <cell r="B506">
            <v>3</v>
          </cell>
        </row>
        <row r="507">
          <cell r="A507">
            <v>15152</v>
          </cell>
          <cell r="B507">
            <v>3</v>
          </cell>
        </row>
        <row r="508">
          <cell r="A508">
            <v>15153</v>
          </cell>
          <cell r="B508">
            <v>4</v>
          </cell>
        </row>
        <row r="509">
          <cell r="A509">
            <v>15161</v>
          </cell>
          <cell r="B509">
            <v>3</v>
          </cell>
        </row>
        <row r="510">
          <cell r="A510">
            <v>15162</v>
          </cell>
          <cell r="B510">
            <v>3</v>
          </cell>
        </row>
        <row r="511">
          <cell r="A511">
            <v>15163</v>
          </cell>
          <cell r="B511">
            <v>3</v>
          </cell>
        </row>
        <row r="512">
          <cell r="A512">
            <v>15171</v>
          </cell>
          <cell r="B512">
            <v>4</v>
          </cell>
        </row>
        <row r="513">
          <cell r="A513">
            <v>15172</v>
          </cell>
          <cell r="B513">
            <v>3</v>
          </cell>
        </row>
        <row r="514">
          <cell r="A514">
            <v>15173</v>
          </cell>
          <cell r="B514">
            <v>3</v>
          </cell>
        </row>
        <row r="515">
          <cell r="A515">
            <v>15181</v>
          </cell>
          <cell r="B515">
            <v>2</v>
          </cell>
        </row>
        <row r="516">
          <cell r="A516">
            <v>15182</v>
          </cell>
          <cell r="B516">
            <v>2</v>
          </cell>
        </row>
        <row r="517">
          <cell r="A517">
            <v>15183</v>
          </cell>
          <cell r="B517">
            <v>2</v>
          </cell>
        </row>
        <row r="518">
          <cell r="A518">
            <v>15191</v>
          </cell>
          <cell r="B518">
            <v>4</v>
          </cell>
        </row>
        <row r="519">
          <cell r="A519">
            <v>15192</v>
          </cell>
          <cell r="B519">
            <v>4</v>
          </cell>
        </row>
        <row r="520">
          <cell r="A520">
            <v>15193</v>
          </cell>
          <cell r="B520">
            <v>4</v>
          </cell>
        </row>
        <row r="521">
          <cell r="A521">
            <v>15201</v>
          </cell>
          <cell r="B521">
            <v>3</v>
          </cell>
        </row>
        <row r="522">
          <cell r="A522">
            <v>15202</v>
          </cell>
          <cell r="B522">
            <v>4</v>
          </cell>
        </row>
        <row r="523">
          <cell r="A523">
            <v>15203</v>
          </cell>
          <cell r="B523">
            <v>4</v>
          </cell>
        </row>
        <row r="524">
          <cell r="A524">
            <v>15211</v>
          </cell>
          <cell r="B524">
            <v>4</v>
          </cell>
        </row>
        <row r="525">
          <cell r="A525">
            <v>15212</v>
          </cell>
          <cell r="B525">
            <v>4</v>
          </cell>
        </row>
        <row r="526">
          <cell r="A526">
            <v>15213</v>
          </cell>
          <cell r="B526">
            <v>4</v>
          </cell>
        </row>
        <row r="527">
          <cell r="A527">
            <v>15221</v>
          </cell>
          <cell r="B527">
            <v>2</v>
          </cell>
        </row>
        <row r="528">
          <cell r="A528">
            <v>15222</v>
          </cell>
          <cell r="B528">
            <v>3</v>
          </cell>
        </row>
        <row r="529">
          <cell r="A529">
            <v>15223</v>
          </cell>
          <cell r="B529">
            <v>3</v>
          </cell>
        </row>
        <row r="530">
          <cell r="A530">
            <v>15231</v>
          </cell>
          <cell r="B530">
            <v>4</v>
          </cell>
        </row>
        <row r="531">
          <cell r="A531">
            <v>15232</v>
          </cell>
          <cell r="B531">
            <v>4</v>
          </cell>
        </row>
        <row r="532">
          <cell r="A532">
            <v>15233</v>
          </cell>
          <cell r="B532">
            <v>4</v>
          </cell>
        </row>
        <row r="533">
          <cell r="A533">
            <v>15251</v>
          </cell>
          <cell r="B533">
            <v>4</v>
          </cell>
        </row>
        <row r="534">
          <cell r="A534">
            <v>15252</v>
          </cell>
          <cell r="B534">
            <v>4</v>
          </cell>
        </row>
        <row r="535">
          <cell r="A535">
            <v>15253</v>
          </cell>
          <cell r="B535">
            <v>4</v>
          </cell>
        </row>
        <row r="536">
          <cell r="A536">
            <v>15261</v>
          </cell>
          <cell r="B536">
            <v>4</v>
          </cell>
        </row>
        <row r="537">
          <cell r="A537">
            <v>15262</v>
          </cell>
          <cell r="B537">
            <v>3</v>
          </cell>
        </row>
        <row r="538">
          <cell r="A538">
            <v>15263</v>
          </cell>
          <cell r="B538">
            <v>3</v>
          </cell>
        </row>
        <row r="539">
          <cell r="A539">
            <v>15281</v>
          </cell>
          <cell r="B539">
            <v>4</v>
          </cell>
        </row>
        <row r="540">
          <cell r="A540">
            <v>15282</v>
          </cell>
          <cell r="B540">
            <v>4</v>
          </cell>
        </row>
        <row r="541">
          <cell r="A541">
            <v>15283</v>
          </cell>
          <cell r="B541">
            <v>3</v>
          </cell>
        </row>
        <row r="542">
          <cell r="A542">
            <v>15291</v>
          </cell>
          <cell r="B542">
            <v>3</v>
          </cell>
        </row>
        <row r="543">
          <cell r="A543">
            <v>15292</v>
          </cell>
          <cell r="B543">
            <v>4</v>
          </cell>
        </row>
        <row r="544">
          <cell r="A544">
            <v>15293</v>
          </cell>
          <cell r="B544">
            <v>4</v>
          </cell>
        </row>
        <row r="545">
          <cell r="A545">
            <v>15301</v>
          </cell>
          <cell r="B545">
            <v>4</v>
          </cell>
        </row>
        <row r="546">
          <cell r="A546">
            <v>15302</v>
          </cell>
          <cell r="B546">
            <v>3</v>
          </cell>
        </row>
        <row r="547">
          <cell r="A547">
            <v>15303</v>
          </cell>
          <cell r="B547">
            <v>4</v>
          </cell>
        </row>
        <row r="548">
          <cell r="A548">
            <v>15311</v>
          </cell>
          <cell r="B548">
            <v>4</v>
          </cell>
        </row>
        <row r="549">
          <cell r="A549">
            <v>15312</v>
          </cell>
          <cell r="B549">
            <v>3</v>
          </cell>
        </row>
        <row r="550">
          <cell r="A550">
            <v>15313</v>
          </cell>
          <cell r="B550">
            <v>4</v>
          </cell>
        </row>
        <row r="551">
          <cell r="A551">
            <v>15321</v>
          </cell>
          <cell r="B551">
            <v>4</v>
          </cell>
        </row>
        <row r="552">
          <cell r="A552">
            <v>15322</v>
          </cell>
          <cell r="B552">
            <v>4</v>
          </cell>
        </row>
        <row r="553">
          <cell r="A553">
            <v>15323</v>
          </cell>
          <cell r="B553">
            <v>4</v>
          </cell>
        </row>
        <row r="554">
          <cell r="A554">
            <v>15331</v>
          </cell>
          <cell r="B554">
            <v>4</v>
          </cell>
        </row>
        <row r="555">
          <cell r="A555">
            <v>15332</v>
          </cell>
          <cell r="B555">
            <v>4</v>
          </cell>
        </row>
        <row r="556">
          <cell r="A556">
            <v>15333</v>
          </cell>
          <cell r="B556">
            <v>4</v>
          </cell>
        </row>
        <row r="557">
          <cell r="A557">
            <v>15341</v>
          </cell>
          <cell r="B557">
            <v>3</v>
          </cell>
        </row>
        <row r="558">
          <cell r="A558">
            <v>15342</v>
          </cell>
          <cell r="B558">
            <v>4</v>
          </cell>
        </row>
        <row r="559">
          <cell r="A559">
            <v>15343</v>
          </cell>
          <cell r="B559">
            <v>4</v>
          </cell>
        </row>
        <row r="560">
          <cell r="A560">
            <v>15351</v>
          </cell>
          <cell r="B560">
            <v>4</v>
          </cell>
        </row>
        <row r="561">
          <cell r="A561">
            <v>15352</v>
          </cell>
          <cell r="B561">
            <v>4</v>
          </cell>
        </row>
        <row r="562">
          <cell r="A562">
            <v>15353</v>
          </cell>
          <cell r="B562">
            <v>4</v>
          </cell>
        </row>
        <row r="563">
          <cell r="A563">
            <v>15361</v>
          </cell>
          <cell r="B563">
            <v>3</v>
          </cell>
        </row>
        <row r="564">
          <cell r="A564">
            <v>15362</v>
          </cell>
          <cell r="B564">
            <v>3</v>
          </cell>
        </row>
        <row r="565">
          <cell r="A565">
            <v>15363</v>
          </cell>
          <cell r="B565">
            <v>3</v>
          </cell>
        </row>
        <row r="566">
          <cell r="A566">
            <v>15371</v>
          </cell>
          <cell r="B566">
            <v>4</v>
          </cell>
        </row>
        <row r="567">
          <cell r="A567">
            <v>15372</v>
          </cell>
          <cell r="B567">
            <v>4</v>
          </cell>
        </row>
        <row r="568">
          <cell r="A568">
            <v>15373</v>
          </cell>
          <cell r="B568">
            <v>3</v>
          </cell>
        </row>
        <row r="569">
          <cell r="A569">
            <v>15381</v>
          </cell>
          <cell r="B569">
            <v>4</v>
          </cell>
        </row>
        <row r="570">
          <cell r="A570">
            <v>15382</v>
          </cell>
          <cell r="B570">
            <v>4</v>
          </cell>
        </row>
        <row r="571">
          <cell r="A571">
            <v>15383</v>
          </cell>
          <cell r="B571">
            <v>3</v>
          </cell>
        </row>
        <row r="572">
          <cell r="A572">
            <v>15391</v>
          </cell>
          <cell r="B572">
            <v>4</v>
          </cell>
        </row>
        <row r="573">
          <cell r="A573">
            <v>15392</v>
          </cell>
          <cell r="B573">
            <v>3</v>
          </cell>
        </row>
        <row r="574">
          <cell r="A574">
            <v>15393</v>
          </cell>
          <cell r="B574">
            <v>4</v>
          </cell>
        </row>
        <row r="575">
          <cell r="A575">
            <v>15401</v>
          </cell>
          <cell r="B575">
            <v>4</v>
          </cell>
        </row>
        <row r="576">
          <cell r="A576">
            <v>15402</v>
          </cell>
          <cell r="B576">
            <v>4</v>
          </cell>
        </row>
        <row r="577">
          <cell r="A577">
            <v>15403</v>
          </cell>
          <cell r="B577">
            <v>4</v>
          </cell>
        </row>
        <row r="578">
          <cell r="A578">
            <v>15441</v>
          </cell>
          <cell r="B578">
            <v>4</v>
          </cell>
        </row>
        <row r="579">
          <cell r="A579">
            <v>15442</v>
          </cell>
          <cell r="B579">
            <v>4</v>
          </cell>
        </row>
        <row r="580">
          <cell r="A580">
            <v>15443</v>
          </cell>
          <cell r="B580">
            <v>4</v>
          </cell>
        </row>
        <row r="581">
          <cell r="A581">
            <v>15451</v>
          </cell>
          <cell r="B581">
            <v>4</v>
          </cell>
        </row>
        <row r="582">
          <cell r="A582">
            <v>15452</v>
          </cell>
          <cell r="B582">
            <v>3</v>
          </cell>
        </row>
        <row r="583">
          <cell r="A583">
            <v>15453</v>
          </cell>
          <cell r="B583">
            <v>3</v>
          </cell>
        </row>
        <row r="584">
          <cell r="A584">
            <v>15461</v>
          </cell>
          <cell r="B584">
            <v>3</v>
          </cell>
        </row>
        <row r="585">
          <cell r="A585">
            <v>15462</v>
          </cell>
          <cell r="B585">
            <v>4</v>
          </cell>
        </row>
        <row r="586">
          <cell r="A586">
            <v>15463</v>
          </cell>
          <cell r="B586">
            <v>4</v>
          </cell>
        </row>
        <row r="587">
          <cell r="A587">
            <v>15471</v>
          </cell>
          <cell r="B587">
            <v>4</v>
          </cell>
        </row>
        <row r="588">
          <cell r="A588">
            <v>15472</v>
          </cell>
          <cell r="B588">
            <v>3</v>
          </cell>
        </row>
        <row r="589">
          <cell r="A589">
            <v>15473</v>
          </cell>
          <cell r="B589">
            <v>3</v>
          </cell>
        </row>
        <row r="590">
          <cell r="A590">
            <v>15501</v>
          </cell>
          <cell r="B590">
            <v>3</v>
          </cell>
        </row>
        <row r="591">
          <cell r="A591">
            <v>15502</v>
          </cell>
          <cell r="B591">
            <v>3</v>
          </cell>
        </row>
        <row r="592">
          <cell r="A592">
            <v>15503</v>
          </cell>
          <cell r="B592">
            <v>4</v>
          </cell>
        </row>
        <row r="593">
          <cell r="A593">
            <v>15511</v>
          </cell>
          <cell r="B593">
            <v>4</v>
          </cell>
        </row>
        <row r="594">
          <cell r="A594">
            <v>15512</v>
          </cell>
          <cell r="B594">
            <v>4</v>
          </cell>
        </row>
        <row r="595">
          <cell r="A595">
            <v>15513</v>
          </cell>
          <cell r="B595">
            <v>4</v>
          </cell>
        </row>
        <row r="596">
          <cell r="A596">
            <v>15521</v>
          </cell>
          <cell r="B596">
            <v>4</v>
          </cell>
        </row>
        <row r="597">
          <cell r="A597">
            <v>15522</v>
          </cell>
          <cell r="B597">
            <v>4</v>
          </cell>
        </row>
        <row r="598">
          <cell r="A598">
            <v>15523</v>
          </cell>
          <cell r="B598">
            <v>3</v>
          </cell>
        </row>
        <row r="599">
          <cell r="A599">
            <v>15531</v>
          </cell>
          <cell r="B599">
            <v>4</v>
          </cell>
        </row>
        <row r="600">
          <cell r="A600">
            <v>15532</v>
          </cell>
          <cell r="B600">
            <v>3</v>
          </cell>
        </row>
        <row r="601">
          <cell r="A601">
            <v>15533</v>
          </cell>
          <cell r="B601">
            <v>4</v>
          </cell>
        </row>
        <row r="602">
          <cell r="A602">
            <v>15541</v>
          </cell>
          <cell r="B602">
            <v>3</v>
          </cell>
        </row>
        <row r="603">
          <cell r="A603">
            <v>15542</v>
          </cell>
          <cell r="B603">
            <v>3</v>
          </cell>
        </row>
        <row r="604">
          <cell r="A604">
            <v>15543</v>
          </cell>
          <cell r="B604">
            <v>4</v>
          </cell>
        </row>
        <row r="605">
          <cell r="A605">
            <v>15551</v>
          </cell>
          <cell r="B605">
            <v>4</v>
          </cell>
        </row>
        <row r="606">
          <cell r="A606">
            <v>15552</v>
          </cell>
          <cell r="B606">
            <v>3</v>
          </cell>
        </row>
        <row r="607">
          <cell r="A607">
            <v>15553</v>
          </cell>
          <cell r="B607">
            <v>4</v>
          </cell>
        </row>
        <row r="608">
          <cell r="A608">
            <v>15561</v>
          </cell>
          <cell r="B608">
            <v>4</v>
          </cell>
        </row>
        <row r="609">
          <cell r="A609">
            <v>15562</v>
          </cell>
          <cell r="B609">
            <v>4</v>
          </cell>
        </row>
        <row r="610">
          <cell r="A610">
            <v>15563</v>
          </cell>
          <cell r="B610">
            <v>4</v>
          </cell>
        </row>
        <row r="611">
          <cell r="A611">
            <v>15571</v>
          </cell>
          <cell r="B611">
            <v>3</v>
          </cell>
        </row>
        <row r="612">
          <cell r="A612">
            <v>15572</v>
          </cell>
          <cell r="B612">
            <v>3</v>
          </cell>
        </row>
        <row r="613">
          <cell r="A613">
            <v>15573</v>
          </cell>
          <cell r="B613">
            <v>3</v>
          </cell>
        </row>
        <row r="614">
          <cell r="A614">
            <v>15581</v>
          </cell>
          <cell r="B614">
            <v>2</v>
          </cell>
        </row>
        <row r="615">
          <cell r="A615">
            <v>15582</v>
          </cell>
          <cell r="B615">
            <v>2</v>
          </cell>
        </row>
        <row r="616">
          <cell r="A616">
            <v>15583</v>
          </cell>
          <cell r="B616">
            <v>2</v>
          </cell>
        </row>
        <row r="617">
          <cell r="A617">
            <v>15591</v>
          </cell>
          <cell r="B617">
            <v>3</v>
          </cell>
        </row>
        <row r="618">
          <cell r="A618">
            <v>15592</v>
          </cell>
          <cell r="B618">
            <v>2</v>
          </cell>
        </row>
        <row r="619">
          <cell r="A619">
            <v>15593</v>
          </cell>
          <cell r="B619">
            <v>3</v>
          </cell>
        </row>
        <row r="620">
          <cell r="A620">
            <v>15601</v>
          </cell>
          <cell r="B620">
            <v>4</v>
          </cell>
        </row>
        <row r="621">
          <cell r="A621">
            <v>15602</v>
          </cell>
          <cell r="B621">
            <v>3</v>
          </cell>
        </row>
        <row r="622">
          <cell r="A622">
            <v>15603</v>
          </cell>
          <cell r="B622">
            <v>3</v>
          </cell>
        </row>
        <row r="623">
          <cell r="A623">
            <v>15611</v>
          </cell>
          <cell r="B623">
            <v>2</v>
          </cell>
        </row>
        <row r="624">
          <cell r="A624">
            <v>15612</v>
          </cell>
          <cell r="B624">
            <v>2</v>
          </cell>
        </row>
        <row r="625">
          <cell r="A625">
            <v>15613</v>
          </cell>
          <cell r="B625">
            <v>2</v>
          </cell>
        </row>
        <row r="626">
          <cell r="A626">
            <v>15621</v>
          </cell>
          <cell r="B626">
            <v>4</v>
          </cell>
        </row>
        <row r="627">
          <cell r="A627">
            <v>15622</v>
          </cell>
          <cell r="B627">
            <v>4</v>
          </cell>
        </row>
        <row r="628">
          <cell r="A628">
            <v>15623</v>
          </cell>
          <cell r="B628">
            <v>3</v>
          </cell>
        </row>
        <row r="629">
          <cell r="A629">
            <v>15641</v>
          </cell>
          <cell r="B629">
            <v>4</v>
          </cell>
        </row>
        <row r="630">
          <cell r="A630">
            <v>15642</v>
          </cell>
          <cell r="B630">
            <v>3</v>
          </cell>
        </row>
        <row r="631">
          <cell r="A631">
            <v>15643</v>
          </cell>
          <cell r="B631">
            <v>3</v>
          </cell>
        </row>
        <row r="632">
          <cell r="A632">
            <v>15651</v>
          </cell>
          <cell r="B632">
            <v>4</v>
          </cell>
        </row>
        <row r="633">
          <cell r="A633">
            <v>15652</v>
          </cell>
          <cell r="B633">
            <v>4</v>
          </cell>
        </row>
        <row r="634">
          <cell r="A634">
            <v>15653</v>
          </cell>
          <cell r="B634">
            <v>4</v>
          </cell>
        </row>
        <row r="635">
          <cell r="A635">
            <v>15661</v>
          </cell>
          <cell r="B635">
            <v>4</v>
          </cell>
        </row>
        <row r="636">
          <cell r="A636">
            <v>15662</v>
          </cell>
          <cell r="B636">
            <v>4</v>
          </cell>
        </row>
        <row r="637">
          <cell r="A637">
            <v>15663</v>
          </cell>
          <cell r="B637">
            <v>4</v>
          </cell>
        </row>
        <row r="638">
          <cell r="A638">
            <v>15711</v>
          </cell>
          <cell r="B638">
            <v>4</v>
          </cell>
        </row>
        <row r="639">
          <cell r="A639">
            <v>15712</v>
          </cell>
          <cell r="B639">
            <v>4</v>
          </cell>
        </row>
        <row r="640">
          <cell r="A640">
            <v>15713</v>
          </cell>
          <cell r="B640">
            <v>4</v>
          </cell>
        </row>
        <row r="641">
          <cell r="A641">
            <v>15841</v>
          </cell>
          <cell r="B641">
            <v>4</v>
          </cell>
        </row>
        <row r="642">
          <cell r="A642">
            <v>15842</v>
          </cell>
          <cell r="B642">
            <v>4</v>
          </cell>
        </row>
        <row r="643">
          <cell r="A643">
            <v>15843</v>
          </cell>
          <cell r="B643">
            <v>4</v>
          </cell>
        </row>
        <row r="649">
          <cell r="A649" t="str">
            <v>Cell_Id</v>
          </cell>
          <cell r="B649" t="str">
            <v>Conf</v>
          </cell>
        </row>
        <row r="650">
          <cell r="A650" t="e">
            <v>#REF!</v>
          </cell>
          <cell r="B650">
            <v>2</v>
          </cell>
        </row>
        <row r="651">
          <cell r="A651" t="e">
            <v>#REF!</v>
          </cell>
          <cell r="B651">
            <v>2</v>
          </cell>
        </row>
        <row r="652">
          <cell r="A652" t="e">
            <v>#REF!</v>
          </cell>
          <cell r="B652">
            <v>2</v>
          </cell>
        </row>
        <row r="654">
          <cell r="A654" t="e">
            <v>#REF!</v>
          </cell>
          <cell r="B654">
            <v>12</v>
          </cell>
        </row>
        <row r="656">
          <cell r="A656" t="e">
            <v>#REF!</v>
          </cell>
        </row>
        <row r="658">
          <cell r="A658" t="e">
            <v>#REF!</v>
          </cell>
        </row>
        <row r="660">
          <cell r="A660" t="e">
            <v>#REF!</v>
          </cell>
        </row>
        <row r="4368">
          <cell r="A4368">
            <v>11201</v>
          </cell>
          <cell r="B4368">
            <v>8</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refreshError="1"/>
      <sheetData sheetId="616"/>
      <sheetData sheetId="617"/>
      <sheetData sheetId="618" refreshError="1"/>
      <sheetData sheetId="619" refreshError="1"/>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mp;m"/>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bour coeff"/>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alient Features"/>
      <sheetName val="Index"/>
      <sheetName val="LOI"/>
      <sheetName val="construction_schedule"/>
      <sheetName val="top_sheet"/>
      <sheetName val="Offtop-Tender"/>
      <sheetName val="Offtop-Prestart"/>
      <sheetName val="Summary"/>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SHEET 1"/>
      <sheetName val="Sheet1"/>
      <sheetName val="Sheet2"/>
      <sheetName val="Sheet3"/>
      <sheetName val="labour coeff"/>
      <sheetName val="PRECAST lightconc-II"/>
      <sheetName val="Sebtion 1 SumMary"/>
      <sheetName val="DLA Standard Cost Report1"/>
      <sheetName val="Design"/>
      <sheetName val="IO List"/>
      <sheetName val="Macro custom function"/>
      <sheetName val="boq"/>
      <sheetName val="p&amp;m"/>
      <sheetName val="Bill-AAC_old"/>
      <sheetName val="TBAL9697 -group wise  sdpl"/>
      <sheetName val="Tender Summary"/>
      <sheetName val="RA-markate"/>
      <sheetName val="Driveway Beams"/>
      <sheetName val="Data"/>
      <sheetName val="Lead"/>
      <sheetName val="2gii"/>
      <sheetName val="Contract Night Staff"/>
      <sheetName val="Contract Day Staff"/>
      <sheetName val="Day Shift"/>
      <sheetName val="Night Shift"/>
      <sheetName val="Pacakges split"/>
      <sheetName val="Basement Budget"/>
      <sheetName val="Extra Item"/>
      <sheetName val="Database"/>
      <sheetName val="SCHEDULE"/>
      <sheetName val="schedule nos"/>
      <sheetName val="INPUT SHEET"/>
      <sheetName val="RES-PLANNING"/>
      <sheetName val="DEPTH CHART (ORR) L.S."/>
      <sheetName val="Name List"/>
      <sheetName val="Voucher"/>
      <sheetName val="Raft"/>
      <sheetName val="PA- Consutant "/>
      <sheetName val="Stress Calculation"/>
      <sheetName val="Meas.-Hotel Part"/>
      <sheetName val="Break up Sheet"/>
      <sheetName val="Intro"/>
      <sheetName val="strand"/>
      <sheetName val="Pay_Sep06"/>
      <sheetName val="Cashflow projection"/>
      <sheetName val="1st flr"/>
      <sheetName val="Staff Acco."/>
      <sheetName val="dBase"/>
      <sheetName val="Costing"/>
      <sheetName val="Cat A Change Control"/>
      <sheetName val="A-General"/>
      <sheetName val="RCC,Ret. Wall"/>
      <sheetName val="DetEst"/>
      <sheetName val="labour"/>
      <sheetName val="Fin Sum"/>
      <sheetName val="Detail"/>
      <sheetName val="공장별판관비배부"/>
      <sheetName val="VCH-SLC"/>
      <sheetName val="Supplier"/>
      <sheetName val="Deduction of assets"/>
      <sheetName val="Civil Works"/>
      <sheetName val="factors"/>
      <sheetName val="Formulas"/>
      <sheetName val="REL"/>
      <sheetName val="sort2"/>
      <sheetName val="#REF"/>
      <sheetName val="Labour productivity"/>
      <sheetName val="Input"/>
      <sheetName val="1st Slab"/>
      <sheetName val="Order Info"/>
      <sheetName val="SUMRY"/>
      <sheetName val="Lowside"/>
      <sheetName val="FT-05-02IsoBOM"/>
      <sheetName val="Scope Reconciliation"/>
      <sheetName val="analysis"/>
      <sheetName val="LMP"/>
      <sheetName val="01"/>
      <sheetName val="Inputs"/>
      <sheetName val="Details"/>
      <sheetName val="FORM7"/>
      <sheetName val="Project Budget Worksheet"/>
      <sheetName val="box-12"/>
      <sheetName val="Sun E Type"/>
      <sheetName val="PrintManager"/>
      <sheetName val="Assumption"/>
      <sheetName val="BLOCK-A (MEA.SHEET)"/>
      <sheetName val="Approved MTD Proj #'s"/>
      <sheetName val="As per PCA"/>
      <sheetName val="Project Plan - WWW"/>
      <sheetName val="WORK TABLE"/>
      <sheetName val="SITE OVERHEADS"/>
      <sheetName val="Invoice"/>
      <sheetName val="FITZ MORT 94"/>
      <sheetName val="Mar09"/>
      <sheetName val="Data-Month"/>
      <sheetName val="BHANDUP"/>
      <sheetName val="Fee Rate Summary"/>
      <sheetName val="P&amp;L - AD"/>
      <sheetName val="Annexure"/>
      <sheetName val="SILICATE"/>
      <sheetName val="list"/>
      <sheetName val="Capex - Hry"/>
      <sheetName val="LEVEL SHEET"/>
      <sheetName val="SPT vs PHI"/>
      <sheetName val="dummy"/>
      <sheetName val="MASTER_RATE ANALYSIS"/>
      <sheetName val="Rate analysis"/>
      <sheetName val="WORK"/>
      <sheetName val="Build-up"/>
      <sheetName val="HOME"/>
      <sheetName val="datatable"/>
      <sheetName val="COST"/>
      <sheetName val="PARAMETRES"/>
      <sheetName val="GF Columns"/>
      <sheetName val="Deprec."/>
      <sheetName val="gen"/>
      <sheetName val="Parameter"/>
      <sheetName val="PC Master List"/>
      <sheetName val="Field Values"/>
      <sheetName val="cubes_M20"/>
      <sheetName val="Master Data Sheet"/>
      <sheetName val="girder"/>
      <sheetName val="BASIS -DEC 08"/>
      <sheetName val="run"/>
      <sheetName val="Sheet3 (2)"/>
      <sheetName val="Parameters"/>
      <sheetName val="Results"/>
      <sheetName val="PLGroupings"/>
      <sheetName val="FORM-16"/>
      <sheetName val="verrous"/>
      <sheetName val="Site Dev BOQ"/>
      <sheetName val="\TCS, NAGPUR-MANJIRI C\PROGRESS"/>
      <sheetName val="Works - Quote Sheet"/>
      <sheetName val="Item- Compact"/>
      <sheetName val="DSLP"/>
      <sheetName val="DETAILED  BOQ"/>
      <sheetName val="Structure Bills Qty"/>
      <sheetName val="Data Forecast"/>
      <sheetName val="환율"/>
      <sheetName val="Summary_Bank"/>
      <sheetName val="MN T.B."/>
      <sheetName val="Load Details-220kV"/>
      <sheetName val="Improvements"/>
      <sheetName val="Cement recon."/>
      <sheetName val="GBW"/>
      <sheetName val="Civil Boq"/>
      <sheetName val="basic-data"/>
      <sheetName val="mem-property"/>
      <sheetName val="dlvoid"/>
      <sheetName val="Material "/>
      <sheetName val="Sch-3"/>
      <sheetName val=" "/>
      <sheetName val="1"/>
      <sheetName val="COLUMN"/>
      <sheetName val="Cleaning &amp; Grubbing"/>
      <sheetName val="Intro."/>
      <sheetName val="WBS"/>
      <sheetName val="Fcst vs Budgets"/>
      <sheetName val="Levels"/>
      <sheetName val="Material"/>
      <sheetName val="Plant &amp;  Machinery"/>
      <sheetName val="Total Quote"/>
      <sheetName val="Mat_Cost"/>
      <sheetName val="WWR"/>
      <sheetName val="tower"/>
      <sheetName val="CABLERET"/>
      <sheetName val="DLA%20Standard%20Cost%20Report1"/>
      <sheetName val="sc-mar2000"/>
      <sheetName val="óc-sepVdec99"/>
      <sheetName val="Adimi bldg"/>
      <sheetName val="Pump House"/>
      <sheetName val="Fuel Regu Station"/>
      <sheetName val="Factors "/>
      <sheetName val="Budget in SAP"/>
      <sheetName val="SPS DETAIL"/>
      <sheetName val="目录"/>
      <sheetName val="Interface_SC"/>
      <sheetName val="Calc_ISC"/>
      <sheetName val="Calc_SC"/>
      <sheetName val="Interface_ISC"/>
      <sheetName val="GD"/>
      <sheetName val="Intake"/>
      <sheetName val="Basic Rate"/>
      <sheetName val="Headings"/>
      <sheetName val="INDIGINEOUS ITEMS "/>
      <sheetName val="final abstract"/>
      <sheetName val="Main Gate House"/>
      <sheetName val="key dates"/>
      <sheetName val="Actuals"/>
      <sheetName val="Format"/>
      <sheetName val="Conc&amp;steel-assets"/>
      <sheetName val="bom"/>
      <sheetName val="Assumption Inputs"/>
      <sheetName val="Measurment"/>
      <sheetName val="CASHFLOWS"/>
      <sheetName val="India F&amp;S Template"/>
      <sheetName val="HEAD"/>
      <sheetName val="????????"/>
      <sheetName val="calcul"/>
      <sheetName val="concrete"/>
      <sheetName val="inWords"/>
      <sheetName val="FitOutConfCentre"/>
      <sheetName val="M.S."/>
      <sheetName val="_TCS, NAGPUR-MANJIRI C_PROGRESS"/>
      <sheetName val="BOQ T4B"/>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Discount &amp; Margin"/>
      <sheetName val="St.co.91.5lvl"/>
      <sheetName val="Layer Table"/>
      <sheetName val="supply"/>
      <sheetName val="Boq - Flats"/>
      <sheetName val="TEXT"/>
      <sheetName val="DataSheet"/>
      <sheetName val="Variations"/>
      <sheetName val="Criteria"/>
      <sheetName val="Form 6"/>
      <sheetName val="Cost Index"/>
      <sheetName val="F Blk"/>
      <sheetName val="COP Final"/>
      <sheetName val="Bill-12"/>
      <sheetName val="Ra  stair"/>
      <sheetName val="Constants Summary"/>
      <sheetName val="Brand"/>
      <sheetName val="PackSize"/>
      <sheetName val="PackagingType"/>
      <sheetName val="Plant"/>
      <sheetName val="ProductHierarchy"/>
      <sheetName val="PurchGroup"/>
      <sheetName val="Sub-brand"/>
      <sheetName val="UOM"/>
      <sheetName val="Variant"/>
      <sheetName val="Publicbuilding"/>
      <sheetName val="Debits as on 12.04.08"/>
      <sheetName val="Detail In Door Stad"/>
      <sheetName val="P1260Projected.5700 Detail"/>
      <sheetName val="P852.5000 Detail"/>
      <sheetName val="P854.5000 Detail"/>
      <sheetName val="P856.5000 Detail"/>
      <sheetName val="P858.5000 Detail"/>
      <sheetName val="P860Baseline.5000 Detail"/>
      <sheetName val="foot-slab reinft"/>
      <sheetName val="zone-8"/>
      <sheetName val="MHNO_LEV"/>
      <sheetName val="co_5"/>
      <sheetName val="단가비교표"/>
      <sheetName val="SUPPLY -Sanitary Fixtures"/>
      <sheetName val="External"/>
      <sheetName val="ITEMS FOR CIVIL TENDER"/>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Infrastructure"/>
      <sheetName val="1-OBJ98 "/>
      <sheetName val="INTSHEET"/>
      <sheetName val="INTSHEET3"/>
      <sheetName val="master"/>
      <sheetName val="office"/>
      <sheetName val="Lab"/>
      <sheetName val=" Acc. Sched."/>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conc-foot-gradeslab"/>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NAMES"/>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Basic Resources"/>
      <sheetName val="PCC"/>
      <sheetName val="Footing"/>
      <sheetName val="Rate analysis civil"/>
      <sheetName val="Rate Analysis "/>
      <sheetName val="RA"/>
      <sheetName val="02"/>
      <sheetName val="03"/>
      <sheetName val="04"/>
      <sheetName val="Performance Report"/>
      <sheetName val=" bus bay"/>
      <sheetName val="doq-10"/>
      <sheetName val="doq-I"/>
      <sheetName val="doq 4"/>
      <sheetName val="doq 2"/>
      <sheetName val="Labour &amp; Plant"/>
      <sheetName val="CCB"/>
      <sheetName val="currency"/>
      <sheetName val="System"/>
      <sheetName val="BP"/>
      <sheetName val="Monthly Plan May'16"/>
      <sheetName val="S2groupcode"/>
      <sheetName val="estimate"/>
      <sheetName val="Admin"/>
      <sheetName val="Primero Tower Budget"/>
      <sheetName val="________"/>
      <sheetName val="Kristal Court"/>
      <sheetName val="REPAIR&amp; MAINT"/>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Cover_Sheet"/>
      <sheetName val="MenuData"/>
      <sheetName val="BOQ Distribution"/>
      <sheetName val="AOR"/>
      <sheetName val="Hotel"/>
      <sheetName val="Introduction"/>
      <sheetName val="Old"/>
      <sheetName val="Operating Statistics"/>
      <sheetName val="Financials"/>
      <sheetName val="Base Assumptions"/>
      <sheetName val="STAFFSCHED "/>
      <sheetName val="Bill 1-BOQ-Civil Works"/>
      <sheetName val="Cost summary"/>
      <sheetName val="[DLA Standard Cost Report1]\TCS"/>
      <sheetName val="dataCollection"/>
      <sheetName val="[DLA Standard Cost Report1][DLA"/>
      <sheetName val="NT LBH"/>
      <sheetName val="PRSH"/>
      <sheetName val="Wordsdata"/>
      <sheetName val="upa"/>
      <sheetName val="Block A - BOQ"/>
      <sheetName val="Summary year Plan"/>
      <sheetName val="zone-2"/>
      <sheetName val="Z1_DATA"/>
      <sheetName val="EAS"/>
      <sheetName val="Cost_Index"/>
      <sheetName val="ICO_budzet_97"/>
      <sheetName val="Reinforcement"/>
      <sheetName val="Builtup Area"/>
      <sheetName val="Lead (Final)"/>
      <sheetName val="D.UT-MECH"/>
      <sheetName val="Rob. elektr."/>
      <sheetName val="BOQ (2)"/>
      <sheetName val="Rev P"/>
      <sheetName val="3. Elemental Summary"/>
      <sheetName val="9. Package split - Cost "/>
      <sheetName val="10. &amp; 11. Rate Code &amp; BQ"/>
      <sheetName val="Definitions"/>
      <sheetName val="Sales &amp; Prod"/>
      <sheetName val="Blore"/>
      <sheetName val="Chnai"/>
      <sheetName val="Pune"/>
      <sheetName val="CABLE DATA"/>
      <sheetName val="소상 &quot;1&quot;"/>
      <sheetName val="D2_CO"/>
      <sheetName val="bs BP 04 SA"/>
      <sheetName val="Ov%rall Summary"/>
      <sheetName val="R&amp;P"/>
      <sheetName val="Pilling_24"/>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Config"/>
      <sheetName val="Break Dw"/>
      <sheetName val="Inc.St.-Link"/>
      <sheetName val="KLHT"/>
      <sheetName val="Factor Sheet"/>
      <sheetName val="Groupings-final"/>
      <sheetName val="Sched"/>
      <sheetName val="Trial"/>
      <sheetName val="FA_Final"/>
      <sheetName val="Main-Material"/>
      <sheetName val="GiaVL"/>
      <sheetName val="Variation Statement"/>
      <sheetName val="11-02- to 16-02"/>
      <sheetName val="personal."/>
      <sheetName val="Work done "/>
      <sheetName val="tie beam"/>
      <sheetName val="Footings"/>
      <sheetName val="3cd Annexure"/>
      <sheetName val="PROFITABILITY ANALYSIS (MONTH)"/>
      <sheetName val="PROFITABILITY ANALYSIS (YTD)"/>
      <sheetName val="Sheet7"/>
      <sheetName val="BLK2"/>
      <sheetName val="BLK3"/>
      <sheetName val="radar"/>
      <sheetName val="UG"/>
      <sheetName val="Cabinet"/>
      <sheetName val="Variables_x"/>
      <sheetName val="Variables"/>
      <sheetName val="Boiler&amp;TG"/>
      <sheetName val="Quotation"/>
      <sheetName val="Progress"/>
      <sheetName val="DOOR-WIND"/>
      <sheetName val="#REF!"/>
      <sheetName val="CapitalMetrics"/>
      <sheetName val="NetBQ"/>
      <sheetName val="col-reinft1"/>
      <sheetName val="Micro"/>
      <sheetName val="GM &amp; TA"/>
      <sheetName val="Macro"/>
      <sheetName val="Scaff-Rose"/>
      <sheetName val="Aoc"/>
      <sheetName val="Rate all Items"/>
      <sheetName val="GN_ST_10"/>
      <sheetName val="[DLA"/>
      <sheetName val="Combined Results "/>
      <sheetName val="Clause"/>
      <sheetName val="Enquire"/>
      <sheetName val="TOS_N5"/>
      <sheetName val="labour rates"/>
      <sheetName val="MH(on site)"/>
      <sheetName val="site fab&amp;ernstr"/>
      <sheetName val="HR &amp; Admin"/>
      <sheetName val="Costs"/>
      <sheetName val="para"/>
      <sheetName val="kppl pl"/>
      <sheetName val="Col up to plinth"/>
      <sheetName val="Load Details(B2)"/>
      <sheetName val="BBS (F)"/>
      <sheetName val="SP Break Up"/>
      <sheetName val="F.Slab"/>
      <sheetName val="Plinth Beam1"/>
      <sheetName val="BLR 1"/>
      <sheetName val="GAS"/>
      <sheetName val="DEAE"/>
      <sheetName val="BLR2"/>
      <sheetName val="BLR3"/>
      <sheetName val="BLR4"/>
      <sheetName val="BLR5"/>
      <sheetName val="DEM"/>
      <sheetName val="SAM"/>
      <sheetName val="CHEM"/>
      <sheetName val="COP"/>
      <sheetName val="Gen Info"/>
      <sheetName val="Design sheet"/>
      <sheetName val="Master data"/>
      <sheetName val="Final"/>
      <sheetName val="Rate_analysis8"/>
      <sheetName val="PRC_PROG "/>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Global Assm."/>
      <sheetName val="Summary_CFA"/>
      <sheetName val="INDU"/>
      <sheetName val="BOQ LT"/>
      <sheetName val="p1-costg"/>
      <sheetName val="CFForecast detail"/>
      <sheetName val="B2"/>
      <sheetName val="Contractor &amp; Material Price"/>
      <sheetName val="Other"/>
      <sheetName val="Break_Up"/>
      <sheetName val="RESULT"/>
      <sheetName val="BS8007"/>
      <sheetName val="Sheet5"/>
      <sheetName val="Labour Rate "/>
      <sheetName val="(M+L)"/>
      <sheetName val="old boq"/>
      <sheetName val="RCN-L B D"/>
      <sheetName val="Timeoffice"/>
      <sheetName val="Lease rents"/>
      <sheetName val="Sensitivity"/>
      <sheetName val="Figures"/>
      <sheetName val="projections"/>
      <sheetName val="Fill_this_out_first___42"/>
      <sheetName val="Fill_this_out_first___43"/>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4"/>
      <sheetName val="Salient_Features19"/>
      <sheetName val="IDC_AHK_19"/>
      <sheetName val="BOQ_Direct_selling_cost19"/>
      <sheetName val="Monthwise_breakup19"/>
      <sheetName val="Reinf_Analy19"/>
      <sheetName val="Power_anal19"/>
      <sheetName val="SHEET_119"/>
      <sheetName val="PRECAST_lightconc-II19"/>
      <sheetName val="labour_coeff19"/>
      <sheetName val="Sebtion_1_SumMary19"/>
      <sheetName val="DLA_Standard_Cost_Report119"/>
      <sheetName val="IO_List19"/>
      <sheetName val="Macro_custom_function19"/>
      <sheetName val="Staff_Acco_19"/>
      <sheetName val="Pacakges_split19"/>
      <sheetName val="TBAL9697_-group_wise__sdpl19"/>
      <sheetName val="Basement_Budget19"/>
      <sheetName val="Extra_Item19"/>
      <sheetName val="Meas_-Hotel_Part19"/>
      <sheetName val="schedule_nos19"/>
      <sheetName val="INPUT_SHEET19"/>
      <sheetName val="Stress_Calculation19"/>
      <sheetName val="DEPTH_CHART_(ORR)_L_S_19"/>
      <sheetName val="Name_List19"/>
      <sheetName val="PA-_Consutant_19"/>
      <sheetName val="Break_up_Sheet19"/>
      <sheetName val="RCC,Ret__Wall19"/>
      <sheetName val="Tender_Summary19"/>
      <sheetName val="Driveway_Beams19"/>
      <sheetName val="1st_Slab19"/>
      <sheetName val="Contract_Night_Staff19"/>
      <sheetName val="Contract_Day_Staff19"/>
      <sheetName val="Day_Shift19"/>
      <sheetName val="Night_Shift19"/>
      <sheetName val="Cat_A_Change_Control19"/>
      <sheetName val="Cashflow_projection19"/>
      <sheetName val="Deduction_of_assets19"/>
      <sheetName val="Civil_Works19"/>
      <sheetName val="1st_flr19"/>
      <sheetName val="Labour_productivity19"/>
      <sheetName val="Fin_Sum19"/>
      <sheetName val="Project_Budget_Worksheet19"/>
      <sheetName val="Sun_E_Type19"/>
      <sheetName val="BLOCK-A_(MEA_SHEET)19"/>
      <sheetName val="Order_Info19"/>
      <sheetName val="As_per_PCA19"/>
      <sheetName val="Project_Plan_-_WWW19"/>
      <sheetName val="Scope_Reconciliation19"/>
      <sheetName val="WORK_TABLE19"/>
      <sheetName val="Approved_MTD_Proj_#'s19"/>
      <sheetName val="SITE_OVERHEADS19"/>
      <sheetName val="FITZ_MORT_9419"/>
      <sheetName val="GF_Columns19"/>
      <sheetName val="Capex_-_Hry19"/>
      <sheetName val="LEVEL_SHEET19"/>
      <sheetName val="Fee_Rate_Summary19"/>
      <sheetName val="P&amp;L_-_AD19"/>
      <sheetName val="Total_Quote19"/>
      <sheetName val="SPT_vs_PHI19"/>
      <sheetName val="MASTER_RATE_ANALYSIS19"/>
      <sheetName val="Deprec_19"/>
      <sheetName val="Rate_analysis9"/>
      <sheetName val="Sheet3_(2)19"/>
      <sheetName val="Site_Dev_BOQ19"/>
      <sheetName val="Works_-_Quote_Sheet19"/>
      <sheetName val="Item-_Compact19"/>
      <sheetName val="DETAILED__BOQ19"/>
      <sheetName val="Factors_19"/>
      <sheetName val="Budget_in_SAP19"/>
      <sheetName val="Structure_Bills_Qty19"/>
      <sheetName val="PC_Master_List19"/>
      <sheetName val="Field_Values19"/>
      <sheetName val="Data_Forecast19"/>
      <sheetName val="SPS_DETAIL19"/>
      <sheetName val="\TCS,_NAGPUR-MANJIRI_C\PROGRE19"/>
      <sheetName val="BASIS_-DEC_0819"/>
      <sheetName val="MN_T_B_19"/>
      <sheetName val="Basic_Rate19"/>
      <sheetName val="final_abstract19"/>
      <sheetName val="Master_Data_Sheet19"/>
      <sheetName val="Cement_recon_19"/>
      <sheetName val="Load_Details-220kV19"/>
      <sheetName val="Civil_Boq19"/>
      <sheetName val="Material_19"/>
      <sheetName val="Adimi_bldg19"/>
      <sheetName val="Pump_House19"/>
      <sheetName val="Fuel_Regu_Station19"/>
      <sheetName val="INDIGINEOUS_ITEMS_3"/>
      <sheetName val="Main_Gate_House3"/>
      <sheetName val="key_dates3"/>
      <sheetName val="Assumption_Inputs3"/>
      <sheetName val="India_F&amp;S_Template3"/>
      <sheetName val="_19"/>
      <sheetName val="Cleaning_&amp;_Grubbing19"/>
      <sheetName val="Intro_19"/>
      <sheetName val="Fcst_vs_Budgets2"/>
      <sheetName val="Plant_&amp;__Machinery19"/>
      <sheetName val="_TCS,_NAGPUR-MANJIRI_C_PROGRE19"/>
      <sheetName val="BOQ_T4B1"/>
      <sheetName val="Discount_&amp;_Margin1"/>
      <sheetName val="PointNo_519"/>
      <sheetName val="Material_Rates19"/>
      <sheetName val="Cost_Index1"/>
      <sheetName val="Form_619"/>
      <sheetName val="foot-slab_reinft"/>
      <sheetName val="Layer_Table1"/>
      <sheetName val="Constants_Summary19"/>
      <sheetName val="COP_Final1"/>
      <sheetName val="Boq_-_Flats2"/>
      <sheetName val="St_co_91_5lvl1"/>
      <sheetName val="P1260Projected_5700_Detail"/>
      <sheetName val="P852_5000_Detail"/>
      <sheetName val="P854_5000_Detail"/>
      <sheetName val="P856_5000_Detail"/>
      <sheetName val="P858_5000_Detail"/>
      <sheetName val="P860Baseline_5000_Detail"/>
      <sheetName val="1-OBJ98_"/>
      <sheetName val="_Acc__Sched_"/>
      <sheetName val="SUPPLY_-Sanitary_Fixtures"/>
      <sheetName val="ITEMS_FOR_CIVIL_TENDER"/>
      <sheetName val="F_Blk1"/>
      <sheetName val="Labor_abs-NMR"/>
      <sheetName val="M_S_1"/>
      <sheetName val="Ra__stair19"/>
      <sheetName val="Detail_In_Door_Stad"/>
      <sheetName val="Debits_as_on_12_04_08"/>
      <sheetName val="Loan_Schedule"/>
      <sheetName val="Current_Bill_MB_ref"/>
      <sheetName val="beam-reinft-IIInd_floor"/>
      <sheetName val="Kristal_Court"/>
      <sheetName val="Operating_Statistics"/>
      <sheetName val="Data_sheet"/>
      <sheetName val="Per_Unit"/>
      <sheetName val="Rate_analysis_civil"/>
      <sheetName val="Rate_Analysis_"/>
      <sheetName val="Monthly_Plan_May'16"/>
      <sheetName val="Performance_Report"/>
      <sheetName val="_bus_bay"/>
      <sheetName val="doq_4"/>
      <sheetName val="doq_2"/>
      <sheetName val="Labour_&amp;_Plant"/>
      <sheetName val="loads_at_base_of_pier"/>
      <sheetName val="Buying_Schedule"/>
      <sheetName val="CRF_Register"/>
      <sheetName val="E_&amp;_R"/>
      <sheetName val="Primero_Tower_Budget"/>
      <sheetName val="REPAIR&amp;_MAINT22"/>
      <sheetName val="Basic_Resources"/>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bs_BP_04_SA"/>
      <sheetName val="Sales_&amp;_Prod"/>
      <sheetName val="Base_Assumptions"/>
      <sheetName val="Ov%rall_Summary"/>
      <sheetName val="Cost_summary"/>
      <sheetName val="Bill_1-BOQ-Civil_Works"/>
      <sheetName val="BOQ_(2)"/>
      <sheetName val="Rev_P"/>
      <sheetName val="Block_A_-_BOQ"/>
      <sheetName val="Summary_year_Plan"/>
      <sheetName val="BOQ_Distribution"/>
      <sheetName val="3__Elemental_Summary"/>
      <sheetName val="9__Package_split_-_Cost_"/>
      <sheetName val="10__&amp;_11__Rate_Code_&amp;_BQ"/>
      <sheetName val="[DLA_Standard_Cost_Report1][DLA"/>
      <sheetName val="소상_&quot;1&quot;"/>
      <sheetName val="labour_rates"/>
      <sheetName val="STAFFSCHED_"/>
      <sheetName val="Factor_Sheet"/>
      <sheetName val="NT_LBH"/>
      <sheetName val="Builtup_Area"/>
      <sheetName val="Lead_(Final)"/>
      <sheetName val="D_UT-MECH"/>
      <sheetName val="Rob__elektr_"/>
      <sheetName val="CABLE_DATA"/>
      <sheetName val="Combined_Results_"/>
      <sheetName val="Contractor_&amp;_Material_Price"/>
      <sheetName val="Forecast_Variance_Planning_hrs1"/>
      <sheetName val="Raw_Data19"/>
      <sheetName val="PRC_PROG_1"/>
      <sheetName val="Val_breakdown1"/>
      <sheetName val="Orç__Estrelas_Santiago1"/>
      <sheetName val="Bill_No_31"/>
      <sheetName val="GM_&amp;_TA"/>
      <sheetName val="Master_data"/>
      <sheetName val="Design_sheet"/>
      <sheetName val="Gen_Info"/>
      <sheetName val="[DLA_Standard_Cost_Report1]\TCS"/>
      <sheetName val="F_Slab"/>
      <sheetName val="Plinth_Beam1"/>
      <sheetName val="Basic Rates"/>
      <sheetName val="BBSR_12.00 Acre - THDC"/>
      <sheetName val="Bank Rev"/>
      <sheetName val="sum"/>
      <sheetName val="Dev Sum"/>
      <sheetName val="Estimation"/>
      <sheetName val="HPL"/>
      <sheetName val="Fill_this_out_first___45"/>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6"/>
      <sheetName val="Salient_Features20"/>
      <sheetName val="IDC_AHK_20"/>
      <sheetName val="BOQ_Direct_selling_cost20"/>
      <sheetName val="Monthwise_breakup20"/>
      <sheetName val="Reinf_Analy20"/>
      <sheetName val="Power_anal20"/>
      <sheetName val="SHEET_120"/>
      <sheetName val="PRECAST_lightconc-II20"/>
      <sheetName val="labour_coeff20"/>
      <sheetName val="Sebtion_1_SumMary20"/>
      <sheetName val="DLA_Standard_Cost_Report120"/>
      <sheetName val="IO_List20"/>
      <sheetName val="Macro_custom_function20"/>
      <sheetName val="Staff_Acco_20"/>
      <sheetName val="Pacakges_split20"/>
      <sheetName val="TBAL9697_-group_wise__sdpl20"/>
      <sheetName val="Basement_Budget20"/>
      <sheetName val="Extra_Item20"/>
      <sheetName val="Meas_-Hotel_Part20"/>
      <sheetName val="schedule_nos20"/>
      <sheetName val="INPUT_SHEET20"/>
      <sheetName val="Stress_Calculation20"/>
      <sheetName val="DEPTH_CHART_(ORR)_L_S_20"/>
      <sheetName val="Name_List20"/>
      <sheetName val="PA-_Consutant_20"/>
      <sheetName val="Break_up_Sheet20"/>
      <sheetName val="RCC,Ret__Wall20"/>
      <sheetName val="Tender_Summary20"/>
      <sheetName val="Driveway_Beams20"/>
      <sheetName val="1st_Slab20"/>
      <sheetName val="Contract_Night_Staff20"/>
      <sheetName val="Contract_Day_Staff20"/>
      <sheetName val="Day_Shift20"/>
      <sheetName val="Night_Shift20"/>
      <sheetName val="Cat_A_Change_Control20"/>
      <sheetName val="Cashflow_projection20"/>
      <sheetName val="Deduction_of_assets20"/>
      <sheetName val="Civil_Works20"/>
      <sheetName val="1st_flr20"/>
      <sheetName val="Labour_productivity20"/>
      <sheetName val="Fin_Sum20"/>
      <sheetName val="Project_Budget_Worksheet20"/>
      <sheetName val="Sun_E_Type20"/>
      <sheetName val="BLOCK-A_(MEA_SHEET)20"/>
      <sheetName val="Order_Info20"/>
      <sheetName val="As_per_PCA20"/>
      <sheetName val="Project_Plan_-_WWW20"/>
      <sheetName val="Scope_Reconciliation20"/>
      <sheetName val="WORK_TABLE20"/>
      <sheetName val="Approved_MTD_Proj_#'s20"/>
      <sheetName val="SITE_OVERHEADS20"/>
      <sheetName val="FITZ_MORT_9420"/>
      <sheetName val="GF_Columns20"/>
      <sheetName val="Capex_-_Hry20"/>
      <sheetName val="LEVEL_SHEET20"/>
      <sheetName val="Fee_Rate_Summary20"/>
      <sheetName val="P&amp;L_-_AD20"/>
      <sheetName val="Total_Quote20"/>
      <sheetName val="SPT_vs_PHI20"/>
      <sheetName val="MASTER_RATE_ANALYSIS20"/>
      <sheetName val="Deprec_20"/>
      <sheetName val="Rate_analysis10"/>
      <sheetName val="Sheet3_(2)20"/>
      <sheetName val="Site_Dev_BOQ20"/>
      <sheetName val="Works_-_Quote_Sheet20"/>
      <sheetName val="Item-_Compact20"/>
      <sheetName val="DETAILED__BOQ20"/>
      <sheetName val="Factors_20"/>
      <sheetName val="Budget_in_SAP20"/>
      <sheetName val="Structure_Bills_Qty20"/>
      <sheetName val="PC_Master_List20"/>
      <sheetName val="Field_Values20"/>
      <sheetName val="Data_Forecast20"/>
      <sheetName val="SPS_DETAIL20"/>
      <sheetName val="\TCS,_NAGPUR-MANJIRI_C\PROGRE20"/>
      <sheetName val="BASIS_-DEC_0820"/>
      <sheetName val="MN_T_B_20"/>
      <sheetName val="Basic_Rate20"/>
      <sheetName val="final_abstract20"/>
      <sheetName val="Master_Data_Sheet20"/>
      <sheetName val="Cement_recon_20"/>
      <sheetName val="Load_Details-220kV20"/>
      <sheetName val="Civil_Boq20"/>
      <sheetName val="Material_20"/>
      <sheetName val="Adimi_bldg20"/>
      <sheetName val="Pump_House20"/>
      <sheetName val="Fuel_Regu_Station20"/>
      <sheetName val="INDIGINEOUS_ITEMS_4"/>
      <sheetName val="Main_Gate_House4"/>
      <sheetName val="key_dates4"/>
      <sheetName val="Assumption_Inputs4"/>
      <sheetName val="India_F&amp;S_Template4"/>
      <sheetName val="_20"/>
      <sheetName val="Cleaning_&amp;_Grubbing20"/>
      <sheetName val="Intro_20"/>
      <sheetName val="Fcst_vs_Budgets3"/>
      <sheetName val="Plant_&amp;__Machinery20"/>
      <sheetName val="_TCS,_NAGPUR-MANJIRI_C_PROGRE20"/>
      <sheetName val="BOQ_T4B2"/>
      <sheetName val="Discount_&amp;_Margin2"/>
      <sheetName val="PointNo_520"/>
      <sheetName val="Material_Rates20"/>
      <sheetName val="Cost_Index2"/>
      <sheetName val="Form_620"/>
      <sheetName val="foot-slab_reinft1"/>
      <sheetName val="Layer_Table2"/>
      <sheetName val="Constants_Summary20"/>
      <sheetName val="COP_Final2"/>
      <sheetName val="Boq_-_Flats3"/>
      <sheetName val="St_co_91_5lvl2"/>
      <sheetName val="P1260Projected_5700_Detail1"/>
      <sheetName val="P852_5000_Detail1"/>
      <sheetName val="P854_5000_Detail1"/>
      <sheetName val="P856_5000_Detail1"/>
      <sheetName val="P858_5000_Detail1"/>
      <sheetName val="P860Baseline_5000_Detail1"/>
      <sheetName val="1-OBJ98_1"/>
      <sheetName val="_Acc__Sched_1"/>
      <sheetName val="SUPPLY_-Sanitary_Fixtures1"/>
      <sheetName val="ITEMS_FOR_CIVIL_TENDER1"/>
      <sheetName val="F_Blk2"/>
      <sheetName val="Labor_abs-NMR1"/>
      <sheetName val="M_S_2"/>
      <sheetName val="Ra__stair20"/>
      <sheetName val="Detail_In_Door_Stad1"/>
      <sheetName val="Debits_as_on_12_04_081"/>
      <sheetName val="Loan_Schedule1"/>
      <sheetName val="Current_Bill_MB_ref1"/>
      <sheetName val="beam-reinft-IIInd_floor1"/>
      <sheetName val="Kristal_Court1"/>
      <sheetName val="Operating_Statistics1"/>
      <sheetName val="Data_sheet1"/>
      <sheetName val="Per_Unit1"/>
      <sheetName val="Rate_analysis_civil1"/>
      <sheetName val="Rate_Analysis_1"/>
      <sheetName val="Monthly_Plan_May'161"/>
      <sheetName val="Performance_Report1"/>
      <sheetName val="_bus_bay1"/>
      <sheetName val="doq_41"/>
      <sheetName val="doq_21"/>
      <sheetName val="Labour_&amp;_Plant1"/>
      <sheetName val="loads_at_base_of_pier1"/>
      <sheetName val="Buying_Schedule1"/>
      <sheetName val="CRF_Register1"/>
      <sheetName val="E_&amp;_R1"/>
      <sheetName val="Primero_Tower_Budget1"/>
      <sheetName val="REPAIR&amp;_MAINT23"/>
      <sheetName val="Basic_Resources1"/>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cover_page20"/>
      <sheetName val="Project_Data20"/>
      <sheetName val="Drop_Down_List20"/>
      <sheetName val="30개월기준대비표_아랍택)20"/>
      <sheetName val="총괄표_(2)20"/>
      <sheetName val="CIF_COST_ITEM20"/>
      <sheetName val="bs_BP_04_SA1"/>
      <sheetName val="Sales_&amp;_Prod1"/>
      <sheetName val="Base_Assumptions1"/>
      <sheetName val="Ov%rall_Summary1"/>
      <sheetName val="Cost_summary1"/>
      <sheetName val="Bill_1-BOQ-Civil_Works1"/>
      <sheetName val="BOQ_(2)1"/>
      <sheetName val="Rev_P1"/>
      <sheetName val="Block_A_-_BOQ1"/>
      <sheetName val="Summary_year_Plan1"/>
      <sheetName val="BOQ_Distribution1"/>
      <sheetName val="3__Elemental_Summary1"/>
      <sheetName val="9__Package_split_-_Cost_1"/>
      <sheetName val="10__&amp;_11__Rate_Code_&amp;_BQ1"/>
      <sheetName val="[DLA_Standard_Cost_Report1][DL1"/>
      <sheetName val="소상_&quot;1&quot;1"/>
      <sheetName val="labour_rates1"/>
      <sheetName val="STAFFSCHED_1"/>
      <sheetName val="Factor_Sheet1"/>
      <sheetName val="NT_LBH1"/>
      <sheetName val="Builtup_Area1"/>
      <sheetName val="Lead_(Final)1"/>
      <sheetName val="D_UT-MECH1"/>
      <sheetName val="Rob__elektr_1"/>
      <sheetName val="CABLE_DATA1"/>
      <sheetName val="Combined_Results_1"/>
      <sheetName val="Contractor_&amp;_Material_Price1"/>
      <sheetName val="Forecast_Variance_Planning_hrs2"/>
      <sheetName val="Raw_Data20"/>
      <sheetName val="PRC_PROG_2"/>
      <sheetName val="Val_breakdown2"/>
      <sheetName val="Orç__Estrelas_Santiago2"/>
      <sheetName val="Bill_No_32"/>
      <sheetName val="GM_&amp;_TA1"/>
      <sheetName val="Master_data1"/>
      <sheetName val="Design_sheet1"/>
      <sheetName val="Gen_Info1"/>
      <sheetName val="[DLA_Standard_Cost_Report1]\TC1"/>
      <sheetName val="F_Slab1"/>
      <sheetName val="Plinth_Beam11"/>
      <sheetName val="Material List "/>
      <sheetName val="A0744339"/>
      <sheetName val="Bill 3 - Site Works"/>
      <sheetName val="compare"/>
      <sheetName val="Indices"/>
      <sheetName val="Dec resp"/>
      <sheetName val="Jan HC"/>
      <sheetName val="12-27"/>
      <sheetName val="Notes"/>
      <sheetName val="Rates Basic"/>
      <sheetName val="Data rough"/>
      <sheetName val="Con0304"/>
      <sheetName val="MSM Vol"/>
      <sheetName val="nVision"/>
      <sheetName val="Rates"/>
      <sheetName val="DWTables"/>
      <sheetName val="A-CompanyInfo"/>
      <sheetName val="TrialBalance"/>
      <sheetName val="Main Assump."/>
      <sheetName val="Sheet3_(2"/>
      <sheetName val="3_(2)1_x001f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15-21"/>
      <sheetName val="Comp"/>
      <sheetName val="GR.slab-reinft"/>
      <sheetName val="Sanitary Fixtures"/>
      <sheetName val="Tower_slab data"/>
      <sheetName val="Miscelleneous"/>
      <sheetName val="ITB COST"/>
      <sheetName val="Debtors analysis"/>
      <sheetName val="Total Debtors Ageing Sheet"/>
      <sheetName val="Debit_RMC"/>
      <sheetName val="Debit_Transit"/>
      <sheetName val="2.02 ( Emb.From BA)"/>
      <sheetName val="RATE COMPILATION"/>
      <sheetName val="CrRajWMM"/>
      <sheetName val="S1BOQ &amp; Workplan"/>
      <sheetName val="(Do not delete)"/>
      <sheetName val="Materials "/>
      <sheetName val="MRATES"/>
      <sheetName val="STEEL"/>
      <sheetName val="Start"/>
      <sheetName val="Sec-I"/>
      <sheetName val="11 kV SWGR"/>
      <sheetName val="Table"/>
      <sheetName val="Working3"/>
      <sheetName val="Working2"/>
      <sheetName val="2.Trad"/>
      <sheetName val="DCF"/>
      <sheetName val="Ledger"/>
      <sheetName val="sept-plan"/>
      <sheetName val="MFG"/>
      <sheetName val="RMC &amp; cement qty"/>
      <sheetName val="Civil "/>
      <sheetName val="RCC RA76(BGL)"/>
      <sheetName val="Makro1"/>
      <sheetName val="Conc-BP"/>
      <sheetName val="Column L1 to L2"/>
      <sheetName val="Column L2 to L3"/>
      <sheetName val="BEAM"/>
      <sheetName val="RAMP 3"/>
      <sheetName val="RAMP 1"/>
      <sheetName val="staircase"/>
      <sheetName val="R_Wall"/>
      <sheetName val="Column B1 to L1"/>
      <sheetName val="Slab L1"/>
      <sheetName val="Slab L2"/>
      <sheetName val="D"/>
      <sheetName val="Internet"/>
      <sheetName val="B1"/>
      <sheetName val="Legend"/>
      <sheetName val="TB"/>
      <sheetName val="BS"/>
      <sheetName val="Projects"/>
      <sheetName val="PAD-F"/>
      <sheetName val="Budget_CF - Overall"/>
      <sheetName val="Consolidated"/>
      <sheetName val="Centaurus- Consultacny"/>
      <sheetName val="Options"/>
      <sheetName val="Analy_7-10"/>
      <sheetName val="Angles"/>
      <sheetName val="Measurements"/>
      <sheetName val="Tables"/>
      <sheetName val="Flooring"/>
      <sheetName val="Ceilings"/>
      <sheetName val="ACAD Finishes"/>
      <sheetName val="Site Details"/>
      <sheetName val="Chair"/>
      <sheetName val="Site Area Statement"/>
      <sheetName val="Doors"/>
      <sheetName val="s"/>
      <sheetName val="Data (adj."/>
      <sheetName val="4K - (6a) Non Manual Breakdown"/>
      <sheetName val="1.00"/>
      <sheetName val="Customize Your Invoice"/>
      <sheetName val="starter"/>
      <sheetName val="Coalmine"/>
      <sheetName val="Code"/>
      <sheetName val="Lookup"/>
      <sheetName val="Load Details(B1)"/>
      <sheetName val="Settings"/>
      <sheetName val="_DLA Standard Cost Report1__DLA"/>
      <sheetName val="_DLA Standard Cost Report1__TCS"/>
      <sheetName val="wip"/>
      <sheetName val="BALAN1"/>
      <sheetName val="3cd_Annexure"/>
      <sheetName val="Cut &amp; Sew"/>
      <sheetName val="os gl ac"/>
      <sheetName val="Forward Rates"/>
      <sheetName val="USD YC"/>
      <sheetName val="Classification"/>
      <sheetName val="currency (2)"/>
      <sheetName val="Loads"/>
      <sheetName val="Timesheet"/>
      <sheetName val="4.1 UF-DF Calc"/>
      <sheetName val="Summ"/>
      <sheetName val="Fossil_DCF"/>
      <sheetName val="03 BOQ code"/>
      <sheetName val="VAL"/>
      <sheetName val="SAP World one 300915"/>
      <sheetName val="BS1"/>
      <sheetName val="2 years opr "/>
      <sheetName val="Codes"/>
      <sheetName val="Loan Data"/>
      <sheetName val="June 03"/>
      <sheetName val="A91_97"/>
      <sheetName val="Cable-data"/>
      <sheetName val="inter"/>
      <sheetName val="Construction"/>
      <sheetName val="Global Assmptions"/>
      <sheetName val="Basisdaten"/>
      <sheetName val="Vordruck-Nr. 7.1.3_D"/>
      <sheetName val="Ersatzteile"/>
      <sheetName val="A"/>
      <sheetName val="B"/>
      <sheetName val="C"/>
      <sheetName val="E"/>
      <sheetName val="G"/>
      <sheetName val="H"/>
      <sheetName val="I"/>
      <sheetName val="K"/>
      <sheetName val="L"/>
      <sheetName val="M"/>
      <sheetName val="N"/>
      <sheetName val="O"/>
      <sheetName val="T"/>
      <sheetName val="U"/>
      <sheetName val="M&amp;A D"/>
      <sheetName val="M&amp;A E"/>
      <sheetName val="M&amp;A G"/>
      <sheetName val="Itemised"/>
      <sheetName val="Biofor"/>
      <sheetName val="proctor"/>
      <sheetName val="L+M"/>
      <sheetName val="Sheet4"/>
      <sheetName val="REVENUES &amp; BS"/>
      <sheetName val="Cul_detail"/>
      <sheetName val="Master_Sheet"/>
      <sheetName val="Excavation"/>
      <sheetName val="3-Subst"/>
      <sheetName val="[DLA Standard Cost Report1]_T_2"/>
      <sheetName val="[DLA Standard Cost Report1]_T_3"/>
      <sheetName val="[DLA Standard Cost Report1]_T_4"/>
      <sheetName val="[DLA Standard Cost Report1]_T_5"/>
      <sheetName val="[DLA Standard Cost Report1]_D_2"/>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Detail 1A"/>
      <sheetName val="Final abstract Sheet RA01"/>
      <sheetName val="3rd Chair Spacer"/>
      <sheetName val="3QLRP ( R2 MOR)"/>
      <sheetName val="Tie Beams "/>
      <sheetName val="DataDump PSPC"/>
      <sheetName val="C_link"/>
      <sheetName val="P_link"/>
      <sheetName val="Auswahl"/>
      <sheetName val="RateAnalysis"/>
      <sheetName val="Break_Up (bc)"/>
      <sheetName val="Break_Up (bc1)"/>
      <sheetName val="Break_Up (bc2)"/>
      <sheetName val="Structure Bi|ls Qty"/>
      <sheetName val="CASH CONTRACTS"/>
      <sheetName val="beam-reinft"/>
      <sheetName val="due to from"/>
      <sheetName val="Income Statement"/>
      <sheetName val="ABSTRACT"/>
      <sheetName val="sheeet7"/>
      <sheetName val="PRICE BID"/>
      <sheetName val="coa_ramco_168"/>
      <sheetName val="switch"/>
      <sheetName val="ridgewood"/>
      <sheetName val="Earthing Tower-1 Superseded"/>
      <sheetName val="NOT FULL RESTRAINT"/>
      <sheetName val="BEARING &amp; BUCKLING"/>
      <sheetName val="PFC"/>
      <sheetName val="RSJ"/>
      <sheetName val="KP1590_E"/>
      <sheetName val="Material&amp;equipment"/>
      <sheetName val="MPR_PA_1"/>
      <sheetName val="POL"/>
      <sheetName val="LOCAL RATES"/>
      <sheetName val="Curve Details"/>
      <sheetName val="Final FRL"/>
      <sheetName val="sc-sepVdec99"/>
      <sheetName val="3"/>
      <sheetName val="SITE DATA"/>
      <sheetName val="Bar Budget"/>
      <sheetName val="Final Qty"/>
      <sheetName val="Machine HC - 19.08 "/>
      <sheetName val="PNM Justi"/>
      <sheetName val="Bar"/>
      <sheetName val="Analysed rate"/>
      <sheetName val="Shutter"/>
      <sheetName val="BOQ Backup"/>
      <sheetName val="Major Qty"/>
      <sheetName val="Abstruct total"/>
      <sheetName val="Dayworks Bill"/>
      <sheetName val="Bills of Quantities"/>
      <sheetName val="(31)"/>
      <sheetName val="RMC_Debit_Panjar_MB"/>
      <sheetName val="RMC_Debit"/>
      <sheetName val="2.2"/>
      <sheetName val="Details_RMC"/>
      <sheetName val="Abstract (GST)"/>
      <sheetName val="1.01(C&amp;G Km-240-242)"/>
      <sheetName val="ANAL"/>
      <sheetName val="NLD - Assum"/>
      <sheetName val="Capex-fixed"/>
      <sheetName val="Aseet1998"/>
      <sheetName val="SAP "/>
      <sheetName val="MA"/>
      <sheetName val="SC Cost FEB 03"/>
      <sheetName val="Risk Heads"/>
      <sheetName val="L4-L15"/>
      <sheetName val="13. Steel - Ratio"/>
      <sheetName val="Riser-1"/>
      <sheetName val="tender allowances"/>
      <sheetName val="Crash anad corner Guard"/>
      <sheetName val="JOINERY &amp; ALLIED WORKS "/>
      <sheetName val="ETC Plant Cost"/>
      <sheetName val="Liqplan_R1"/>
      <sheetName val="TASKRSRC (2)"/>
      <sheetName val="TARGET"/>
      <sheetName val="BASELINE"/>
      <sheetName val="Price Comparison"/>
      <sheetName val="Existing"/>
      <sheetName val="Final abstract Sheet RA04"/>
      <sheetName val="Final abstract Sheet RA03"/>
      <sheetName val="refer"/>
      <sheetName val="Component Pricing, Costs"/>
      <sheetName val="MSU"/>
      <sheetName val="class &amp; category"/>
      <sheetName val="CCTV_EST1"/>
      <sheetName val="pa-mtly"/>
      <sheetName val="list of directo"/>
      <sheetName val="BOQ PART 1"/>
      <sheetName val="A.O.R."/>
      <sheetName val="1.Civil"/>
      <sheetName val="d-safe specs"/>
      <sheetName val="Inventory"/>
      <sheetName val="Cover"/>
      <sheetName val="Comparison"/>
      <sheetName val="SOR"/>
      <sheetName val="선수금"/>
      <sheetName val="입찰내역 발주처 양식"/>
      <sheetName val="Insts"/>
      <sheetName val="XREF"/>
      <sheetName val="FSI - 3.00"/>
      <sheetName val="Material List"/>
      <sheetName val="4.4 External Plaster"/>
      <sheetName val="Allocation"/>
      <sheetName val="ELEC&amp; MISC"/>
      <sheetName val="Response Spectra (UBC-1997)"/>
      <sheetName val="Response Spectra (IS1893-2002)"/>
      <sheetName val="Menu"/>
      <sheetName val="_DLA"/>
      <sheetName val="_DLA_Standard_Cost_Report1__DLA"/>
      <sheetName val="_DLA_Standard_Cost_Report1__TCS"/>
      <sheetName val="_DLA_Standard_Cost_Report1__DL1"/>
      <sheetName val="_DLA_Standard_Cost_Report1__TC1"/>
      <sheetName val="_DLA Standard Cost Report1__T_2"/>
      <sheetName val="List Quatation"/>
      <sheetName val="Download DATA"/>
      <sheetName val="Main"/>
      <sheetName val="A6"/>
      <sheetName val="E1"/>
      <sheetName val="E2"/>
      <sheetName val="E3"/>
      <sheetName val="E4"/>
      <sheetName val="E5"/>
      <sheetName val="산근"/>
      <sheetName val="Contract Details"/>
      <sheetName val="Programme"/>
      <sheetName val="Data Input"/>
      <sheetName val="REPAIR&amp;_MAINT24"/>
      <sheetName val="Civil-Weekly"/>
      <sheetName val="Elec-Weekly"/>
      <sheetName val="Mech-Weekly"/>
      <sheetName val="Pipe-Weekly"/>
      <sheetName val="Datas"/>
      <sheetName val="Tank-Weekly"/>
      <sheetName val="Project-Weekly"/>
      <sheetName val="U5-Weekly"/>
      <sheetName val="Budget By Month"/>
      <sheetName val="Tracking"/>
      <sheetName val="C&amp;IEVA"/>
      <sheetName val="computo"/>
      <sheetName val="ICM"/>
      <sheetName val="3. Value copy of Pivot Table"/>
      <sheetName val="PROCESS"/>
      <sheetName val="Date_Lup"/>
      <sheetName val="IT-BAT"/>
      <sheetName val="E_Summary"/>
      <sheetName val="D_Cntnts"/>
      <sheetName val="EDGES"/>
      <sheetName val="JOINTS"/>
      <sheetName val="SUPERSTRUCTURE"/>
      <sheetName val="CALENDAR ANNUAL"/>
      <sheetName val="Data Works"/>
      <sheetName val="Works"/>
      <sheetName val="VIABILITY"/>
      <sheetName val="Mob - AFE"/>
      <sheetName val="RA 01-AFE CCTV"/>
      <sheetName val="RA -02 AFE PTZ CCTV"/>
      <sheetName val="CCS Summary"/>
      <sheetName val="Aggregation Page (INPUT)"/>
      <sheetName val="Dropdowns"/>
      <sheetName val="Data "/>
      <sheetName val="CANDY BOQ"/>
      <sheetName val="Sumcosts"/>
      <sheetName val="TOTAL"/>
      <sheetName val="Ref_Sheet"/>
      <sheetName val="Legal Risk Analysis"/>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G2-PROG"/>
      <sheetName val="data5"/>
      <sheetName val="Steel deilvery"/>
      <sheetName val="Mechanical"/>
      <sheetName val="③赤紙(日文)"/>
      <sheetName val="B-2"/>
      <sheetName val="Confidential"/>
      <sheetName val="Contract_Details"/>
      <sheetName val="tender_allowances"/>
      <sheetName val="Data_Works"/>
      <sheetName val="Mob_-_AFE"/>
      <sheetName val="RA_01-AFE_CCTV"/>
      <sheetName val="RA_-02_AFE_PTZ_CCTV"/>
      <sheetName val="Contract_Details1"/>
      <sheetName val="tender_allowances1"/>
      <sheetName val="Data_Works1"/>
      <sheetName val="Mob_-_AFE1"/>
      <sheetName val="RA_01-AFE_CCTV1"/>
      <sheetName val="RA_-02_AFE_PTZ_CCTV1"/>
      <sheetName val="rc01"/>
      <sheetName val="Budget Analysis"/>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BOQ_T4B4"/>
      <sheetName val="F_Blk4"/>
      <sheetName val="Discount_&amp;_Margin3"/>
      <sheetName val="M_S_3"/>
      <sheetName val="COP_Final3"/>
      <sheetName val="Forecast_Variance_Planning_hrs3"/>
      <sheetName val="PRC_PROG_3"/>
      <sheetName val="Main_Assump_1"/>
      <sheetName val="Data_Input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BOQ_T4B3"/>
      <sheetName val="F_Blk3"/>
      <sheetName val="Main_Assump_"/>
      <sheetName val="Data_Input"/>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personal_"/>
      <sheetName val="Work_done_"/>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personal_1"/>
      <sheetName val="Work_done_1"/>
      <sheetName val="WBH"/>
      <sheetName val="WBH (2)"/>
      <sheetName val="PMV REQ"/>
      <sheetName val="PMV Manpower"/>
      <sheetName val="Day work"/>
      <sheetName val="total export"/>
      <sheetName val=" Est "/>
      <sheetName val="PROJECT BRIEF"/>
      <sheetName val="PLANNED &amp; DELAY IMPACT"/>
      <sheetName val="ITEMS BREAK DOWN"/>
      <sheetName val="Spread_sht"/>
      <sheetName val="JUCK"/>
      <sheetName val="Open"/>
      <sheetName val="Cost Rates"/>
      <sheetName val="LOOKUP(MM)"/>
      <sheetName val="P-Sum-Cab"/>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Annex"/>
      <sheetName val="Rocker"/>
      <sheetName val="Precalculation"/>
      <sheetName val="joinery "/>
      <sheetName val="MG"/>
      <sheetName val="Sales Seasonality by Month"/>
      <sheetName val="Cash Flow"/>
      <sheetName val="RCC Rates"/>
      <sheetName val="데이타"/>
      <sheetName val="Mix Design"/>
      <sheetName val="std-rates"/>
      <sheetName val="shuttering"/>
      <sheetName val="LIST OF MAKES"/>
      <sheetName val="Ra - 16"/>
      <sheetName val="OGL"/>
      <sheetName val="RA-PT"/>
      <sheetName val="Summary- chisling Recovery"/>
      <sheetName val="Summary- Wire Recovery"/>
      <sheetName val="Summary- Copper Tube Recovery"/>
      <sheetName val="Summary- chisling "/>
      <sheetName val="Summary- Wire."/>
      <sheetName val="wire &amp; chisling"/>
      <sheetName val="Summary- Copper Tube "/>
      <sheetName val="Main summary all"/>
      <sheetName val="Summary-  AC -installation"/>
      <sheetName val="Summary- Stands"/>
      <sheetName val="MB sheet copper"/>
      <sheetName val="J3 Installation"/>
      <sheetName val="J1 Installation"/>
      <sheetName val="G-1 Instln"/>
      <sheetName val="G-2 Instln"/>
      <sheetName val="G-3 instln"/>
      <sheetName val="K-2 Instln"/>
      <sheetName val="Other Places"/>
      <sheetName val="Dismantling"/>
      <sheetName val="G1 Instln NEW"/>
      <sheetName val="cov-estimate"/>
      <sheetName val="2000"/>
      <sheetName val="주식"/>
      <sheetName val="WBS Accounts"/>
      <sheetName val="Lists"/>
      <sheetName val="Comparative at bid opening"/>
      <sheetName val="적용"/>
      <sheetName val="Master list"/>
      <sheetName val="A-Property"/>
      <sheetName val="Budget Points"/>
      <sheetName val="Model"/>
      <sheetName val="CONSTRUCTION COMPONENT"/>
      <sheetName val="Final VA"/>
      <sheetName val="TPL_RECEIPTS MB51"/>
      <sheetName val="Brazil-Russia-EuropeDecToMar-05"/>
      <sheetName val="ROW Orders for March 05"/>
      <sheetName val="PKG PO"/>
      <sheetName val="LLM DPRECEIPTS MB51"/>
      <sheetName val="PHS_RECEIPTS"/>
      <sheetName val="ZSEM stock (ympc038)"/>
      <sheetName val="MFG PO"/>
      <sheetName val="Design of Isolated Footing"/>
      <sheetName val="Clinkr Silo"/>
      <sheetName val="Cement Hopper"/>
      <sheetName val="Cement Silo"/>
      <sheetName val="RM Hopper"/>
      <sheetName val="Coal Mill"/>
      <sheetName val="RM Bildg"/>
      <sheetName val="RMBH"/>
      <sheetName val="RMBH Chimney&amp;Fan"/>
      <sheetName val="Coal Storg"/>
      <sheetName val="Weigh Bridge"/>
      <sheetName val="LSS"/>
      <sheetName val="Slag Mill"/>
      <sheetName val="Pre-htr."/>
      <sheetName val="Kiln P"/>
      <sheetName val="Clnr-culr"/>
      <sheetName val="Batching&amp;Pil POL"/>
      <sheetName val="Sheet"/>
      <sheetName val="Abutment "/>
      <sheetName val="TCS_Schedule (2)"/>
      <sheetName val="Earthwork MCW"/>
      <sheetName val="TCS Proposed"/>
      <sheetName val="Balustrade"/>
      <sheetName val="FINANCIAL (FLR)"/>
      <sheetName val="except wiring"/>
      <sheetName val="IO Count Diag"/>
      <sheetName val="공사비 내역 (가)"/>
      <sheetName val="TCS_South_Bound"/>
      <sheetName val="Elect."/>
      <sheetName val="fco"/>
      <sheetName val="Report"/>
      <sheetName val="PIpe Pushing"/>
      <sheetName val="GROUP"/>
      <sheetName val="[DLA Standard Cost Report1]__22"/>
      <sheetName val="[DLA Standard Cost Report1]__23"/>
      <sheetName val="[DLA Standard Cost Report1]__24"/>
      <sheetName val="[DLA Standard Cost Report1]__25"/>
      <sheetName val="TRSTLS"/>
      <sheetName val="18-misc"/>
      <sheetName val="Calculation Sheet"/>
      <sheetName val="Manpower"/>
      <sheetName val="1.02(a)"/>
      <sheetName val="1.03.iii.(b)"/>
      <sheetName val="1.03.iii.(c)"/>
      <sheetName val="8.1.1"/>
      <sheetName val="3.4"/>
      <sheetName val="8.ii.9.(a)"/>
      <sheetName val="8.ii.9.(b)"/>
      <sheetName val="2.07 Shoulder"/>
      <sheetName val="Steel Structure"/>
      <sheetName val="07"/>
      <sheetName val="Cal"/>
      <sheetName val="Evaluate"/>
      <sheetName val="EZ"/>
      <sheetName val="GM 000"/>
      <sheetName val="Pier"/>
      <sheetName val="Pile p"/>
      <sheetName val="Back_Cal_for OMC"/>
      <sheetName val="Control Sheet"/>
      <sheetName val="Profile"/>
      <sheetName val="DCFValuation"/>
      <sheetName val="Confirm order"/>
      <sheetName val="p&amp;l"/>
      <sheetName val="WIP_P&amp;m"/>
      <sheetName val="P &amp; L"/>
      <sheetName val="월선수금"/>
      <sheetName val="Aladdin Macro1"/>
      <sheetName val="Phase 1"/>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REFERANCE DATA"/>
      <sheetName val="DOOR WINDOW"/>
      <sheetName val="Q3"/>
      <sheetName val="RCC_Ret_ Wall"/>
      <sheetName val="SEZ price"/>
      <sheetName val="KSt - Analysis "/>
      <sheetName val="Slab-1"/>
      <sheetName val="BOQ-Civil"/>
      <sheetName val="horizontal"/>
      <sheetName val="PetroConsultants"/>
      <sheetName val="Depreciation"/>
      <sheetName val=" C&amp;I"/>
      <sheetName val="Extern Plaster2 cote  ODC-5"/>
      <sheetName val="Control"/>
      <sheetName val="Int on 3.5 cr"/>
      <sheetName val="Client Addressess"/>
      <sheetName val="procurement"/>
      <sheetName val="meas_wp"/>
      <sheetName val="Balance Sheet "/>
      <sheetName val="March Analysts"/>
      <sheetName val="Staff Forecast spread"/>
      <sheetName val="ABB"/>
      <sheetName val="Roof  PT beams "/>
      <sheetName val="Beam at Ground flr lvl(Steel)"/>
      <sheetName val="200205C"/>
      <sheetName val="Set"/>
      <sheetName val="기계내역서"/>
      <sheetName val="Mar03Atp"/>
      <sheetName val="5. check Fun &amp; Grou consistency"/>
      <sheetName val="산출기준(파견전산실)"/>
      <sheetName val="경비공통"/>
      <sheetName val="MTL$-INTER"/>
      <sheetName val="well"/>
      <sheetName val="설비비3"/>
      <sheetName val="설비비1"/>
      <sheetName val="Basic data"/>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Lagerhalle"/>
      <sheetName val="CS-sld tender"/>
      <sheetName val="PASO Form Main"/>
      <sheetName val="OPA Form (2)"/>
      <sheetName val="Interest"/>
      <sheetName val="Project Master"/>
      <sheetName val="COST006"/>
      <sheetName val="GRSummary"/>
      <sheetName val="Executive Lounge - Build Up"/>
      <sheetName val="OFF-TOP SHEET"/>
      <sheetName val="Staff Schedule"/>
      <sheetName val="HS"/>
      <sheetName val="RW"/>
      <sheetName val="Download_DATA1"/>
      <sheetName val="CCS_Summary1"/>
      <sheetName val="Aggregation_Page_(INPUT)1"/>
      <sheetName val="MH(on_site)1"/>
      <sheetName val="Data_1"/>
      <sheetName val="CANDY_BOQ1"/>
      <sheetName val="Summary_TH2_Mid1"/>
      <sheetName val="Summary_TH3_Mid1"/>
      <sheetName val="Summary_TH2-V21"/>
      <sheetName val="Closing_register1"/>
      <sheetName val="NCR_LOG1"/>
      <sheetName val="VBA_Hidden1"/>
      <sheetName val="RBD_ENG1"/>
      <sheetName val="RBD_SLD_RLD1"/>
      <sheetName val="V_Summary1"/>
      <sheetName val=" GULF"/>
      <sheetName val="Lines (1 - 1)"/>
      <sheetName val="EL-Bill"/>
      <sheetName val="ENG_PROG"/>
      <sheetName val="B2-Basement"/>
      <sheetName val="B7-N04-Apartment"/>
      <sheetName val="B14-U07-Apartment"/>
      <sheetName val="PROJECT BRIEF(EX.NEW)"/>
      <sheetName val="Expenses over time"/>
      <sheetName val="Att_B"/>
      <sheetName val="자압"/>
      <sheetName val="Panels (DWG)"/>
      <sheetName val="SSR &amp; NSSR Market final"/>
      <sheetName val="Int plaster"/>
      <sheetName val="BFS"/>
      <sheetName val="TBAL9697 _group wise  sdpl"/>
      <sheetName val="Grade Bam A-G  02"/>
      <sheetName val="Grade Bam A-G  03"/>
      <sheetName val="Grade Beam A-G  04"/>
      <sheetName val="Grade Beam A-G  05"/>
      <sheetName val="Grade Beam A-G  06 08"/>
      <sheetName val="Grade Beam 1-8  A"/>
      <sheetName val="Grade Beam 1-4 B"/>
      <sheetName val="Grade Beam 5-8 B"/>
      <sheetName val="Grade Beam 1-8 C"/>
      <sheetName val="Grade Beam 2-8 G"/>
      <sheetName val="Sept 06"/>
      <sheetName val="Abstract Sheet"/>
      <sheetName val="Data_rough"/>
      <sheetName val="Break_Dw"/>
      <sheetName val="BLR_1"/>
      <sheetName val="Inc_St_-Link"/>
      <sheetName val="kppl_pl"/>
      <sheetName val="SP_Break_Up"/>
      <sheetName val="BBS_(F)"/>
      <sheetName val="CFForecast_detail"/>
      <sheetName val="Rates_Basic"/>
      <sheetName val="Load_Details(B1)"/>
      <sheetName val="Rate_all_Items"/>
      <sheetName val="Global_Assm_"/>
      <sheetName val="Budget_CF_-_Overall"/>
      <sheetName val="Centaurus-_Consultacny"/>
      <sheetName val="Historical Data 1"/>
      <sheetName val="FORECAST"/>
      <sheetName val="New Business"/>
      <sheetName val="R - Seats Requirement"/>
      <sheetName val="Seat Data"/>
      <sheetName val="STATUE"/>
      <sheetName val="M- BOOK"/>
      <sheetName val="QTY - ABSTRACT"/>
      <sheetName val="BUDGET STAGE WISE"/>
      <sheetName val="BUDGET - TOP SHEET"/>
      <sheetName val="CIVIL - STAGE PAYMENT"/>
      <sheetName val="MATERIAL REQUIREMENTS"/>
      <sheetName val="MATERIAL - STAGEWISE"/>
      <sheetName val="Budget - Top"/>
      <sheetName val="Connections"/>
      <sheetName val="ACT-MONTH"/>
      <sheetName val="Analysis-NH-Roads"/>
      <sheetName val="Non-Factory"/>
      <sheetName val="FX Rates"/>
      <sheetName val="Working"/>
      <sheetName val="RFP002"/>
      <sheetName val="Capital Structure"/>
      <sheetName val="activit-graph  "/>
      <sheetName val="2nd "/>
      <sheetName val="OT APRIL"/>
      <sheetName val="Switc column below GR"/>
      <sheetName val="Price &amp; Volume"/>
      <sheetName val="제출내역 (2)"/>
      <sheetName val="Summ  - Infra"/>
      <sheetName val="BOQ - INFRA - TOWER A"/>
      <sheetName val="Total Basic Amount"/>
      <sheetName val="BUILDING B1"/>
      <sheetName val="Back up"/>
      <sheetName val="BOQ - Tower A"/>
      <sheetName val="BOQ - Tower B"/>
      <sheetName val="MS - PUMP ROOM &amp; EXTERNAL"/>
      <sheetName val="MS - INTERNAL B1 &amp; B2"/>
      <sheetName val="MS - INTERNAL B3 &amp; B4"/>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8">
          <cell r="D8" t="str">
            <v>Paramaz Avedisian Building</v>
          </cell>
        </row>
      </sheetData>
      <sheetData sheetId="36">
        <row r="8">
          <cell r="D8" t="str">
            <v>Paramaz Avedisian Building</v>
          </cell>
        </row>
      </sheetData>
      <sheetData sheetId="37">
        <row r="8">
          <cell r="D8" t="str">
            <v>Paramaz Avedisian Building</v>
          </cell>
        </row>
      </sheetData>
      <sheetData sheetId="38">
        <row r="8">
          <cell r="D8" t="str">
            <v>Paramaz Avedisian Building</v>
          </cell>
        </row>
      </sheetData>
      <sheetData sheetId="39">
        <row r="8">
          <cell r="D8" t="str">
            <v>Paramaz Avedisian Building</v>
          </cell>
        </row>
      </sheetData>
      <sheetData sheetId="40">
        <row r="8">
          <cell r="D8" t="str">
            <v>Paramaz Avedisian Building</v>
          </cell>
        </row>
      </sheetData>
      <sheetData sheetId="41">
        <row r="8">
          <cell r="D8" t="str">
            <v>Paramaz Avedisian Building</v>
          </cell>
        </row>
      </sheetData>
      <sheetData sheetId="42">
        <row r="8">
          <cell r="D8" t="str">
            <v>Paramaz Avedisian Building</v>
          </cell>
        </row>
      </sheetData>
      <sheetData sheetId="43">
        <row r="8">
          <cell r="D8" t="str">
            <v>Paramaz Avedisian Building</v>
          </cell>
        </row>
      </sheetData>
      <sheetData sheetId="44">
        <row r="8">
          <cell r="D8" t="str">
            <v>Paramaz Avedisian Building</v>
          </cell>
        </row>
      </sheetData>
      <sheetData sheetId="45">
        <row r="8">
          <cell r="D8" t="str">
            <v>Paramaz Avedisian Building</v>
          </cell>
        </row>
      </sheetData>
      <sheetData sheetId="46">
        <row r="8">
          <cell r="D8" t="str">
            <v>Paramaz Avedisian Building</v>
          </cell>
        </row>
      </sheetData>
      <sheetData sheetId="47">
        <row r="8">
          <cell r="D8" t="str">
            <v>Paramaz Avedisian Building</v>
          </cell>
        </row>
      </sheetData>
      <sheetData sheetId="48">
        <row r="8">
          <cell r="D8" t="str">
            <v>Paramaz Avedisian Building</v>
          </cell>
        </row>
      </sheetData>
      <sheetData sheetId="49">
        <row r="8">
          <cell r="D8" t="str">
            <v>Paramaz Avedisian Building</v>
          </cell>
        </row>
      </sheetData>
      <sheetData sheetId="50">
        <row r="8">
          <cell r="D8" t="str">
            <v>Paramaz Avedisian Building</v>
          </cell>
        </row>
      </sheetData>
      <sheetData sheetId="51">
        <row r="8">
          <cell r="D8" t="str">
            <v>Paramaz Avedisian Building</v>
          </cell>
        </row>
      </sheetData>
      <sheetData sheetId="52">
        <row r="8">
          <cell r="D8" t="str">
            <v>Paramaz Avedisian Building</v>
          </cell>
        </row>
      </sheetData>
      <sheetData sheetId="53">
        <row r="8">
          <cell r="D8" t="str">
            <v>Paramaz Avedisian Building</v>
          </cell>
        </row>
      </sheetData>
      <sheetData sheetId="54">
        <row r="8">
          <cell r="D8" t="str">
            <v>Paramaz Avedisian Building</v>
          </cell>
        </row>
      </sheetData>
      <sheetData sheetId="55">
        <row r="8">
          <cell r="D8" t="str">
            <v>Paramaz Avedisian Building</v>
          </cell>
        </row>
      </sheetData>
      <sheetData sheetId="56">
        <row r="8">
          <cell r="D8" t="str">
            <v>Paramaz Avedisian Building</v>
          </cell>
        </row>
      </sheetData>
      <sheetData sheetId="57">
        <row r="8">
          <cell r="D8" t="str">
            <v>Paramaz Avedisian Building</v>
          </cell>
        </row>
      </sheetData>
      <sheetData sheetId="58">
        <row r="8">
          <cell r="D8" t="str">
            <v>Paramaz Avedisian Building</v>
          </cell>
        </row>
      </sheetData>
      <sheetData sheetId="59">
        <row r="8">
          <cell r="D8" t="str">
            <v>Paramaz Avedisian Building</v>
          </cell>
        </row>
      </sheetData>
      <sheetData sheetId="60">
        <row r="8">
          <cell r="D8" t="str">
            <v>Paramaz Avedisian Building</v>
          </cell>
        </row>
      </sheetData>
      <sheetData sheetId="61">
        <row r="8">
          <cell r="D8" t="str">
            <v>Paramaz Avedisian Building</v>
          </cell>
        </row>
      </sheetData>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ow r="8">
          <cell r="D8" t="str">
            <v>Paramaz Avedisian Building</v>
          </cell>
        </row>
      </sheetData>
      <sheetData sheetId="270">
        <row r="8">
          <cell r="D8" t="str">
            <v>Paramaz Avedisian Building</v>
          </cell>
        </row>
      </sheetData>
      <sheetData sheetId="271">
        <row r="8">
          <cell r="D8" t="str">
            <v>Paramaz Avedisian Building</v>
          </cell>
        </row>
      </sheetData>
      <sheetData sheetId="272">
        <row r="8">
          <cell r="D8" t="str">
            <v>Paramaz Avedisian Building</v>
          </cell>
        </row>
      </sheetData>
      <sheetData sheetId="273">
        <row r="8">
          <cell r="D8" t="str">
            <v>Paramaz Avedisian Building</v>
          </cell>
        </row>
      </sheetData>
      <sheetData sheetId="274">
        <row r="8">
          <cell r="D8" t="str">
            <v>Paramaz Avedisian Building</v>
          </cell>
        </row>
      </sheetData>
      <sheetData sheetId="275">
        <row r="8">
          <cell r="D8" t="str">
            <v>Paramaz Avedisian Building</v>
          </cell>
        </row>
      </sheetData>
      <sheetData sheetId="276">
        <row r="8">
          <cell r="D8" t="str">
            <v>Paramaz Avedisian Building</v>
          </cell>
        </row>
      </sheetData>
      <sheetData sheetId="277">
        <row r="8">
          <cell r="D8" t="str">
            <v>Paramaz Avedisian Building</v>
          </cell>
        </row>
      </sheetData>
      <sheetData sheetId="278">
        <row r="8">
          <cell r="D8" t="str">
            <v>Paramaz Avedisian Building</v>
          </cell>
        </row>
      </sheetData>
      <sheetData sheetId="279">
        <row r="8">
          <cell r="D8" t="str">
            <v>Paramaz Avedisian Building</v>
          </cell>
        </row>
      </sheetData>
      <sheetData sheetId="280">
        <row r="8">
          <cell r="D8" t="str">
            <v>Paramaz Avedisian Building</v>
          </cell>
        </row>
      </sheetData>
      <sheetData sheetId="281">
        <row r="8">
          <cell r="D8" t="str">
            <v>Paramaz Avedisian Building</v>
          </cell>
        </row>
      </sheetData>
      <sheetData sheetId="282">
        <row r="8">
          <cell r="D8" t="str">
            <v>Paramaz Avedisian Building</v>
          </cell>
        </row>
      </sheetData>
      <sheetData sheetId="283">
        <row r="8">
          <cell r="D8" t="str">
            <v>Paramaz Avedisian Building</v>
          </cell>
        </row>
      </sheetData>
      <sheetData sheetId="284">
        <row r="8">
          <cell r="D8" t="str">
            <v>Paramaz Avedisian Building</v>
          </cell>
        </row>
      </sheetData>
      <sheetData sheetId="285">
        <row r="8">
          <cell r="D8" t="str">
            <v>Paramaz Avedisian Building</v>
          </cell>
        </row>
      </sheetData>
      <sheetData sheetId="286">
        <row r="8">
          <cell r="D8" t="str">
            <v>Paramaz Avedisian Building</v>
          </cell>
        </row>
      </sheetData>
      <sheetData sheetId="287">
        <row r="8">
          <cell r="D8" t="str">
            <v>Paramaz Avedisian Building</v>
          </cell>
        </row>
      </sheetData>
      <sheetData sheetId="288">
        <row r="8">
          <cell r="D8" t="str">
            <v>Paramaz Avedisian Building</v>
          </cell>
        </row>
      </sheetData>
      <sheetData sheetId="289">
        <row r="8">
          <cell r="D8" t="str">
            <v>Paramaz Avedisian Building</v>
          </cell>
        </row>
      </sheetData>
      <sheetData sheetId="290">
        <row r="8">
          <cell r="D8" t="str">
            <v>Paramaz Avedisian Building</v>
          </cell>
        </row>
      </sheetData>
      <sheetData sheetId="291">
        <row r="8">
          <cell r="D8" t="str">
            <v>Paramaz Avedisian Building</v>
          </cell>
        </row>
      </sheetData>
      <sheetData sheetId="292">
        <row r="8">
          <cell r="D8" t="str">
            <v>Paramaz Avedisian Building</v>
          </cell>
        </row>
      </sheetData>
      <sheetData sheetId="293">
        <row r="8">
          <cell r="D8" t="str">
            <v>Paramaz Avedisian Building</v>
          </cell>
        </row>
      </sheetData>
      <sheetData sheetId="294">
        <row r="8">
          <cell r="D8" t="str">
            <v>Paramaz Avedisian Building</v>
          </cell>
        </row>
      </sheetData>
      <sheetData sheetId="295">
        <row r="8">
          <cell r="D8" t="str">
            <v>Paramaz Avedisian Building</v>
          </cell>
        </row>
      </sheetData>
      <sheetData sheetId="296">
        <row r="8">
          <cell r="D8" t="str">
            <v>Paramaz Avedisian Building</v>
          </cell>
        </row>
      </sheetData>
      <sheetData sheetId="297">
        <row r="8">
          <cell r="D8" t="str">
            <v>Paramaz Avedisian Building</v>
          </cell>
        </row>
      </sheetData>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ow r="8">
          <cell r="D8" t="str">
            <v>Paramaz Avedisian Building</v>
          </cell>
        </row>
      </sheetData>
      <sheetData sheetId="354">
        <row r="8">
          <cell r="D8" t="str">
            <v>Paramaz Avedisian Building</v>
          </cell>
        </row>
      </sheetData>
      <sheetData sheetId="355">
        <row r="8">
          <cell r="D8" t="str">
            <v>Paramaz Avedisian Building</v>
          </cell>
        </row>
      </sheetData>
      <sheetData sheetId="356">
        <row r="8">
          <cell r="D8" t="str">
            <v>Paramaz Avedisian Building</v>
          </cell>
        </row>
      </sheetData>
      <sheetData sheetId="357">
        <row r="8">
          <cell r="D8" t="str">
            <v>Paramaz Avedisian Building</v>
          </cell>
        </row>
      </sheetData>
      <sheetData sheetId="358">
        <row r="8">
          <cell r="D8" t="str">
            <v>Paramaz Avedisian Building</v>
          </cell>
        </row>
      </sheetData>
      <sheetData sheetId="359">
        <row r="8">
          <cell r="D8" t="str">
            <v>Paramaz Avedisian Building</v>
          </cell>
        </row>
      </sheetData>
      <sheetData sheetId="360">
        <row r="8">
          <cell r="D8" t="str">
            <v>Paramaz Avedisian Building</v>
          </cell>
        </row>
      </sheetData>
      <sheetData sheetId="361">
        <row r="8">
          <cell r="D8" t="str">
            <v>Paramaz Avedisian Building</v>
          </cell>
        </row>
      </sheetData>
      <sheetData sheetId="362">
        <row r="8">
          <cell r="D8" t="str">
            <v>Paramaz Avedisian Building</v>
          </cell>
        </row>
      </sheetData>
      <sheetData sheetId="363">
        <row r="8">
          <cell r="D8" t="str">
            <v>Paramaz Avedisian Building</v>
          </cell>
        </row>
      </sheetData>
      <sheetData sheetId="364">
        <row r="8">
          <cell r="D8" t="str">
            <v>Paramaz Avedisian Building</v>
          </cell>
        </row>
      </sheetData>
      <sheetData sheetId="365">
        <row r="8">
          <cell r="D8" t="str">
            <v>Paramaz Avedisian Building</v>
          </cell>
        </row>
      </sheetData>
      <sheetData sheetId="366">
        <row r="8">
          <cell r="D8" t="str">
            <v>Paramaz Avedisian Building</v>
          </cell>
        </row>
      </sheetData>
      <sheetData sheetId="367">
        <row r="8">
          <cell r="D8" t="str">
            <v>Paramaz Avedisian Building</v>
          </cell>
        </row>
      </sheetData>
      <sheetData sheetId="368">
        <row r="8">
          <cell r="D8" t="str">
            <v>Paramaz Avedisian Building</v>
          </cell>
        </row>
      </sheetData>
      <sheetData sheetId="369">
        <row r="8">
          <cell r="D8" t="str">
            <v>Paramaz Avedisian Building</v>
          </cell>
        </row>
      </sheetData>
      <sheetData sheetId="370">
        <row r="8">
          <cell r="D8" t="str">
            <v>Paramaz Avedisian Building</v>
          </cell>
        </row>
      </sheetData>
      <sheetData sheetId="371">
        <row r="8">
          <cell r="D8" t="str">
            <v>Paramaz Avedisian Building</v>
          </cell>
        </row>
      </sheetData>
      <sheetData sheetId="372">
        <row r="8">
          <cell r="D8" t="str">
            <v>Paramaz Avedisian Building</v>
          </cell>
        </row>
      </sheetData>
      <sheetData sheetId="373" refreshError="1"/>
      <sheetData sheetId="374" refreshError="1"/>
      <sheetData sheetId="375">
        <row r="8">
          <cell r="D8" t="str">
            <v>Paramaz Avedisian Building</v>
          </cell>
        </row>
      </sheetData>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ow r="8">
          <cell r="D8" t="str">
            <v>Paramaz Avedisian Building</v>
          </cell>
        </row>
      </sheetData>
      <sheetData sheetId="432">
        <row r="8">
          <cell r="D8" t="str">
            <v>Paramaz Avedisian Building</v>
          </cell>
        </row>
      </sheetData>
      <sheetData sheetId="433">
        <row r="8">
          <cell r="D8" t="str">
            <v>Paramaz Avedisian Building</v>
          </cell>
        </row>
      </sheetData>
      <sheetData sheetId="434">
        <row r="8">
          <cell r="D8" t="str">
            <v>Paramaz Avedisian Building</v>
          </cell>
        </row>
      </sheetData>
      <sheetData sheetId="435" refreshError="1"/>
      <sheetData sheetId="436" refreshError="1"/>
      <sheetData sheetId="437" refreshError="1"/>
      <sheetData sheetId="438">
        <row r="8">
          <cell r="D8" t="str">
            <v>Paramaz Avedisian Building</v>
          </cell>
        </row>
      </sheetData>
      <sheetData sheetId="439">
        <row r="8">
          <cell r="D8" t="str">
            <v>Paramaz Avedisian Building</v>
          </cell>
        </row>
      </sheetData>
      <sheetData sheetId="440">
        <row r="8">
          <cell r="D8" t="str">
            <v>Paramaz Avedisian Building</v>
          </cell>
        </row>
      </sheetData>
      <sheetData sheetId="441">
        <row r="8">
          <cell r="D8" t="str">
            <v>Paramaz Avedisian Building</v>
          </cell>
        </row>
      </sheetData>
      <sheetData sheetId="442">
        <row r="8">
          <cell r="D8" t="str">
            <v>Paramaz Avedisian Building</v>
          </cell>
        </row>
      </sheetData>
      <sheetData sheetId="443">
        <row r="8">
          <cell r="D8" t="str">
            <v>Paramaz Avedisian Building</v>
          </cell>
        </row>
      </sheetData>
      <sheetData sheetId="444">
        <row r="8">
          <cell r="D8" t="str">
            <v>Paramaz Avedisian Building</v>
          </cell>
        </row>
      </sheetData>
      <sheetData sheetId="445">
        <row r="8">
          <cell r="D8" t="str">
            <v>Paramaz Avedisian Building</v>
          </cell>
        </row>
      </sheetData>
      <sheetData sheetId="446">
        <row r="8">
          <cell r="D8" t="str">
            <v>Paramaz Avedisian Building</v>
          </cell>
        </row>
      </sheetData>
      <sheetData sheetId="447">
        <row r="8">
          <cell r="D8" t="str">
            <v>Paramaz Avedisian Building</v>
          </cell>
        </row>
      </sheetData>
      <sheetData sheetId="448">
        <row r="8">
          <cell r="D8" t="str">
            <v>Paramaz Avedisian Building</v>
          </cell>
        </row>
      </sheetData>
      <sheetData sheetId="449">
        <row r="8">
          <cell r="D8" t="str">
            <v>Paramaz Avedisian Building</v>
          </cell>
        </row>
      </sheetData>
      <sheetData sheetId="450">
        <row r="8">
          <cell r="D8" t="str">
            <v>Paramaz Avedisian Building</v>
          </cell>
        </row>
      </sheetData>
      <sheetData sheetId="451">
        <row r="8">
          <cell r="D8" t="str">
            <v>Paramaz Avedisian Building</v>
          </cell>
        </row>
      </sheetData>
      <sheetData sheetId="452">
        <row r="8">
          <cell r="D8" t="str">
            <v>Paramaz Avedisian Building</v>
          </cell>
        </row>
      </sheetData>
      <sheetData sheetId="453">
        <row r="8">
          <cell r="D8" t="str">
            <v>Paramaz Avedisian Building</v>
          </cell>
        </row>
      </sheetData>
      <sheetData sheetId="454">
        <row r="8">
          <cell r="D8" t="str">
            <v>Paramaz Avedisian Building</v>
          </cell>
        </row>
      </sheetData>
      <sheetData sheetId="455">
        <row r="8">
          <cell r="D8" t="str">
            <v>Paramaz Avedisian Building</v>
          </cell>
        </row>
      </sheetData>
      <sheetData sheetId="456">
        <row r="8">
          <cell r="D8" t="str">
            <v>Paramaz Avedisian Building</v>
          </cell>
        </row>
      </sheetData>
      <sheetData sheetId="457">
        <row r="8">
          <cell r="D8" t="str">
            <v>Paramaz Avedisian Building</v>
          </cell>
        </row>
      </sheetData>
      <sheetData sheetId="458">
        <row r="8">
          <cell r="D8" t="str">
            <v>Paramaz Avedisian Building</v>
          </cell>
        </row>
      </sheetData>
      <sheetData sheetId="459">
        <row r="8">
          <cell r="D8" t="str">
            <v>Paramaz Avedisian Building</v>
          </cell>
        </row>
      </sheetData>
      <sheetData sheetId="460">
        <row r="8">
          <cell r="D8" t="str">
            <v>Paramaz Avedisian Building</v>
          </cell>
        </row>
      </sheetData>
      <sheetData sheetId="461">
        <row r="8">
          <cell r="D8" t="str">
            <v>Paramaz Avedisian Building</v>
          </cell>
        </row>
      </sheetData>
      <sheetData sheetId="462">
        <row r="8">
          <cell r="D8" t="str">
            <v>Paramaz Avedisian Building</v>
          </cell>
        </row>
      </sheetData>
      <sheetData sheetId="463">
        <row r="8">
          <cell r="D8" t="str">
            <v>Paramaz Avedisian Building</v>
          </cell>
        </row>
      </sheetData>
      <sheetData sheetId="464">
        <row r="8">
          <cell r="D8" t="str">
            <v>Paramaz Avedisian Building</v>
          </cell>
        </row>
      </sheetData>
      <sheetData sheetId="465">
        <row r="8">
          <cell r="D8" t="str">
            <v>Paramaz Avedisian Building</v>
          </cell>
        </row>
      </sheetData>
      <sheetData sheetId="466">
        <row r="8">
          <cell r="D8" t="str">
            <v>Paramaz Avedisian Building</v>
          </cell>
        </row>
      </sheetData>
      <sheetData sheetId="467">
        <row r="8">
          <cell r="D8" t="str">
            <v>Paramaz Avedisian Building</v>
          </cell>
        </row>
      </sheetData>
      <sheetData sheetId="468">
        <row r="8">
          <cell r="D8" t="str">
            <v>Paramaz Avedisian Building</v>
          </cell>
        </row>
      </sheetData>
      <sheetData sheetId="469">
        <row r="8">
          <cell r="D8" t="str">
            <v>Paramaz Avedisian Building</v>
          </cell>
        </row>
      </sheetData>
      <sheetData sheetId="470">
        <row r="8">
          <cell r="D8" t="str">
            <v>Paramaz Avedisian Building</v>
          </cell>
        </row>
      </sheetData>
      <sheetData sheetId="471">
        <row r="8">
          <cell r="D8" t="str">
            <v>Paramaz Avedisian Building</v>
          </cell>
        </row>
      </sheetData>
      <sheetData sheetId="472">
        <row r="8">
          <cell r="D8" t="str">
            <v>Paramaz Avedisian Building</v>
          </cell>
        </row>
      </sheetData>
      <sheetData sheetId="473">
        <row r="8">
          <cell r="D8" t="str">
            <v>Paramaz Avedisian Building</v>
          </cell>
        </row>
      </sheetData>
      <sheetData sheetId="474">
        <row r="8">
          <cell r="D8" t="str">
            <v>Paramaz Avedisian Building</v>
          </cell>
        </row>
      </sheetData>
      <sheetData sheetId="475">
        <row r="8">
          <cell r="D8" t="str">
            <v>Paramaz Avedisian Building</v>
          </cell>
        </row>
      </sheetData>
      <sheetData sheetId="476">
        <row r="8">
          <cell r="D8" t="str">
            <v>Paramaz Avedisian Building</v>
          </cell>
        </row>
      </sheetData>
      <sheetData sheetId="477">
        <row r="8">
          <cell r="D8" t="str">
            <v>Paramaz Avedisian Building</v>
          </cell>
        </row>
      </sheetData>
      <sheetData sheetId="478">
        <row r="8">
          <cell r="D8" t="str">
            <v>Paramaz Avedisian Building</v>
          </cell>
        </row>
      </sheetData>
      <sheetData sheetId="479">
        <row r="8">
          <cell r="D8" t="str">
            <v>Paramaz Avedisian Building</v>
          </cell>
        </row>
      </sheetData>
      <sheetData sheetId="480">
        <row r="8">
          <cell r="D8" t="str">
            <v>Paramaz Avedisian Building</v>
          </cell>
        </row>
      </sheetData>
      <sheetData sheetId="481">
        <row r="8">
          <cell r="D8" t="str">
            <v>Paramaz Avedisian Building</v>
          </cell>
        </row>
      </sheetData>
      <sheetData sheetId="482">
        <row r="8">
          <cell r="D8" t="str">
            <v>Paramaz Avedisian Building</v>
          </cell>
        </row>
      </sheetData>
      <sheetData sheetId="483">
        <row r="8">
          <cell r="D8" t="str">
            <v>Paramaz Avedisian Building</v>
          </cell>
        </row>
      </sheetData>
      <sheetData sheetId="484">
        <row r="8">
          <cell r="D8" t="str">
            <v>Paramaz Avedisian Building</v>
          </cell>
        </row>
      </sheetData>
      <sheetData sheetId="485">
        <row r="8">
          <cell r="D8" t="str">
            <v>Paramaz Avedisian Building</v>
          </cell>
        </row>
      </sheetData>
      <sheetData sheetId="486">
        <row r="8">
          <cell r="D8" t="str">
            <v>Paramaz Avedisian Building</v>
          </cell>
        </row>
      </sheetData>
      <sheetData sheetId="487">
        <row r="8">
          <cell r="D8" t="str">
            <v>Paramaz Avedisian Building</v>
          </cell>
        </row>
      </sheetData>
      <sheetData sheetId="488">
        <row r="8">
          <cell r="D8" t="str">
            <v>Paramaz Avedisian Building</v>
          </cell>
        </row>
      </sheetData>
      <sheetData sheetId="489">
        <row r="8">
          <cell r="D8" t="str">
            <v>Paramaz Avedisian Building</v>
          </cell>
        </row>
      </sheetData>
      <sheetData sheetId="490">
        <row r="8">
          <cell r="D8" t="str">
            <v>Paramaz Avedisian Building</v>
          </cell>
        </row>
      </sheetData>
      <sheetData sheetId="491">
        <row r="8">
          <cell r="D8" t="str">
            <v>Paramaz Avedisian Building</v>
          </cell>
        </row>
      </sheetData>
      <sheetData sheetId="492">
        <row r="8">
          <cell r="D8" t="str">
            <v>Paramaz Avedisian Building</v>
          </cell>
        </row>
      </sheetData>
      <sheetData sheetId="493">
        <row r="8">
          <cell r="D8" t="str">
            <v>Paramaz Avedisian Building</v>
          </cell>
        </row>
      </sheetData>
      <sheetData sheetId="494">
        <row r="8">
          <cell r="D8" t="str">
            <v>Paramaz Avedisian Building</v>
          </cell>
        </row>
      </sheetData>
      <sheetData sheetId="495">
        <row r="8">
          <cell r="D8" t="str">
            <v>Paramaz Avedisian Building</v>
          </cell>
        </row>
      </sheetData>
      <sheetData sheetId="496">
        <row r="8">
          <cell r="D8" t="str">
            <v>Paramaz Avedisian Building</v>
          </cell>
        </row>
      </sheetData>
      <sheetData sheetId="497">
        <row r="8">
          <cell r="D8" t="str">
            <v>Paramaz Avedisian Building</v>
          </cell>
        </row>
      </sheetData>
      <sheetData sheetId="498">
        <row r="8">
          <cell r="D8" t="str">
            <v>Paramaz Avedisian Building</v>
          </cell>
        </row>
      </sheetData>
      <sheetData sheetId="499">
        <row r="8">
          <cell r="D8" t="str">
            <v>Paramaz Avedisian Building</v>
          </cell>
        </row>
      </sheetData>
      <sheetData sheetId="500">
        <row r="8">
          <cell r="D8" t="str">
            <v>Paramaz Avedisian Building</v>
          </cell>
        </row>
      </sheetData>
      <sheetData sheetId="501">
        <row r="8">
          <cell r="D8" t="str">
            <v>Paramaz Avedisian Building</v>
          </cell>
        </row>
      </sheetData>
      <sheetData sheetId="502">
        <row r="8">
          <cell r="D8" t="str">
            <v>Paramaz Avedisian Building</v>
          </cell>
        </row>
      </sheetData>
      <sheetData sheetId="503">
        <row r="8">
          <cell r="D8" t="str">
            <v>Paramaz Avedisian Building</v>
          </cell>
        </row>
      </sheetData>
      <sheetData sheetId="504">
        <row r="8">
          <cell r="D8" t="str">
            <v>Paramaz Avedisian Building</v>
          </cell>
        </row>
      </sheetData>
      <sheetData sheetId="505">
        <row r="8">
          <cell r="D8" t="str">
            <v>Paramaz Avedisian Building</v>
          </cell>
        </row>
      </sheetData>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ow r="8">
          <cell r="D8" t="str">
            <v>Paramaz Avedisian Building</v>
          </cell>
        </row>
      </sheetData>
      <sheetData sheetId="513">
        <row r="8">
          <cell r="D8" t="str">
            <v>Paramaz Avedisian Building</v>
          </cell>
        </row>
      </sheetData>
      <sheetData sheetId="514">
        <row r="8">
          <cell r="D8" t="str">
            <v>Paramaz Avedisian Building</v>
          </cell>
        </row>
      </sheetData>
      <sheetData sheetId="515">
        <row r="8">
          <cell r="D8" t="str">
            <v>Paramaz Avedisian Building</v>
          </cell>
        </row>
      </sheetData>
      <sheetData sheetId="516">
        <row r="8">
          <cell r="D8" t="str">
            <v>Paramaz Avedisian Building</v>
          </cell>
        </row>
      </sheetData>
      <sheetData sheetId="517">
        <row r="8">
          <cell r="D8" t="str">
            <v>Paramaz Avedisian Building</v>
          </cell>
        </row>
      </sheetData>
      <sheetData sheetId="518">
        <row r="8">
          <cell r="D8" t="str">
            <v>Paramaz Avedisian Building</v>
          </cell>
        </row>
      </sheetData>
      <sheetData sheetId="519">
        <row r="8">
          <cell r="D8" t="str">
            <v>Paramaz Avedisian Building</v>
          </cell>
        </row>
      </sheetData>
      <sheetData sheetId="520">
        <row r="8">
          <cell r="D8" t="str">
            <v>Paramaz Avedisian Building</v>
          </cell>
        </row>
      </sheetData>
      <sheetData sheetId="521">
        <row r="8">
          <cell r="D8" t="str">
            <v>Paramaz Avedisian Building</v>
          </cell>
        </row>
      </sheetData>
      <sheetData sheetId="522">
        <row r="8">
          <cell r="D8" t="str">
            <v>Paramaz Avedisian Building</v>
          </cell>
        </row>
      </sheetData>
      <sheetData sheetId="523">
        <row r="8">
          <cell r="D8" t="str">
            <v>Paramaz Avedisian Building</v>
          </cell>
        </row>
      </sheetData>
      <sheetData sheetId="524">
        <row r="8">
          <cell r="D8" t="str">
            <v>Paramaz Avedisian Building</v>
          </cell>
        </row>
      </sheetData>
      <sheetData sheetId="525">
        <row r="8">
          <cell r="D8" t="str">
            <v>Paramaz Avedisian Building</v>
          </cell>
        </row>
      </sheetData>
      <sheetData sheetId="526">
        <row r="8">
          <cell r="D8" t="str">
            <v>Paramaz Avedisian Building</v>
          </cell>
        </row>
      </sheetData>
      <sheetData sheetId="527">
        <row r="8">
          <cell r="D8" t="str">
            <v>Paramaz Avedisian Building</v>
          </cell>
        </row>
      </sheetData>
      <sheetData sheetId="528">
        <row r="8">
          <cell r="D8" t="str">
            <v>Paramaz Avedisian Building</v>
          </cell>
        </row>
      </sheetData>
      <sheetData sheetId="529">
        <row r="8">
          <cell r="D8" t="str">
            <v>Paramaz Avedisian Building</v>
          </cell>
        </row>
      </sheetData>
      <sheetData sheetId="530">
        <row r="8">
          <cell r="D8" t="str">
            <v>Paramaz Avedisian Building</v>
          </cell>
        </row>
      </sheetData>
      <sheetData sheetId="531">
        <row r="8">
          <cell r="D8" t="str">
            <v>Paramaz Avedisian Building</v>
          </cell>
        </row>
      </sheetData>
      <sheetData sheetId="532">
        <row r="8">
          <cell r="D8" t="str">
            <v>Paramaz Avedisian Building</v>
          </cell>
        </row>
      </sheetData>
      <sheetData sheetId="533">
        <row r="8">
          <cell r="D8" t="str">
            <v>Paramaz Avedisian Building</v>
          </cell>
        </row>
      </sheetData>
      <sheetData sheetId="534">
        <row r="8">
          <cell r="D8" t="str">
            <v>Paramaz Avedisian Building</v>
          </cell>
        </row>
      </sheetData>
      <sheetData sheetId="535">
        <row r="8">
          <cell r="D8" t="str">
            <v>Paramaz Avedisian Building</v>
          </cell>
        </row>
      </sheetData>
      <sheetData sheetId="536">
        <row r="8">
          <cell r="D8" t="str">
            <v>Paramaz Avedisian Building</v>
          </cell>
        </row>
      </sheetData>
      <sheetData sheetId="537">
        <row r="8">
          <cell r="D8" t="str">
            <v>Paramaz Avedisian Building</v>
          </cell>
        </row>
      </sheetData>
      <sheetData sheetId="538" refreshError="1"/>
      <sheetData sheetId="539" refreshError="1"/>
      <sheetData sheetId="540" refreshError="1"/>
      <sheetData sheetId="541">
        <row r="8">
          <cell r="D8" t="str">
            <v>Paramaz Avedisian Building</v>
          </cell>
        </row>
      </sheetData>
      <sheetData sheetId="542">
        <row r="8">
          <cell r="D8" t="str">
            <v>Paramaz Avedisian Building</v>
          </cell>
        </row>
      </sheetData>
      <sheetData sheetId="543" refreshError="1"/>
      <sheetData sheetId="544">
        <row r="8">
          <cell r="D8" t="str">
            <v>Paramaz Avedisian Building</v>
          </cell>
        </row>
      </sheetData>
      <sheetData sheetId="545">
        <row r="8">
          <cell r="D8" t="str">
            <v>Paramaz Avedisian Building</v>
          </cell>
        </row>
      </sheetData>
      <sheetData sheetId="546">
        <row r="8">
          <cell r="D8" t="str">
            <v>Paramaz Avedisian Building</v>
          </cell>
        </row>
      </sheetData>
      <sheetData sheetId="547">
        <row r="8">
          <cell r="D8" t="str">
            <v>Paramaz Avedisian Building</v>
          </cell>
        </row>
      </sheetData>
      <sheetData sheetId="548" refreshError="1"/>
      <sheetData sheetId="549" refreshError="1"/>
      <sheetData sheetId="550">
        <row r="8">
          <cell r="D8" t="str">
            <v>Paramaz Avedisian Building</v>
          </cell>
        </row>
      </sheetData>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ow r="8">
          <cell r="D8" t="str">
            <v>Paramaz Avedisian Building</v>
          </cell>
        </row>
      </sheetData>
      <sheetData sheetId="563">
        <row r="8">
          <cell r="D8" t="str">
            <v>Paramaz Avedisian Building</v>
          </cell>
        </row>
      </sheetData>
      <sheetData sheetId="564">
        <row r="8">
          <cell r="D8" t="str">
            <v>Paramaz Avedisian Building</v>
          </cell>
        </row>
      </sheetData>
      <sheetData sheetId="565">
        <row r="8">
          <cell r="D8" t="str">
            <v>Paramaz Avedisian Building</v>
          </cell>
        </row>
      </sheetData>
      <sheetData sheetId="566">
        <row r="8">
          <cell r="D8" t="str">
            <v>Paramaz Avedisian Building</v>
          </cell>
        </row>
      </sheetData>
      <sheetData sheetId="567">
        <row r="8">
          <cell r="D8" t="str">
            <v>Paramaz Avedisian Building</v>
          </cell>
        </row>
      </sheetData>
      <sheetData sheetId="568">
        <row r="8">
          <cell r="D8" t="str">
            <v>Paramaz Avedisian Building</v>
          </cell>
        </row>
      </sheetData>
      <sheetData sheetId="569">
        <row r="8">
          <cell r="D8" t="str">
            <v>Paramaz Avedisian Building</v>
          </cell>
        </row>
      </sheetData>
      <sheetData sheetId="570">
        <row r="8">
          <cell r="D8" t="str">
            <v>Paramaz Avedisian Building</v>
          </cell>
        </row>
      </sheetData>
      <sheetData sheetId="571">
        <row r="8">
          <cell r="D8" t="str">
            <v>Paramaz Avedisian Building</v>
          </cell>
        </row>
      </sheetData>
      <sheetData sheetId="572">
        <row r="8">
          <cell r="D8" t="str">
            <v>Paramaz Avedisian Building</v>
          </cell>
        </row>
      </sheetData>
      <sheetData sheetId="573">
        <row r="8">
          <cell r="D8" t="str">
            <v>Paramaz Avedisian Building</v>
          </cell>
        </row>
      </sheetData>
      <sheetData sheetId="574">
        <row r="8">
          <cell r="D8" t="str">
            <v>Paramaz Avedisian Building</v>
          </cell>
        </row>
      </sheetData>
      <sheetData sheetId="575">
        <row r="8">
          <cell r="D8" t="str">
            <v>Paramaz Avedisian Building</v>
          </cell>
        </row>
      </sheetData>
      <sheetData sheetId="576">
        <row r="8">
          <cell r="D8" t="str">
            <v>Paramaz Avedisian Building</v>
          </cell>
        </row>
      </sheetData>
      <sheetData sheetId="577">
        <row r="8">
          <cell r="D8" t="str">
            <v>Paramaz Avedisian Building</v>
          </cell>
        </row>
      </sheetData>
      <sheetData sheetId="578">
        <row r="8">
          <cell r="D8" t="str">
            <v>Paramaz Avedisian Building</v>
          </cell>
        </row>
      </sheetData>
      <sheetData sheetId="579">
        <row r="8">
          <cell r="D8" t="str">
            <v>Paramaz Avedisian Building</v>
          </cell>
        </row>
      </sheetData>
      <sheetData sheetId="580">
        <row r="8">
          <cell r="D8" t="str">
            <v>Paramaz Avedisian Building</v>
          </cell>
        </row>
      </sheetData>
      <sheetData sheetId="581">
        <row r="8">
          <cell r="D8" t="str">
            <v>Paramaz Avedisian Building</v>
          </cell>
        </row>
      </sheetData>
      <sheetData sheetId="582">
        <row r="8">
          <cell r="D8" t="str">
            <v>Paramaz Avedisian Building</v>
          </cell>
        </row>
      </sheetData>
      <sheetData sheetId="583" refreshError="1"/>
      <sheetData sheetId="584">
        <row r="8">
          <cell r="D8" t="str">
            <v>Paramaz Avedisian Building</v>
          </cell>
        </row>
      </sheetData>
      <sheetData sheetId="585">
        <row r="8">
          <cell r="D8" t="str">
            <v>Paramaz Avedisian Building</v>
          </cell>
        </row>
      </sheetData>
      <sheetData sheetId="586">
        <row r="8">
          <cell r="D8" t="str">
            <v>Paramaz Avedisian Building</v>
          </cell>
        </row>
      </sheetData>
      <sheetData sheetId="587">
        <row r="8">
          <cell r="D8" t="str">
            <v>Paramaz Avedisian Building</v>
          </cell>
        </row>
      </sheetData>
      <sheetData sheetId="588" refreshError="1"/>
      <sheetData sheetId="589">
        <row r="8">
          <cell r="D8" t="str">
            <v>Paramaz Avedisian Building</v>
          </cell>
        </row>
      </sheetData>
      <sheetData sheetId="590">
        <row r="8">
          <cell r="D8" t="str">
            <v>Paramaz Avedisian Building</v>
          </cell>
        </row>
      </sheetData>
      <sheetData sheetId="591">
        <row r="8">
          <cell r="D8" t="str">
            <v>Paramaz Avedisian Building</v>
          </cell>
        </row>
      </sheetData>
      <sheetData sheetId="592">
        <row r="8">
          <cell r="D8" t="str">
            <v>Paramaz Avedisian Building</v>
          </cell>
        </row>
      </sheetData>
      <sheetData sheetId="593">
        <row r="8">
          <cell r="D8" t="str">
            <v>Paramaz Avedisian Building</v>
          </cell>
        </row>
      </sheetData>
      <sheetData sheetId="594">
        <row r="8">
          <cell r="D8" t="str">
            <v>Paramaz Avedisian Building</v>
          </cell>
        </row>
      </sheetData>
      <sheetData sheetId="595">
        <row r="8">
          <cell r="D8" t="str">
            <v>Paramaz Avedisian Building</v>
          </cell>
        </row>
      </sheetData>
      <sheetData sheetId="596">
        <row r="8">
          <cell r="D8" t="str">
            <v>Paramaz Avedisian Building</v>
          </cell>
        </row>
      </sheetData>
      <sheetData sheetId="597">
        <row r="8">
          <cell r="D8" t="str">
            <v>Paramaz Avedisian Building</v>
          </cell>
        </row>
      </sheetData>
      <sheetData sheetId="598">
        <row r="8">
          <cell r="D8" t="str">
            <v>Paramaz Avedisian Building</v>
          </cell>
        </row>
      </sheetData>
      <sheetData sheetId="599">
        <row r="8">
          <cell r="D8" t="str">
            <v>Paramaz Avedisian Building</v>
          </cell>
        </row>
      </sheetData>
      <sheetData sheetId="600">
        <row r="8">
          <cell r="D8" t="str">
            <v>Paramaz Avedisian Building</v>
          </cell>
        </row>
      </sheetData>
      <sheetData sheetId="601">
        <row r="8">
          <cell r="D8" t="str">
            <v>Paramaz Avedisian Building</v>
          </cell>
        </row>
      </sheetData>
      <sheetData sheetId="602">
        <row r="8">
          <cell r="D8" t="str">
            <v>Paramaz Avedisian Building</v>
          </cell>
        </row>
      </sheetData>
      <sheetData sheetId="603">
        <row r="8">
          <cell r="D8" t="str">
            <v>Paramaz Avedisian Building</v>
          </cell>
        </row>
      </sheetData>
      <sheetData sheetId="604">
        <row r="8">
          <cell r="D8" t="str">
            <v>Paramaz Avedisian Building</v>
          </cell>
        </row>
      </sheetData>
      <sheetData sheetId="605">
        <row r="8">
          <cell r="D8" t="str">
            <v>Paramaz Avedisian Building</v>
          </cell>
        </row>
      </sheetData>
      <sheetData sheetId="606">
        <row r="8">
          <cell r="D8" t="str">
            <v>Paramaz Avedisian Building</v>
          </cell>
        </row>
      </sheetData>
      <sheetData sheetId="607">
        <row r="8">
          <cell r="D8" t="str">
            <v>Paramaz Avedisian Building</v>
          </cell>
        </row>
      </sheetData>
      <sheetData sheetId="608">
        <row r="8">
          <cell r="D8" t="str">
            <v>Paramaz Avedisian Building</v>
          </cell>
        </row>
      </sheetData>
      <sheetData sheetId="609">
        <row r="8">
          <cell r="D8" t="str">
            <v>Paramaz Avedisian Building</v>
          </cell>
        </row>
      </sheetData>
      <sheetData sheetId="610">
        <row r="8">
          <cell r="D8" t="str">
            <v>Paramaz Avedisian Building</v>
          </cell>
        </row>
      </sheetData>
      <sheetData sheetId="611">
        <row r="8">
          <cell r="D8" t="str">
            <v>Paramaz Avedisian Building</v>
          </cell>
        </row>
      </sheetData>
      <sheetData sheetId="612">
        <row r="8">
          <cell r="D8" t="str">
            <v>Paramaz Avedisian Building</v>
          </cell>
        </row>
      </sheetData>
      <sheetData sheetId="613">
        <row r="8">
          <cell r="D8" t="str">
            <v>Paramaz Avedisian Building</v>
          </cell>
        </row>
      </sheetData>
      <sheetData sheetId="614">
        <row r="8">
          <cell r="D8" t="str">
            <v>Paramaz Avedisian Building</v>
          </cell>
        </row>
      </sheetData>
      <sheetData sheetId="615">
        <row r="8">
          <cell r="D8" t="str">
            <v>Paramaz Avedisian Building</v>
          </cell>
        </row>
      </sheetData>
      <sheetData sheetId="616">
        <row r="8">
          <cell r="D8" t="str">
            <v>Paramaz Avedisian Building</v>
          </cell>
        </row>
      </sheetData>
      <sheetData sheetId="617">
        <row r="8">
          <cell r="D8" t="str">
            <v>Paramaz Avedisian Building</v>
          </cell>
        </row>
      </sheetData>
      <sheetData sheetId="618">
        <row r="8">
          <cell r="D8" t="str">
            <v>Paramaz Avedisian Building</v>
          </cell>
        </row>
      </sheetData>
      <sheetData sheetId="619">
        <row r="8">
          <cell r="D8" t="str">
            <v>Paramaz Avedisian Building</v>
          </cell>
        </row>
      </sheetData>
      <sheetData sheetId="620">
        <row r="8">
          <cell r="D8" t="str">
            <v>Paramaz Avedisian Building</v>
          </cell>
        </row>
      </sheetData>
      <sheetData sheetId="621">
        <row r="8">
          <cell r="D8" t="str">
            <v>Paramaz Avedisian Building</v>
          </cell>
        </row>
      </sheetData>
      <sheetData sheetId="622">
        <row r="8">
          <cell r="D8" t="str">
            <v>Paramaz Avedisian Building</v>
          </cell>
        </row>
      </sheetData>
      <sheetData sheetId="623">
        <row r="8">
          <cell r="D8" t="str">
            <v>Paramaz Avedisian Building</v>
          </cell>
        </row>
      </sheetData>
      <sheetData sheetId="624">
        <row r="8">
          <cell r="D8" t="str">
            <v>Paramaz Avedisian Building</v>
          </cell>
        </row>
      </sheetData>
      <sheetData sheetId="625">
        <row r="8">
          <cell r="D8" t="str">
            <v>Paramaz Avedisian Building</v>
          </cell>
        </row>
      </sheetData>
      <sheetData sheetId="626">
        <row r="8">
          <cell r="D8" t="str">
            <v>Paramaz Avedisian Building</v>
          </cell>
        </row>
      </sheetData>
      <sheetData sheetId="627">
        <row r="8">
          <cell r="D8" t="str">
            <v>Paramaz Avedisian Building</v>
          </cell>
        </row>
      </sheetData>
      <sheetData sheetId="628">
        <row r="8">
          <cell r="D8" t="str">
            <v>Paramaz Avedisian Building</v>
          </cell>
        </row>
      </sheetData>
      <sheetData sheetId="629">
        <row r="8">
          <cell r="D8" t="str">
            <v>Paramaz Avedisian Building</v>
          </cell>
        </row>
      </sheetData>
      <sheetData sheetId="630">
        <row r="8">
          <cell r="D8" t="str">
            <v>Paramaz Avedisian Building</v>
          </cell>
        </row>
      </sheetData>
      <sheetData sheetId="631">
        <row r="8">
          <cell r="D8" t="str">
            <v>Paramaz Avedisian Building</v>
          </cell>
        </row>
      </sheetData>
      <sheetData sheetId="632">
        <row r="8">
          <cell r="D8" t="str">
            <v>Paramaz Avedisian Building</v>
          </cell>
        </row>
      </sheetData>
      <sheetData sheetId="633">
        <row r="8">
          <cell r="D8" t="str">
            <v>Paramaz Avedisian Building</v>
          </cell>
        </row>
      </sheetData>
      <sheetData sheetId="634">
        <row r="8">
          <cell r="D8" t="str">
            <v>Paramaz Avedisian Building</v>
          </cell>
        </row>
      </sheetData>
      <sheetData sheetId="635">
        <row r="8">
          <cell r="D8" t="str">
            <v>Paramaz Avedisian Building</v>
          </cell>
        </row>
      </sheetData>
      <sheetData sheetId="636">
        <row r="8">
          <cell r="D8" t="str">
            <v>Paramaz Avedisian Building</v>
          </cell>
        </row>
      </sheetData>
      <sheetData sheetId="637">
        <row r="8">
          <cell r="D8" t="str">
            <v>Paramaz Avedisian Building</v>
          </cell>
        </row>
      </sheetData>
      <sheetData sheetId="638">
        <row r="8">
          <cell r="D8" t="str">
            <v>Paramaz Avedisian Building</v>
          </cell>
        </row>
      </sheetData>
      <sheetData sheetId="639">
        <row r="8">
          <cell r="D8" t="str">
            <v>Paramaz Avedisian Building</v>
          </cell>
        </row>
      </sheetData>
      <sheetData sheetId="640">
        <row r="8">
          <cell r="D8" t="str">
            <v>Paramaz Avedisian Building</v>
          </cell>
        </row>
      </sheetData>
      <sheetData sheetId="641">
        <row r="8">
          <cell r="D8" t="str">
            <v>Paramaz Avedisian Building</v>
          </cell>
        </row>
      </sheetData>
      <sheetData sheetId="642">
        <row r="8">
          <cell r="D8" t="str">
            <v>Paramaz Avedisian Building</v>
          </cell>
        </row>
      </sheetData>
      <sheetData sheetId="643">
        <row r="8">
          <cell r="D8" t="str">
            <v>Paramaz Avedisian Building</v>
          </cell>
        </row>
      </sheetData>
      <sheetData sheetId="644">
        <row r="8">
          <cell r="D8" t="str">
            <v>Paramaz Avedisian Building</v>
          </cell>
        </row>
      </sheetData>
      <sheetData sheetId="645">
        <row r="8">
          <cell r="D8" t="str">
            <v>Paramaz Avedisian Building</v>
          </cell>
        </row>
      </sheetData>
      <sheetData sheetId="646">
        <row r="8">
          <cell r="D8" t="str">
            <v>Paramaz Avedisian Building</v>
          </cell>
        </row>
      </sheetData>
      <sheetData sheetId="647">
        <row r="8">
          <cell r="D8" t="str">
            <v>Paramaz Avedisian Building</v>
          </cell>
        </row>
      </sheetData>
      <sheetData sheetId="648">
        <row r="8">
          <cell r="D8" t="str">
            <v>Paramaz Avedisian Building</v>
          </cell>
        </row>
      </sheetData>
      <sheetData sheetId="649">
        <row r="8">
          <cell r="D8" t="str">
            <v>Paramaz Avedisian Building</v>
          </cell>
        </row>
      </sheetData>
      <sheetData sheetId="650">
        <row r="8">
          <cell r="D8" t="str">
            <v>Paramaz Avedisian Building</v>
          </cell>
        </row>
      </sheetData>
      <sheetData sheetId="651">
        <row r="8">
          <cell r="D8" t="str">
            <v>Paramaz Avedisian Building</v>
          </cell>
        </row>
      </sheetData>
      <sheetData sheetId="652">
        <row r="8">
          <cell r="D8" t="str">
            <v>Paramaz Avedisian Building</v>
          </cell>
        </row>
      </sheetData>
      <sheetData sheetId="653">
        <row r="8">
          <cell r="D8" t="str">
            <v>Paramaz Avedisian Building</v>
          </cell>
        </row>
      </sheetData>
      <sheetData sheetId="654">
        <row r="8">
          <cell r="D8" t="str">
            <v>Paramaz Avedisian Building</v>
          </cell>
        </row>
      </sheetData>
      <sheetData sheetId="655">
        <row r="8">
          <cell r="D8" t="str">
            <v>Paramaz Avedisian Building</v>
          </cell>
        </row>
      </sheetData>
      <sheetData sheetId="656">
        <row r="8">
          <cell r="D8" t="str">
            <v>Paramaz Avedisian Building</v>
          </cell>
        </row>
      </sheetData>
      <sheetData sheetId="657">
        <row r="8">
          <cell r="D8" t="str">
            <v>Paramaz Avedisian Building</v>
          </cell>
        </row>
      </sheetData>
      <sheetData sheetId="658">
        <row r="8">
          <cell r="D8" t="str">
            <v>Paramaz Avedisian Building</v>
          </cell>
        </row>
      </sheetData>
      <sheetData sheetId="659">
        <row r="8">
          <cell r="D8" t="str">
            <v>Paramaz Avedisian Building</v>
          </cell>
        </row>
      </sheetData>
      <sheetData sheetId="660">
        <row r="8">
          <cell r="D8" t="str">
            <v>Paramaz Avedisian Building</v>
          </cell>
        </row>
      </sheetData>
      <sheetData sheetId="661" refreshError="1"/>
      <sheetData sheetId="662" refreshError="1"/>
      <sheetData sheetId="663" refreshError="1"/>
      <sheetData sheetId="664">
        <row r="8">
          <cell r="D8" t="str">
            <v>Paramaz Avedisian Building</v>
          </cell>
        </row>
      </sheetData>
      <sheetData sheetId="665">
        <row r="8">
          <cell r="D8" t="str">
            <v>Paramaz Avedisian Building</v>
          </cell>
        </row>
      </sheetData>
      <sheetData sheetId="666" refreshError="1"/>
      <sheetData sheetId="667">
        <row r="8">
          <cell r="D8" t="str">
            <v>Paramaz Avedisian Building</v>
          </cell>
        </row>
      </sheetData>
      <sheetData sheetId="668">
        <row r="8">
          <cell r="D8" t="str">
            <v>Paramaz Avedisian Building</v>
          </cell>
        </row>
      </sheetData>
      <sheetData sheetId="669">
        <row r="8">
          <cell r="D8" t="str">
            <v>Paramaz Avedisian Building</v>
          </cell>
        </row>
      </sheetData>
      <sheetData sheetId="670">
        <row r="8">
          <cell r="D8" t="str">
            <v>Paramaz Avedisian Building</v>
          </cell>
        </row>
      </sheetData>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ow r="8">
          <cell r="D8" t="str">
            <v>Paramaz Avedisian Building</v>
          </cell>
        </row>
      </sheetData>
      <sheetData sheetId="700">
        <row r="8">
          <cell r="D8" t="str">
            <v>Paramaz Avedisian Building</v>
          </cell>
        </row>
      </sheetData>
      <sheetData sheetId="701" refreshError="1"/>
      <sheetData sheetId="702">
        <row r="8">
          <cell r="D8" t="str">
            <v>Paramaz Avedisian Building</v>
          </cell>
        </row>
      </sheetData>
      <sheetData sheetId="703">
        <row r="8">
          <cell r="D8" t="str">
            <v>Paramaz Avedisian Building</v>
          </cell>
        </row>
      </sheetData>
      <sheetData sheetId="704">
        <row r="8">
          <cell r="D8" t="str">
            <v>Paramaz Avedisian Building</v>
          </cell>
        </row>
      </sheetData>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ow r="8">
          <cell r="D8" t="str">
            <v>Paramaz Avedisian Building</v>
          </cell>
        </row>
      </sheetData>
      <sheetData sheetId="737">
        <row r="8">
          <cell r="D8" t="str">
            <v>Paramaz Avedisian Building</v>
          </cell>
        </row>
      </sheetData>
      <sheetData sheetId="738">
        <row r="8">
          <cell r="D8" t="str">
            <v>Paramaz Avedisian Building</v>
          </cell>
        </row>
      </sheetData>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row r="8">
          <cell r="D8" t="str">
            <v>Paramaz Avedisian Building</v>
          </cell>
        </row>
      </sheetData>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8">
          <cell r="D8" t="str">
            <v>Paramaz Avedisian Building</v>
          </cell>
        </row>
      </sheetData>
      <sheetData sheetId="829">
        <row r="8">
          <cell r="D8" t="str">
            <v>Paramaz Avedisian Building</v>
          </cell>
        </row>
      </sheetData>
      <sheetData sheetId="830">
        <row r="8">
          <cell r="D8" t="str">
            <v>Paramaz Avedisian Building</v>
          </cell>
        </row>
      </sheetData>
      <sheetData sheetId="831">
        <row r="8">
          <cell r="D8" t="str">
            <v>Paramaz Avedisian Building</v>
          </cell>
        </row>
      </sheetData>
      <sheetData sheetId="832">
        <row r="8">
          <cell r="D8" t="str">
            <v>Paramaz Avedisian Building</v>
          </cell>
        </row>
      </sheetData>
      <sheetData sheetId="833">
        <row r="8">
          <cell r="D8" t="str">
            <v>Paramaz Avedisian Building</v>
          </cell>
        </row>
      </sheetData>
      <sheetData sheetId="834">
        <row r="8">
          <cell r="D8" t="str">
            <v>Paramaz Avedisian Building</v>
          </cell>
        </row>
      </sheetData>
      <sheetData sheetId="835">
        <row r="8">
          <cell r="D8" t="str">
            <v>Paramaz Avedisian Building</v>
          </cell>
        </row>
      </sheetData>
      <sheetData sheetId="836">
        <row r="8">
          <cell r="D8" t="str">
            <v>Paramaz Avedisian Building</v>
          </cell>
        </row>
      </sheetData>
      <sheetData sheetId="837">
        <row r="8">
          <cell r="D8" t="str">
            <v>Paramaz Avedisian Building</v>
          </cell>
        </row>
      </sheetData>
      <sheetData sheetId="838">
        <row r="8">
          <cell r="D8" t="str">
            <v>Paramaz Avedisian Building</v>
          </cell>
        </row>
      </sheetData>
      <sheetData sheetId="839">
        <row r="8">
          <cell r="D8" t="str">
            <v>Paramaz Avedisian Building</v>
          </cell>
        </row>
      </sheetData>
      <sheetData sheetId="840">
        <row r="8">
          <cell r="D8" t="str">
            <v>Paramaz Avedisian Building</v>
          </cell>
        </row>
      </sheetData>
      <sheetData sheetId="841">
        <row r="8">
          <cell r="D8" t="str">
            <v>Paramaz Avedisian Building</v>
          </cell>
        </row>
      </sheetData>
      <sheetData sheetId="842">
        <row r="8">
          <cell r="D8" t="str">
            <v>Paramaz Avedisian Building</v>
          </cell>
        </row>
      </sheetData>
      <sheetData sheetId="843">
        <row r="8">
          <cell r="D8" t="str">
            <v>Paramaz Avedisian Building</v>
          </cell>
        </row>
      </sheetData>
      <sheetData sheetId="844">
        <row r="8">
          <cell r="D8" t="str">
            <v>Paramaz Avedisian Building</v>
          </cell>
        </row>
      </sheetData>
      <sheetData sheetId="845">
        <row r="8">
          <cell r="D8" t="str">
            <v>Paramaz Avedisian Building</v>
          </cell>
        </row>
      </sheetData>
      <sheetData sheetId="846">
        <row r="8">
          <cell r="D8" t="str">
            <v>Paramaz Avedisian Building</v>
          </cell>
        </row>
      </sheetData>
      <sheetData sheetId="847">
        <row r="8">
          <cell r="D8" t="str">
            <v>Paramaz Avedisian Building</v>
          </cell>
        </row>
      </sheetData>
      <sheetData sheetId="848">
        <row r="8">
          <cell r="D8" t="str">
            <v>Paramaz Avedisian Building</v>
          </cell>
        </row>
      </sheetData>
      <sheetData sheetId="849">
        <row r="8">
          <cell r="D8" t="str">
            <v>Paramaz Avedisian Building</v>
          </cell>
        </row>
      </sheetData>
      <sheetData sheetId="850">
        <row r="8">
          <cell r="D8" t="str">
            <v>Paramaz Avedisian Building</v>
          </cell>
        </row>
      </sheetData>
      <sheetData sheetId="851">
        <row r="8">
          <cell r="D8" t="str">
            <v>Paramaz Avedisian Building</v>
          </cell>
        </row>
      </sheetData>
      <sheetData sheetId="852">
        <row r="8">
          <cell r="D8" t="str">
            <v>Paramaz Avedisian Building</v>
          </cell>
        </row>
      </sheetData>
      <sheetData sheetId="853">
        <row r="8">
          <cell r="D8" t="str">
            <v>Paramaz Avedisian Building</v>
          </cell>
        </row>
      </sheetData>
      <sheetData sheetId="854">
        <row r="8">
          <cell r="D8" t="str">
            <v>Paramaz Avedisian Building</v>
          </cell>
        </row>
      </sheetData>
      <sheetData sheetId="855">
        <row r="8">
          <cell r="D8" t="str">
            <v>Paramaz Avedisian Building</v>
          </cell>
        </row>
      </sheetData>
      <sheetData sheetId="856">
        <row r="8">
          <cell r="D8" t="str">
            <v>Paramaz Avedisian Building</v>
          </cell>
        </row>
      </sheetData>
      <sheetData sheetId="857">
        <row r="8">
          <cell r="D8" t="str">
            <v>Paramaz Avedisian Building</v>
          </cell>
        </row>
      </sheetData>
      <sheetData sheetId="858">
        <row r="8">
          <cell r="D8" t="str">
            <v>Paramaz Avedisian Building</v>
          </cell>
        </row>
      </sheetData>
      <sheetData sheetId="859">
        <row r="8">
          <cell r="D8" t="str">
            <v>Paramaz Avedisian Building</v>
          </cell>
        </row>
      </sheetData>
      <sheetData sheetId="860">
        <row r="8">
          <cell r="D8" t="str">
            <v>Paramaz Avedisian Building</v>
          </cell>
        </row>
      </sheetData>
      <sheetData sheetId="861">
        <row r="8">
          <cell r="D8" t="str">
            <v>Paramaz Avedisian Building</v>
          </cell>
        </row>
      </sheetData>
      <sheetData sheetId="862">
        <row r="8">
          <cell r="D8" t="str">
            <v>Paramaz Avedisian Building</v>
          </cell>
        </row>
      </sheetData>
      <sheetData sheetId="863">
        <row r="8">
          <cell r="D8" t="str">
            <v>Paramaz Avedisian Building</v>
          </cell>
        </row>
      </sheetData>
      <sheetData sheetId="864">
        <row r="8">
          <cell r="D8" t="str">
            <v>Paramaz Avedisian Building</v>
          </cell>
        </row>
      </sheetData>
      <sheetData sheetId="865">
        <row r="8">
          <cell r="D8" t="str">
            <v>Paramaz Avedisian Building</v>
          </cell>
        </row>
      </sheetData>
      <sheetData sheetId="866">
        <row r="8">
          <cell r="D8" t="str">
            <v>Paramaz Avedisian Building</v>
          </cell>
        </row>
      </sheetData>
      <sheetData sheetId="867">
        <row r="8">
          <cell r="D8" t="str">
            <v>Paramaz Avedisian Building</v>
          </cell>
        </row>
      </sheetData>
      <sheetData sheetId="868">
        <row r="8">
          <cell r="D8" t="str">
            <v>Paramaz Avedisian Building</v>
          </cell>
        </row>
      </sheetData>
      <sheetData sheetId="869">
        <row r="8">
          <cell r="D8" t="str">
            <v>Paramaz Avedisian Building</v>
          </cell>
        </row>
      </sheetData>
      <sheetData sheetId="870">
        <row r="8">
          <cell r="D8" t="str">
            <v>Paramaz Avedisian Building</v>
          </cell>
        </row>
      </sheetData>
      <sheetData sheetId="871">
        <row r="8">
          <cell r="D8" t="str">
            <v>Paramaz Avedisian Building</v>
          </cell>
        </row>
      </sheetData>
      <sheetData sheetId="872">
        <row r="8">
          <cell r="D8" t="str">
            <v>Paramaz Avedisian Building</v>
          </cell>
        </row>
      </sheetData>
      <sheetData sheetId="873">
        <row r="8">
          <cell r="D8" t="str">
            <v>Paramaz Avedisian Building</v>
          </cell>
        </row>
      </sheetData>
      <sheetData sheetId="874">
        <row r="8">
          <cell r="D8" t="str">
            <v>Paramaz Avedisian Building</v>
          </cell>
        </row>
      </sheetData>
      <sheetData sheetId="875">
        <row r="8">
          <cell r="D8" t="str">
            <v>Paramaz Avedisian Building</v>
          </cell>
        </row>
      </sheetData>
      <sheetData sheetId="876">
        <row r="8">
          <cell r="D8" t="str">
            <v>Paramaz Avedisian Building</v>
          </cell>
        </row>
      </sheetData>
      <sheetData sheetId="877">
        <row r="8">
          <cell r="D8" t="str">
            <v>Paramaz Avedisian Building</v>
          </cell>
        </row>
      </sheetData>
      <sheetData sheetId="878">
        <row r="8">
          <cell r="D8" t="str">
            <v>Paramaz Avedisian Building</v>
          </cell>
        </row>
      </sheetData>
      <sheetData sheetId="879">
        <row r="8">
          <cell r="D8" t="str">
            <v>Paramaz Avedisian Building</v>
          </cell>
        </row>
      </sheetData>
      <sheetData sheetId="880">
        <row r="8">
          <cell r="D8" t="str">
            <v>Paramaz Avedisian Building</v>
          </cell>
        </row>
      </sheetData>
      <sheetData sheetId="881">
        <row r="8">
          <cell r="D8" t="str">
            <v>Paramaz Avedisian Building</v>
          </cell>
        </row>
      </sheetData>
      <sheetData sheetId="882">
        <row r="8">
          <cell r="D8" t="str">
            <v>Paramaz Avedisian Building</v>
          </cell>
        </row>
      </sheetData>
      <sheetData sheetId="883">
        <row r="8">
          <cell r="D8" t="str">
            <v>Paramaz Avedisian Building</v>
          </cell>
        </row>
      </sheetData>
      <sheetData sheetId="884">
        <row r="8">
          <cell r="D8" t="str">
            <v>Paramaz Avedisian Building</v>
          </cell>
        </row>
      </sheetData>
      <sheetData sheetId="885">
        <row r="8">
          <cell r="D8" t="str">
            <v>Paramaz Avedisian Building</v>
          </cell>
        </row>
      </sheetData>
      <sheetData sheetId="886">
        <row r="8">
          <cell r="D8" t="str">
            <v>Paramaz Avedisian Building</v>
          </cell>
        </row>
      </sheetData>
      <sheetData sheetId="887">
        <row r="8">
          <cell r="D8" t="str">
            <v>Paramaz Avedisian Building</v>
          </cell>
        </row>
      </sheetData>
      <sheetData sheetId="888">
        <row r="8">
          <cell r="D8" t="str">
            <v>Paramaz Avedisian Building</v>
          </cell>
        </row>
      </sheetData>
      <sheetData sheetId="889">
        <row r="8">
          <cell r="D8" t="str">
            <v>Paramaz Avedisian Building</v>
          </cell>
        </row>
      </sheetData>
      <sheetData sheetId="890">
        <row r="8">
          <cell r="D8" t="str">
            <v>Paramaz Avedisian Building</v>
          </cell>
        </row>
      </sheetData>
      <sheetData sheetId="891">
        <row r="8">
          <cell r="D8" t="str">
            <v>Paramaz Avedisian Building</v>
          </cell>
        </row>
      </sheetData>
      <sheetData sheetId="892">
        <row r="8">
          <cell r="D8" t="str">
            <v>Paramaz Avedisian Building</v>
          </cell>
        </row>
      </sheetData>
      <sheetData sheetId="893">
        <row r="8">
          <cell r="D8" t="str">
            <v>Paramaz Avedisian Building</v>
          </cell>
        </row>
      </sheetData>
      <sheetData sheetId="894">
        <row r="8">
          <cell r="D8" t="str">
            <v>Paramaz Avedisian Building</v>
          </cell>
        </row>
      </sheetData>
      <sheetData sheetId="895">
        <row r="8">
          <cell r="D8" t="str">
            <v>Paramaz Avedisian Building</v>
          </cell>
        </row>
      </sheetData>
      <sheetData sheetId="896">
        <row r="8">
          <cell r="D8" t="str">
            <v>Paramaz Avedisian Building</v>
          </cell>
        </row>
      </sheetData>
      <sheetData sheetId="897">
        <row r="8">
          <cell r="D8" t="str">
            <v>Paramaz Avedisian Building</v>
          </cell>
        </row>
      </sheetData>
      <sheetData sheetId="898">
        <row r="8">
          <cell r="D8" t="str">
            <v>Paramaz Avedisian Building</v>
          </cell>
        </row>
      </sheetData>
      <sheetData sheetId="899">
        <row r="8">
          <cell r="D8" t="str">
            <v>Paramaz Avedisian Building</v>
          </cell>
        </row>
      </sheetData>
      <sheetData sheetId="900">
        <row r="8">
          <cell r="D8" t="str">
            <v>Paramaz Avedisian Building</v>
          </cell>
        </row>
      </sheetData>
      <sheetData sheetId="901">
        <row r="8">
          <cell r="D8" t="str">
            <v>Paramaz Avedisian Building</v>
          </cell>
        </row>
      </sheetData>
      <sheetData sheetId="902">
        <row r="8">
          <cell r="D8" t="str">
            <v>Paramaz Avedisian Building</v>
          </cell>
        </row>
      </sheetData>
      <sheetData sheetId="903">
        <row r="8">
          <cell r="D8" t="str">
            <v>Paramaz Avedisian Building</v>
          </cell>
        </row>
      </sheetData>
      <sheetData sheetId="904">
        <row r="8">
          <cell r="D8" t="str">
            <v>Paramaz Avedisian Building</v>
          </cell>
        </row>
      </sheetData>
      <sheetData sheetId="905">
        <row r="8">
          <cell r="D8" t="str">
            <v>Paramaz Avedisian Building</v>
          </cell>
        </row>
      </sheetData>
      <sheetData sheetId="906">
        <row r="8">
          <cell r="D8" t="str">
            <v>Paramaz Avedisian Building</v>
          </cell>
        </row>
      </sheetData>
      <sheetData sheetId="907">
        <row r="8">
          <cell r="D8" t="str">
            <v>Paramaz Avedisian Building</v>
          </cell>
        </row>
      </sheetData>
      <sheetData sheetId="908">
        <row r="8">
          <cell r="D8" t="str">
            <v>Paramaz Avedisian Building</v>
          </cell>
        </row>
      </sheetData>
      <sheetData sheetId="909">
        <row r="8">
          <cell r="D8" t="str">
            <v>Paramaz Avedisian Building</v>
          </cell>
        </row>
      </sheetData>
      <sheetData sheetId="910">
        <row r="8">
          <cell r="D8" t="str">
            <v>Paramaz Avedisian Building</v>
          </cell>
        </row>
      </sheetData>
      <sheetData sheetId="911">
        <row r="8">
          <cell r="D8" t="str">
            <v>Paramaz Avedisian Building</v>
          </cell>
        </row>
      </sheetData>
      <sheetData sheetId="912">
        <row r="8">
          <cell r="D8" t="str">
            <v>Paramaz Avedisian Building</v>
          </cell>
        </row>
      </sheetData>
      <sheetData sheetId="913">
        <row r="8">
          <cell r="D8" t="str">
            <v>Paramaz Avedisian Building</v>
          </cell>
        </row>
      </sheetData>
      <sheetData sheetId="914">
        <row r="8">
          <cell r="D8" t="str">
            <v>Paramaz Avedisian Building</v>
          </cell>
        </row>
      </sheetData>
      <sheetData sheetId="915">
        <row r="8">
          <cell r="D8" t="str">
            <v>Paramaz Avedisian Building</v>
          </cell>
        </row>
      </sheetData>
      <sheetData sheetId="916">
        <row r="8">
          <cell r="D8" t="str">
            <v>Paramaz Avedisian Building</v>
          </cell>
        </row>
      </sheetData>
      <sheetData sheetId="917">
        <row r="8">
          <cell r="D8" t="str">
            <v>Paramaz Avedisian Building</v>
          </cell>
        </row>
      </sheetData>
      <sheetData sheetId="918">
        <row r="8">
          <cell r="D8" t="str">
            <v>Paramaz Avedisian Building</v>
          </cell>
        </row>
      </sheetData>
      <sheetData sheetId="919">
        <row r="8">
          <cell r="D8" t="str">
            <v>Paramaz Avedisian Building</v>
          </cell>
        </row>
      </sheetData>
      <sheetData sheetId="920">
        <row r="8">
          <cell r="D8" t="str">
            <v>Paramaz Avedisian Building</v>
          </cell>
        </row>
      </sheetData>
      <sheetData sheetId="921">
        <row r="8">
          <cell r="D8" t="str">
            <v>Paramaz Avedisian Building</v>
          </cell>
        </row>
      </sheetData>
      <sheetData sheetId="922">
        <row r="8">
          <cell r="D8" t="str">
            <v>Paramaz Avedisian Building</v>
          </cell>
        </row>
      </sheetData>
      <sheetData sheetId="923">
        <row r="8">
          <cell r="D8" t="str">
            <v>Paramaz Avedisian Building</v>
          </cell>
        </row>
      </sheetData>
      <sheetData sheetId="924">
        <row r="8">
          <cell r="D8" t="str">
            <v>Paramaz Avedisian Building</v>
          </cell>
        </row>
      </sheetData>
      <sheetData sheetId="925">
        <row r="8">
          <cell r="D8" t="str">
            <v>Paramaz Avedisian Building</v>
          </cell>
        </row>
      </sheetData>
      <sheetData sheetId="926">
        <row r="8">
          <cell r="D8" t="str">
            <v>Paramaz Avedisian Building</v>
          </cell>
        </row>
      </sheetData>
      <sheetData sheetId="927">
        <row r="8">
          <cell r="D8" t="str">
            <v>Paramaz Avedisian Building</v>
          </cell>
        </row>
      </sheetData>
      <sheetData sheetId="928">
        <row r="8">
          <cell r="D8" t="str">
            <v>Paramaz Avedisian Building</v>
          </cell>
        </row>
      </sheetData>
      <sheetData sheetId="929">
        <row r="8">
          <cell r="D8" t="str">
            <v>Paramaz Avedisian Building</v>
          </cell>
        </row>
      </sheetData>
      <sheetData sheetId="930">
        <row r="8">
          <cell r="D8" t="str">
            <v>Paramaz Avedisian Building</v>
          </cell>
        </row>
      </sheetData>
      <sheetData sheetId="931">
        <row r="8">
          <cell r="D8" t="str">
            <v>Paramaz Avedisian Building</v>
          </cell>
        </row>
      </sheetData>
      <sheetData sheetId="932">
        <row r="8">
          <cell r="D8" t="str">
            <v>Paramaz Avedisian Building</v>
          </cell>
        </row>
      </sheetData>
      <sheetData sheetId="933">
        <row r="8">
          <cell r="D8" t="str">
            <v>Paramaz Avedisian Building</v>
          </cell>
        </row>
      </sheetData>
      <sheetData sheetId="934">
        <row r="8">
          <cell r="D8" t="str">
            <v>Paramaz Avedisian Building</v>
          </cell>
        </row>
      </sheetData>
      <sheetData sheetId="935">
        <row r="8">
          <cell r="D8" t="str">
            <v>Paramaz Avedisian Building</v>
          </cell>
        </row>
      </sheetData>
      <sheetData sheetId="936">
        <row r="8">
          <cell r="D8" t="str">
            <v>Paramaz Avedisian Building</v>
          </cell>
        </row>
      </sheetData>
      <sheetData sheetId="937">
        <row r="8">
          <cell r="D8" t="str">
            <v>Paramaz Avedisian Building</v>
          </cell>
        </row>
      </sheetData>
      <sheetData sheetId="938">
        <row r="8">
          <cell r="D8" t="str">
            <v>Paramaz Avedisian Building</v>
          </cell>
        </row>
      </sheetData>
      <sheetData sheetId="939">
        <row r="8">
          <cell r="D8" t="str">
            <v>Paramaz Avedisian Building</v>
          </cell>
        </row>
      </sheetData>
      <sheetData sheetId="940">
        <row r="8">
          <cell r="D8" t="str">
            <v>Paramaz Avedisian Building</v>
          </cell>
        </row>
      </sheetData>
      <sheetData sheetId="941">
        <row r="8">
          <cell r="D8" t="str">
            <v>Paramaz Avedisian Building</v>
          </cell>
        </row>
      </sheetData>
      <sheetData sheetId="942">
        <row r="8">
          <cell r="D8" t="str">
            <v>Paramaz Avedisian Building</v>
          </cell>
        </row>
      </sheetData>
      <sheetData sheetId="943">
        <row r="8">
          <cell r="D8" t="str">
            <v>Paramaz Avedisian Building</v>
          </cell>
        </row>
      </sheetData>
      <sheetData sheetId="944">
        <row r="8">
          <cell r="D8" t="str">
            <v>Paramaz Avedisian Building</v>
          </cell>
        </row>
      </sheetData>
      <sheetData sheetId="945">
        <row r="8">
          <cell r="D8" t="str">
            <v>Paramaz Avedisian Building</v>
          </cell>
        </row>
      </sheetData>
      <sheetData sheetId="946">
        <row r="8">
          <cell r="D8" t="str">
            <v>Paramaz Avedisian Building</v>
          </cell>
        </row>
      </sheetData>
      <sheetData sheetId="947">
        <row r="8">
          <cell r="D8" t="str">
            <v>Paramaz Avedisian Building</v>
          </cell>
        </row>
      </sheetData>
      <sheetData sheetId="948">
        <row r="8">
          <cell r="D8" t="str">
            <v>Paramaz Avedisian Building</v>
          </cell>
        </row>
      </sheetData>
      <sheetData sheetId="949">
        <row r="8">
          <cell r="D8" t="str">
            <v>Paramaz Avedisian Building</v>
          </cell>
        </row>
      </sheetData>
      <sheetData sheetId="950">
        <row r="8">
          <cell r="D8" t="str">
            <v>Paramaz Avedisian Building</v>
          </cell>
        </row>
      </sheetData>
      <sheetData sheetId="951">
        <row r="8">
          <cell r="D8" t="str">
            <v>Paramaz Avedisian Building</v>
          </cell>
        </row>
      </sheetData>
      <sheetData sheetId="952">
        <row r="8">
          <cell r="D8" t="str">
            <v>Paramaz Avedisian Building</v>
          </cell>
        </row>
      </sheetData>
      <sheetData sheetId="953">
        <row r="8">
          <cell r="D8" t="str">
            <v>Paramaz Avedisian Building</v>
          </cell>
        </row>
      </sheetData>
      <sheetData sheetId="954">
        <row r="8">
          <cell r="D8" t="str">
            <v>Paramaz Avedisian Building</v>
          </cell>
        </row>
      </sheetData>
      <sheetData sheetId="955">
        <row r="8">
          <cell r="D8" t="str">
            <v>Paramaz Avedisian Building</v>
          </cell>
        </row>
      </sheetData>
      <sheetData sheetId="956">
        <row r="8">
          <cell r="D8" t="str">
            <v>Paramaz Avedisian Building</v>
          </cell>
        </row>
      </sheetData>
      <sheetData sheetId="957">
        <row r="8">
          <cell r="D8" t="str">
            <v>Paramaz Avedisian Building</v>
          </cell>
        </row>
      </sheetData>
      <sheetData sheetId="958">
        <row r="8">
          <cell r="D8" t="str">
            <v>Paramaz Avedisian Building</v>
          </cell>
        </row>
      </sheetData>
      <sheetData sheetId="959">
        <row r="8">
          <cell r="D8" t="str">
            <v>Paramaz Avedisian Building</v>
          </cell>
        </row>
      </sheetData>
      <sheetData sheetId="960">
        <row r="8">
          <cell r="D8" t="str">
            <v>Paramaz Avedisian Building</v>
          </cell>
        </row>
      </sheetData>
      <sheetData sheetId="961">
        <row r="8">
          <cell r="D8" t="str">
            <v>Paramaz Avedisian Building</v>
          </cell>
        </row>
      </sheetData>
      <sheetData sheetId="962">
        <row r="8">
          <cell r="D8" t="str">
            <v>Paramaz Avedisian Building</v>
          </cell>
        </row>
      </sheetData>
      <sheetData sheetId="963">
        <row r="8">
          <cell r="D8" t="str">
            <v>Paramaz Avedisian Building</v>
          </cell>
        </row>
      </sheetData>
      <sheetData sheetId="964">
        <row r="8">
          <cell r="D8" t="str">
            <v>Paramaz Avedisian Building</v>
          </cell>
        </row>
      </sheetData>
      <sheetData sheetId="965">
        <row r="8">
          <cell r="D8" t="str">
            <v>Paramaz Avedisian Building</v>
          </cell>
        </row>
      </sheetData>
      <sheetData sheetId="966">
        <row r="8">
          <cell r="D8" t="str">
            <v>Paramaz Avedisian Building</v>
          </cell>
        </row>
      </sheetData>
      <sheetData sheetId="967">
        <row r="8">
          <cell r="D8" t="str">
            <v>Paramaz Avedisian Building</v>
          </cell>
        </row>
      </sheetData>
      <sheetData sheetId="968">
        <row r="8">
          <cell r="D8" t="str">
            <v>Paramaz Avedisian Building</v>
          </cell>
        </row>
      </sheetData>
      <sheetData sheetId="969">
        <row r="8">
          <cell r="D8" t="str">
            <v>Paramaz Avedisian Building</v>
          </cell>
        </row>
      </sheetData>
      <sheetData sheetId="970">
        <row r="8">
          <cell r="D8" t="str">
            <v>Paramaz Avedisian Building</v>
          </cell>
        </row>
      </sheetData>
      <sheetData sheetId="971">
        <row r="8">
          <cell r="D8" t="str">
            <v>Paramaz Avedisian Building</v>
          </cell>
        </row>
      </sheetData>
      <sheetData sheetId="972">
        <row r="8">
          <cell r="D8" t="str">
            <v>Paramaz Avedisian Building</v>
          </cell>
        </row>
      </sheetData>
      <sheetData sheetId="973">
        <row r="8">
          <cell r="D8" t="str">
            <v>Paramaz Avedisian Building</v>
          </cell>
        </row>
      </sheetData>
      <sheetData sheetId="974">
        <row r="8">
          <cell r="D8" t="str">
            <v>Paramaz Avedisian Building</v>
          </cell>
        </row>
      </sheetData>
      <sheetData sheetId="975">
        <row r="8">
          <cell r="D8" t="str">
            <v>Paramaz Avedisian Building</v>
          </cell>
        </row>
      </sheetData>
      <sheetData sheetId="976">
        <row r="8">
          <cell r="D8" t="str">
            <v>Paramaz Avedisian Building</v>
          </cell>
        </row>
      </sheetData>
      <sheetData sheetId="977">
        <row r="8">
          <cell r="D8" t="str">
            <v>Paramaz Avedisian Building</v>
          </cell>
        </row>
      </sheetData>
      <sheetData sheetId="978">
        <row r="8">
          <cell r="D8" t="str">
            <v>Paramaz Avedisian Building</v>
          </cell>
        </row>
      </sheetData>
      <sheetData sheetId="979">
        <row r="8">
          <cell r="D8" t="str">
            <v>Paramaz Avedisian Building</v>
          </cell>
        </row>
      </sheetData>
      <sheetData sheetId="980">
        <row r="8">
          <cell r="D8" t="str">
            <v>Paramaz Avedisian Building</v>
          </cell>
        </row>
      </sheetData>
      <sheetData sheetId="981">
        <row r="8">
          <cell r="D8" t="str">
            <v>Paramaz Avedisian Building</v>
          </cell>
        </row>
      </sheetData>
      <sheetData sheetId="982">
        <row r="8">
          <cell r="D8" t="str">
            <v>Paramaz Avedisian Building</v>
          </cell>
        </row>
      </sheetData>
      <sheetData sheetId="983">
        <row r="8">
          <cell r="D8" t="str">
            <v>Paramaz Avedisian Building</v>
          </cell>
        </row>
      </sheetData>
      <sheetData sheetId="984">
        <row r="8">
          <cell r="D8" t="str">
            <v>Paramaz Avedisian Building</v>
          </cell>
        </row>
      </sheetData>
      <sheetData sheetId="985">
        <row r="8">
          <cell r="D8" t="str">
            <v>Paramaz Avedisian Building</v>
          </cell>
        </row>
      </sheetData>
      <sheetData sheetId="986">
        <row r="8">
          <cell r="D8" t="str">
            <v>Paramaz Avedisian Building</v>
          </cell>
        </row>
      </sheetData>
      <sheetData sheetId="987">
        <row r="8">
          <cell r="D8" t="str">
            <v>Paramaz Avedisian Building</v>
          </cell>
        </row>
      </sheetData>
      <sheetData sheetId="988">
        <row r="8">
          <cell r="D8" t="str">
            <v>Paramaz Avedisian Building</v>
          </cell>
        </row>
      </sheetData>
      <sheetData sheetId="989">
        <row r="8">
          <cell r="D8" t="str">
            <v>Paramaz Avedisian Building</v>
          </cell>
        </row>
      </sheetData>
      <sheetData sheetId="990">
        <row r="8">
          <cell r="D8" t="str">
            <v>Paramaz Avedisian Building</v>
          </cell>
        </row>
      </sheetData>
      <sheetData sheetId="991">
        <row r="8">
          <cell r="D8" t="str">
            <v>Paramaz Avedisian Building</v>
          </cell>
        </row>
      </sheetData>
      <sheetData sheetId="992">
        <row r="8">
          <cell r="D8" t="str">
            <v>Paramaz Avedisian Building</v>
          </cell>
        </row>
      </sheetData>
      <sheetData sheetId="993">
        <row r="8">
          <cell r="D8" t="str">
            <v>Paramaz Avedisian Building</v>
          </cell>
        </row>
      </sheetData>
      <sheetData sheetId="994">
        <row r="8">
          <cell r="D8" t="str">
            <v>Paramaz Avedisian Building</v>
          </cell>
        </row>
      </sheetData>
      <sheetData sheetId="995">
        <row r="8">
          <cell r="D8" t="str">
            <v>Paramaz Avedisian Building</v>
          </cell>
        </row>
      </sheetData>
      <sheetData sheetId="996">
        <row r="8">
          <cell r="D8" t="str">
            <v>Paramaz Avedisian Building</v>
          </cell>
        </row>
      </sheetData>
      <sheetData sheetId="997">
        <row r="8">
          <cell r="D8" t="str">
            <v>Paramaz Avedisian Building</v>
          </cell>
        </row>
      </sheetData>
      <sheetData sheetId="998">
        <row r="8">
          <cell r="D8" t="str">
            <v>Paramaz Avedisian Building</v>
          </cell>
        </row>
      </sheetData>
      <sheetData sheetId="999">
        <row r="8">
          <cell r="D8" t="str">
            <v>Paramaz Avedisian Building</v>
          </cell>
        </row>
      </sheetData>
      <sheetData sheetId="1000">
        <row r="8">
          <cell r="D8" t="str">
            <v>Paramaz Avedisian Building</v>
          </cell>
        </row>
      </sheetData>
      <sheetData sheetId="1001">
        <row r="8">
          <cell r="D8" t="str">
            <v>Paramaz Avedisian Building</v>
          </cell>
        </row>
      </sheetData>
      <sheetData sheetId="1002">
        <row r="8">
          <cell r="D8" t="str">
            <v>Paramaz Avedisian Building</v>
          </cell>
        </row>
      </sheetData>
      <sheetData sheetId="1003">
        <row r="8">
          <cell r="D8" t="str">
            <v>Paramaz Avedisian Building</v>
          </cell>
        </row>
      </sheetData>
      <sheetData sheetId="1004">
        <row r="8">
          <cell r="D8" t="str">
            <v>Paramaz Avedisian Building</v>
          </cell>
        </row>
      </sheetData>
      <sheetData sheetId="1005">
        <row r="8">
          <cell r="D8" t="str">
            <v>Paramaz Avedisian Building</v>
          </cell>
        </row>
      </sheetData>
      <sheetData sheetId="1006">
        <row r="8">
          <cell r="D8" t="str">
            <v>Paramaz Avedisian Building</v>
          </cell>
        </row>
      </sheetData>
      <sheetData sheetId="1007">
        <row r="8">
          <cell r="D8" t="str">
            <v>Paramaz Avedisian Building</v>
          </cell>
        </row>
      </sheetData>
      <sheetData sheetId="1008">
        <row r="8">
          <cell r="D8" t="str">
            <v>Paramaz Avedisian Building</v>
          </cell>
        </row>
      </sheetData>
      <sheetData sheetId="1009">
        <row r="8">
          <cell r="D8" t="str">
            <v>Paramaz Avedisian Building</v>
          </cell>
        </row>
      </sheetData>
      <sheetData sheetId="1010">
        <row r="8">
          <cell r="D8" t="str">
            <v>Paramaz Avedisian Building</v>
          </cell>
        </row>
      </sheetData>
      <sheetData sheetId="1011">
        <row r="8">
          <cell r="D8" t="str">
            <v>Paramaz Avedisian Building</v>
          </cell>
        </row>
      </sheetData>
      <sheetData sheetId="1012">
        <row r="8">
          <cell r="D8" t="str">
            <v>Paramaz Avedisian Building</v>
          </cell>
        </row>
      </sheetData>
      <sheetData sheetId="1013">
        <row r="8">
          <cell r="D8" t="str">
            <v>Paramaz Avedisian Building</v>
          </cell>
        </row>
      </sheetData>
      <sheetData sheetId="1014">
        <row r="8">
          <cell r="D8" t="str">
            <v>Paramaz Avedisian Building</v>
          </cell>
        </row>
      </sheetData>
      <sheetData sheetId="1015">
        <row r="8">
          <cell r="D8" t="str">
            <v>Paramaz Avedisian Building</v>
          </cell>
        </row>
      </sheetData>
      <sheetData sheetId="1016">
        <row r="8">
          <cell r="D8" t="str">
            <v>Paramaz Avedisian Building</v>
          </cell>
        </row>
      </sheetData>
      <sheetData sheetId="1017">
        <row r="8">
          <cell r="D8" t="str">
            <v>Paramaz Avedisian Building</v>
          </cell>
        </row>
      </sheetData>
      <sheetData sheetId="1018">
        <row r="8">
          <cell r="D8" t="str">
            <v>Paramaz Avedisian Building</v>
          </cell>
        </row>
      </sheetData>
      <sheetData sheetId="1019">
        <row r="8">
          <cell r="D8" t="str">
            <v>Paramaz Avedisian Building</v>
          </cell>
        </row>
      </sheetData>
      <sheetData sheetId="1020">
        <row r="8">
          <cell r="D8" t="str">
            <v>Paramaz Avedisian Building</v>
          </cell>
        </row>
      </sheetData>
      <sheetData sheetId="1021">
        <row r="8">
          <cell r="D8" t="str">
            <v>Paramaz Avedisian Building</v>
          </cell>
        </row>
      </sheetData>
      <sheetData sheetId="1022">
        <row r="8">
          <cell r="D8" t="str">
            <v>Paramaz Avedisian Building</v>
          </cell>
        </row>
      </sheetData>
      <sheetData sheetId="1023">
        <row r="8">
          <cell r="D8" t="str">
            <v>Paramaz Avedisian Building</v>
          </cell>
        </row>
      </sheetData>
      <sheetData sheetId="1024">
        <row r="8">
          <cell r="D8" t="str">
            <v>Paramaz Avedisian Building</v>
          </cell>
        </row>
      </sheetData>
      <sheetData sheetId="1025">
        <row r="8">
          <cell r="D8" t="str">
            <v>Paramaz Avedisian Building</v>
          </cell>
        </row>
      </sheetData>
      <sheetData sheetId="1026">
        <row r="8">
          <cell r="D8" t="str">
            <v>Paramaz Avedisian Building</v>
          </cell>
        </row>
      </sheetData>
      <sheetData sheetId="1027">
        <row r="8">
          <cell r="D8" t="str">
            <v>Paramaz Avedisian Building</v>
          </cell>
        </row>
      </sheetData>
      <sheetData sheetId="1028">
        <row r="8">
          <cell r="D8" t="str">
            <v>Paramaz Avedisian Building</v>
          </cell>
        </row>
      </sheetData>
      <sheetData sheetId="1029">
        <row r="8">
          <cell r="D8" t="str">
            <v>Paramaz Avedisian Building</v>
          </cell>
        </row>
      </sheetData>
      <sheetData sheetId="1030">
        <row r="8">
          <cell r="D8" t="str">
            <v>Paramaz Avedisian Building</v>
          </cell>
        </row>
      </sheetData>
      <sheetData sheetId="1031">
        <row r="8">
          <cell r="D8" t="str">
            <v>Paramaz Avedisian Building</v>
          </cell>
        </row>
      </sheetData>
      <sheetData sheetId="1032">
        <row r="8">
          <cell r="D8" t="str">
            <v>Paramaz Avedisian Building</v>
          </cell>
        </row>
      </sheetData>
      <sheetData sheetId="1033">
        <row r="8">
          <cell r="D8" t="str">
            <v>Paramaz Avedisian Building</v>
          </cell>
        </row>
      </sheetData>
      <sheetData sheetId="1034">
        <row r="8">
          <cell r="D8" t="str">
            <v>Paramaz Avedisian Building</v>
          </cell>
        </row>
      </sheetData>
      <sheetData sheetId="1035">
        <row r="8">
          <cell r="D8" t="str">
            <v>Paramaz Avedisian Building</v>
          </cell>
        </row>
      </sheetData>
      <sheetData sheetId="1036">
        <row r="8">
          <cell r="D8" t="str">
            <v>Paramaz Avedisian Building</v>
          </cell>
        </row>
      </sheetData>
      <sheetData sheetId="1037">
        <row r="8">
          <cell r="D8" t="str">
            <v>Paramaz Avedisian Building</v>
          </cell>
        </row>
      </sheetData>
      <sheetData sheetId="1038">
        <row r="8">
          <cell r="D8" t="str">
            <v>Paramaz Avedisian Building</v>
          </cell>
        </row>
      </sheetData>
      <sheetData sheetId="1039">
        <row r="8">
          <cell r="D8" t="str">
            <v>Paramaz Avedisian Building</v>
          </cell>
        </row>
      </sheetData>
      <sheetData sheetId="1040">
        <row r="8">
          <cell r="D8" t="str">
            <v>Paramaz Avedisian Building</v>
          </cell>
        </row>
      </sheetData>
      <sheetData sheetId="1041">
        <row r="8">
          <cell r="D8" t="str">
            <v>Paramaz Avedisian Building</v>
          </cell>
        </row>
      </sheetData>
      <sheetData sheetId="1042">
        <row r="8">
          <cell r="D8" t="str">
            <v>Paramaz Avedisian Building</v>
          </cell>
        </row>
      </sheetData>
      <sheetData sheetId="1043">
        <row r="8">
          <cell r="D8" t="str">
            <v>Paramaz Avedisian Building</v>
          </cell>
        </row>
      </sheetData>
      <sheetData sheetId="1044">
        <row r="8">
          <cell r="D8" t="str">
            <v>Paramaz Avedisian Building</v>
          </cell>
        </row>
      </sheetData>
      <sheetData sheetId="1045">
        <row r="8">
          <cell r="D8" t="str">
            <v>Paramaz Avedisian Building</v>
          </cell>
        </row>
      </sheetData>
      <sheetData sheetId="1046">
        <row r="8">
          <cell r="D8" t="str">
            <v>Paramaz Avedisian Building</v>
          </cell>
        </row>
      </sheetData>
      <sheetData sheetId="1047">
        <row r="8">
          <cell r="D8" t="str">
            <v>Paramaz Avedisian Building</v>
          </cell>
        </row>
      </sheetData>
      <sheetData sheetId="1048">
        <row r="8">
          <cell r="D8" t="str">
            <v>Paramaz Avedisian Building</v>
          </cell>
        </row>
      </sheetData>
      <sheetData sheetId="1049">
        <row r="8">
          <cell r="D8" t="str">
            <v>Paramaz Avedisian Building</v>
          </cell>
        </row>
      </sheetData>
      <sheetData sheetId="1050">
        <row r="8">
          <cell r="D8" t="str">
            <v>Paramaz Avedisian Building</v>
          </cell>
        </row>
      </sheetData>
      <sheetData sheetId="1051">
        <row r="8">
          <cell r="D8" t="str">
            <v>Paramaz Avedisian Building</v>
          </cell>
        </row>
      </sheetData>
      <sheetData sheetId="1052">
        <row r="8">
          <cell r="D8" t="str">
            <v>Paramaz Avedisian Building</v>
          </cell>
        </row>
      </sheetData>
      <sheetData sheetId="1053">
        <row r="8">
          <cell r="D8" t="str">
            <v>Paramaz Avedisian Building</v>
          </cell>
        </row>
      </sheetData>
      <sheetData sheetId="1054">
        <row r="8">
          <cell r="D8" t="str">
            <v>Paramaz Avedisian Building</v>
          </cell>
        </row>
      </sheetData>
      <sheetData sheetId="1055">
        <row r="8">
          <cell r="D8" t="str">
            <v>Paramaz Avedisian Building</v>
          </cell>
        </row>
      </sheetData>
      <sheetData sheetId="1056">
        <row r="8">
          <cell r="D8" t="str">
            <v>Paramaz Avedisian Building</v>
          </cell>
        </row>
      </sheetData>
      <sheetData sheetId="1057">
        <row r="8">
          <cell r="D8" t="str">
            <v>Paramaz Avedisian Building</v>
          </cell>
        </row>
      </sheetData>
      <sheetData sheetId="1058">
        <row r="8">
          <cell r="D8" t="str">
            <v>Paramaz Avedisian Building</v>
          </cell>
        </row>
      </sheetData>
      <sheetData sheetId="1059">
        <row r="8">
          <cell r="D8" t="str">
            <v>Paramaz Avedisian Building</v>
          </cell>
        </row>
      </sheetData>
      <sheetData sheetId="1060">
        <row r="8">
          <cell r="D8" t="str">
            <v>Paramaz Avedisian Building</v>
          </cell>
        </row>
      </sheetData>
      <sheetData sheetId="1061">
        <row r="8">
          <cell r="D8" t="str">
            <v>Paramaz Avedisian Building</v>
          </cell>
        </row>
      </sheetData>
      <sheetData sheetId="1062">
        <row r="8">
          <cell r="D8" t="str">
            <v>Paramaz Avedisian Building</v>
          </cell>
        </row>
      </sheetData>
      <sheetData sheetId="1063">
        <row r="8">
          <cell r="D8" t="str">
            <v>Paramaz Avedisian Building</v>
          </cell>
        </row>
      </sheetData>
      <sheetData sheetId="1064" refreshError="1"/>
      <sheetData sheetId="1065">
        <row r="8">
          <cell r="D8" t="str">
            <v>Paramaz Avedisian Building</v>
          </cell>
        </row>
      </sheetData>
      <sheetData sheetId="1066">
        <row r="8">
          <cell r="D8" t="str">
            <v>Paramaz Avedisian Building</v>
          </cell>
        </row>
      </sheetData>
      <sheetData sheetId="1067">
        <row r="8">
          <cell r="D8" t="str">
            <v>Paramaz Avedisian Building</v>
          </cell>
        </row>
      </sheetData>
      <sheetData sheetId="1068">
        <row r="8">
          <cell r="D8" t="str">
            <v>Paramaz Avedisian Building</v>
          </cell>
        </row>
      </sheetData>
      <sheetData sheetId="1069">
        <row r="8">
          <cell r="D8" t="str">
            <v>Paramaz Avedisian Building</v>
          </cell>
        </row>
      </sheetData>
      <sheetData sheetId="1070">
        <row r="8">
          <cell r="D8" t="str">
            <v>Paramaz Avedisian Building</v>
          </cell>
        </row>
      </sheetData>
      <sheetData sheetId="1071">
        <row r="8">
          <cell r="D8" t="str">
            <v>Paramaz Avedisian Building</v>
          </cell>
        </row>
      </sheetData>
      <sheetData sheetId="1072">
        <row r="8">
          <cell r="D8" t="str">
            <v>Paramaz Avedisian Building</v>
          </cell>
        </row>
      </sheetData>
      <sheetData sheetId="1073">
        <row r="8">
          <cell r="D8" t="str">
            <v>Paramaz Avedisian Building</v>
          </cell>
        </row>
      </sheetData>
      <sheetData sheetId="1074">
        <row r="8">
          <cell r="D8" t="str">
            <v>Paramaz Avedisian Building</v>
          </cell>
        </row>
      </sheetData>
      <sheetData sheetId="1075">
        <row r="8">
          <cell r="D8" t="str">
            <v>Paramaz Avedisian Building</v>
          </cell>
        </row>
      </sheetData>
      <sheetData sheetId="1076">
        <row r="8">
          <cell r="D8" t="str">
            <v>Paramaz Avedisian Building</v>
          </cell>
        </row>
      </sheetData>
      <sheetData sheetId="1077">
        <row r="8">
          <cell r="D8" t="str">
            <v>Paramaz Avedisian Building</v>
          </cell>
        </row>
      </sheetData>
      <sheetData sheetId="1078">
        <row r="8">
          <cell r="D8" t="str">
            <v>Paramaz Avedisian Building</v>
          </cell>
        </row>
      </sheetData>
      <sheetData sheetId="1079">
        <row r="8">
          <cell r="D8" t="str">
            <v>Paramaz Avedisian Building</v>
          </cell>
        </row>
      </sheetData>
      <sheetData sheetId="1080">
        <row r="8">
          <cell r="D8" t="str">
            <v>Paramaz Avedisian Building</v>
          </cell>
        </row>
      </sheetData>
      <sheetData sheetId="1081">
        <row r="8">
          <cell r="D8" t="str">
            <v>Paramaz Avedisian Building</v>
          </cell>
        </row>
      </sheetData>
      <sheetData sheetId="1082">
        <row r="8">
          <cell r="D8" t="str">
            <v>Paramaz Avedisian Building</v>
          </cell>
        </row>
      </sheetData>
      <sheetData sheetId="1083">
        <row r="8">
          <cell r="D8" t="str">
            <v>Paramaz Avedisian Building</v>
          </cell>
        </row>
      </sheetData>
      <sheetData sheetId="1084">
        <row r="8">
          <cell r="D8" t="str">
            <v>Paramaz Avedisian Building</v>
          </cell>
        </row>
      </sheetData>
      <sheetData sheetId="1085">
        <row r="8">
          <cell r="D8" t="str">
            <v>Paramaz Avedisian Building</v>
          </cell>
        </row>
      </sheetData>
      <sheetData sheetId="1086">
        <row r="8">
          <cell r="D8" t="str">
            <v>Paramaz Avedisian Building</v>
          </cell>
        </row>
      </sheetData>
      <sheetData sheetId="1087">
        <row r="8">
          <cell r="D8" t="str">
            <v>Paramaz Avedisian Building</v>
          </cell>
        </row>
      </sheetData>
      <sheetData sheetId="1088">
        <row r="8">
          <cell r="D8" t="str">
            <v>Paramaz Avedisian Building</v>
          </cell>
        </row>
      </sheetData>
      <sheetData sheetId="1089">
        <row r="8">
          <cell r="D8" t="str">
            <v>Paramaz Avedisian Building</v>
          </cell>
        </row>
      </sheetData>
      <sheetData sheetId="1090">
        <row r="8">
          <cell r="D8" t="str">
            <v>Paramaz Avedisian Building</v>
          </cell>
        </row>
      </sheetData>
      <sheetData sheetId="1091">
        <row r="8">
          <cell r="D8" t="str">
            <v>Paramaz Avedisian Building</v>
          </cell>
        </row>
      </sheetData>
      <sheetData sheetId="1092">
        <row r="8">
          <cell r="D8" t="str">
            <v>Paramaz Avedisian Building</v>
          </cell>
        </row>
      </sheetData>
      <sheetData sheetId="1093">
        <row r="8">
          <cell r="D8" t="str">
            <v>Paramaz Avedisian Building</v>
          </cell>
        </row>
      </sheetData>
      <sheetData sheetId="1094">
        <row r="8">
          <cell r="D8" t="str">
            <v>Paramaz Avedisian Building</v>
          </cell>
        </row>
      </sheetData>
      <sheetData sheetId="1095">
        <row r="8">
          <cell r="D8" t="str">
            <v>Paramaz Avedisian Building</v>
          </cell>
        </row>
      </sheetData>
      <sheetData sheetId="1096">
        <row r="8">
          <cell r="D8" t="str">
            <v>Paramaz Avedisian Building</v>
          </cell>
        </row>
      </sheetData>
      <sheetData sheetId="1097">
        <row r="8">
          <cell r="D8" t="str">
            <v>Paramaz Avedisian Building</v>
          </cell>
        </row>
      </sheetData>
      <sheetData sheetId="1098">
        <row r="8">
          <cell r="D8" t="str">
            <v>Paramaz Avedisian Building</v>
          </cell>
        </row>
      </sheetData>
      <sheetData sheetId="1099">
        <row r="8">
          <cell r="D8" t="str">
            <v>Paramaz Avedisian Building</v>
          </cell>
        </row>
      </sheetData>
      <sheetData sheetId="1100">
        <row r="8">
          <cell r="D8" t="str">
            <v>Paramaz Avedisian Building</v>
          </cell>
        </row>
      </sheetData>
      <sheetData sheetId="1101">
        <row r="8">
          <cell r="D8" t="str">
            <v>Paramaz Avedisian Building</v>
          </cell>
        </row>
      </sheetData>
      <sheetData sheetId="1102">
        <row r="8">
          <cell r="D8" t="str">
            <v>Paramaz Avedisian Building</v>
          </cell>
        </row>
      </sheetData>
      <sheetData sheetId="1103">
        <row r="8">
          <cell r="D8" t="str">
            <v>Paramaz Avedisian Building</v>
          </cell>
        </row>
      </sheetData>
      <sheetData sheetId="1104">
        <row r="8">
          <cell r="D8" t="str">
            <v>Paramaz Avedisian Building</v>
          </cell>
        </row>
      </sheetData>
      <sheetData sheetId="1105">
        <row r="8">
          <cell r="D8" t="str">
            <v>Paramaz Avedisian Building</v>
          </cell>
        </row>
      </sheetData>
      <sheetData sheetId="1106">
        <row r="8">
          <cell r="D8" t="str">
            <v>Paramaz Avedisian Building</v>
          </cell>
        </row>
      </sheetData>
      <sheetData sheetId="1107">
        <row r="8">
          <cell r="D8" t="str">
            <v>Paramaz Avedisian Building</v>
          </cell>
        </row>
      </sheetData>
      <sheetData sheetId="1108">
        <row r="8">
          <cell r="D8" t="str">
            <v>Paramaz Avedisian Building</v>
          </cell>
        </row>
      </sheetData>
      <sheetData sheetId="1109">
        <row r="8">
          <cell r="D8" t="str">
            <v>Paramaz Avedisian Building</v>
          </cell>
        </row>
      </sheetData>
      <sheetData sheetId="1110">
        <row r="8">
          <cell r="D8" t="str">
            <v>Paramaz Avedisian Building</v>
          </cell>
        </row>
      </sheetData>
      <sheetData sheetId="1111">
        <row r="8">
          <cell r="D8" t="str">
            <v>Paramaz Avedisian Building</v>
          </cell>
        </row>
      </sheetData>
      <sheetData sheetId="1112">
        <row r="8">
          <cell r="D8" t="str">
            <v>Paramaz Avedisian Building</v>
          </cell>
        </row>
      </sheetData>
      <sheetData sheetId="1113">
        <row r="8">
          <cell r="D8" t="str">
            <v>Paramaz Avedisian Building</v>
          </cell>
        </row>
      </sheetData>
      <sheetData sheetId="1114">
        <row r="8">
          <cell r="D8" t="str">
            <v>Paramaz Avedisian Building</v>
          </cell>
        </row>
      </sheetData>
      <sheetData sheetId="1115">
        <row r="8">
          <cell r="D8" t="str">
            <v>Paramaz Avedisian Building</v>
          </cell>
        </row>
      </sheetData>
      <sheetData sheetId="1116">
        <row r="8">
          <cell r="D8" t="str">
            <v>Paramaz Avedisian Building</v>
          </cell>
        </row>
      </sheetData>
      <sheetData sheetId="1117">
        <row r="8">
          <cell r="D8" t="str">
            <v>Paramaz Avedisian Building</v>
          </cell>
        </row>
      </sheetData>
      <sheetData sheetId="1118">
        <row r="8">
          <cell r="D8" t="str">
            <v>Paramaz Avedisian Building</v>
          </cell>
        </row>
      </sheetData>
      <sheetData sheetId="1119">
        <row r="8">
          <cell r="D8" t="str">
            <v>Paramaz Avedisian Building</v>
          </cell>
        </row>
      </sheetData>
      <sheetData sheetId="1120">
        <row r="8">
          <cell r="D8" t="str">
            <v>Paramaz Avedisian Building</v>
          </cell>
        </row>
      </sheetData>
      <sheetData sheetId="1121">
        <row r="8">
          <cell r="D8" t="str">
            <v>Paramaz Avedisian Building</v>
          </cell>
        </row>
      </sheetData>
      <sheetData sheetId="1122">
        <row r="8">
          <cell r="D8" t="str">
            <v>Paramaz Avedisian Building</v>
          </cell>
        </row>
      </sheetData>
      <sheetData sheetId="1123">
        <row r="8">
          <cell r="D8" t="str">
            <v>Paramaz Avedisian Building</v>
          </cell>
        </row>
      </sheetData>
      <sheetData sheetId="1124">
        <row r="8">
          <cell r="D8" t="str">
            <v>Paramaz Avedisian Building</v>
          </cell>
        </row>
      </sheetData>
      <sheetData sheetId="1125">
        <row r="8">
          <cell r="D8" t="str">
            <v>Paramaz Avedisian Building</v>
          </cell>
        </row>
      </sheetData>
      <sheetData sheetId="1126">
        <row r="8">
          <cell r="D8" t="str">
            <v>Paramaz Avedisian Building</v>
          </cell>
        </row>
      </sheetData>
      <sheetData sheetId="1127">
        <row r="8">
          <cell r="D8" t="str">
            <v>Paramaz Avedisian Building</v>
          </cell>
        </row>
      </sheetData>
      <sheetData sheetId="1128">
        <row r="8">
          <cell r="D8" t="str">
            <v>Paramaz Avedisian Building</v>
          </cell>
        </row>
      </sheetData>
      <sheetData sheetId="1129">
        <row r="8">
          <cell r="D8" t="str">
            <v>Paramaz Avedisian Building</v>
          </cell>
        </row>
      </sheetData>
      <sheetData sheetId="1130">
        <row r="8">
          <cell r="D8" t="str">
            <v>Paramaz Avedisian Building</v>
          </cell>
        </row>
      </sheetData>
      <sheetData sheetId="1131">
        <row r="8">
          <cell r="D8" t="str">
            <v>Paramaz Avedisian Building</v>
          </cell>
        </row>
      </sheetData>
      <sheetData sheetId="1132">
        <row r="8">
          <cell r="D8" t="str">
            <v>Paramaz Avedisian Building</v>
          </cell>
        </row>
      </sheetData>
      <sheetData sheetId="1133">
        <row r="8">
          <cell r="D8" t="str">
            <v>Paramaz Avedisian Building</v>
          </cell>
        </row>
      </sheetData>
      <sheetData sheetId="1134">
        <row r="8">
          <cell r="D8" t="str">
            <v>Paramaz Avedisian Building</v>
          </cell>
        </row>
      </sheetData>
      <sheetData sheetId="1135">
        <row r="8">
          <cell r="D8" t="str">
            <v>Paramaz Avedisian Building</v>
          </cell>
        </row>
      </sheetData>
      <sheetData sheetId="1136">
        <row r="8">
          <cell r="D8" t="str">
            <v>Paramaz Avedisian Building</v>
          </cell>
        </row>
      </sheetData>
      <sheetData sheetId="1137">
        <row r="8">
          <cell r="D8" t="str">
            <v>Paramaz Avedisian Building</v>
          </cell>
        </row>
      </sheetData>
      <sheetData sheetId="1138">
        <row r="8">
          <cell r="D8" t="str">
            <v>Paramaz Avedisian Building</v>
          </cell>
        </row>
      </sheetData>
      <sheetData sheetId="1139">
        <row r="8">
          <cell r="D8" t="str">
            <v>Paramaz Avedisian Building</v>
          </cell>
        </row>
      </sheetData>
      <sheetData sheetId="1140">
        <row r="8">
          <cell r="D8" t="str">
            <v>Paramaz Avedisian Building</v>
          </cell>
        </row>
      </sheetData>
      <sheetData sheetId="1141">
        <row r="8">
          <cell r="D8" t="str">
            <v>Paramaz Avedisian Building</v>
          </cell>
        </row>
      </sheetData>
      <sheetData sheetId="1142">
        <row r="8">
          <cell r="D8" t="str">
            <v>Paramaz Avedisian Building</v>
          </cell>
        </row>
      </sheetData>
      <sheetData sheetId="1143">
        <row r="8">
          <cell r="D8" t="str">
            <v>Paramaz Avedisian Building</v>
          </cell>
        </row>
      </sheetData>
      <sheetData sheetId="1144">
        <row r="8">
          <cell r="D8" t="str">
            <v>Paramaz Avedisian Building</v>
          </cell>
        </row>
      </sheetData>
      <sheetData sheetId="1145">
        <row r="8">
          <cell r="D8" t="str">
            <v>Paramaz Avedisian Building</v>
          </cell>
        </row>
      </sheetData>
      <sheetData sheetId="1146">
        <row r="8">
          <cell r="D8" t="str">
            <v>Paramaz Avedisian Building</v>
          </cell>
        </row>
      </sheetData>
      <sheetData sheetId="1147">
        <row r="8">
          <cell r="D8" t="str">
            <v>Paramaz Avedisian Building</v>
          </cell>
        </row>
      </sheetData>
      <sheetData sheetId="1148">
        <row r="8">
          <cell r="D8" t="str">
            <v>Paramaz Avedisian Building</v>
          </cell>
        </row>
      </sheetData>
      <sheetData sheetId="1149">
        <row r="8">
          <cell r="D8" t="str">
            <v>Paramaz Avedisian Building</v>
          </cell>
        </row>
      </sheetData>
      <sheetData sheetId="1150">
        <row r="8">
          <cell r="D8" t="str">
            <v>Paramaz Avedisian Building</v>
          </cell>
        </row>
      </sheetData>
      <sheetData sheetId="1151">
        <row r="8">
          <cell r="D8" t="str">
            <v>Paramaz Avedisian Building</v>
          </cell>
        </row>
      </sheetData>
      <sheetData sheetId="1152">
        <row r="8">
          <cell r="D8" t="str">
            <v>Paramaz Avedisian Building</v>
          </cell>
        </row>
      </sheetData>
      <sheetData sheetId="1153">
        <row r="8">
          <cell r="D8" t="str">
            <v>Paramaz Avedisian Building</v>
          </cell>
        </row>
      </sheetData>
      <sheetData sheetId="1154">
        <row r="8">
          <cell r="D8" t="str">
            <v>Paramaz Avedisian Building</v>
          </cell>
        </row>
      </sheetData>
      <sheetData sheetId="1155">
        <row r="8">
          <cell r="D8" t="str">
            <v>Paramaz Avedisian Building</v>
          </cell>
        </row>
      </sheetData>
      <sheetData sheetId="1156">
        <row r="8">
          <cell r="D8" t="str">
            <v>Paramaz Avedisian Building</v>
          </cell>
        </row>
      </sheetData>
      <sheetData sheetId="1157">
        <row r="8">
          <cell r="D8" t="str">
            <v>Paramaz Avedisian Building</v>
          </cell>
        </row>
      </sheetData>
      <sheetData sheetId="1158">
        <row r="8">
          <cell r="D8" t="str">
            <v>Paramaz Avedisian Building</v>
          </cell>
        </row>
      </sheetData>
      <sheetData sheetId="1159">
        <row r="8">
          <cell r="D8" t="str">
            <v>Paramaz Avedisian Building</v>
          </cell>
        </row>
      </sheetData>
      <sheetData sheetId="1160">
        <row r="8">
          <cell r="D8" t="str">
            <v>Paramaz Avedisian Building</v>
          </cell>
        </row>
      </sheetData>
      <sheetData sheetId="1161">
        <row r="8">
          <cell r="D8" t="str">
            <v>Paramaz Avedisian Building</v>
          </cell>
        </row>
      </sheetData>
      <sheetData sheetId="1162">
        <row r="8">
          <cell r="D8" t="str">
            <v>Paramaz Avedisian Building</v>
          </cell>
        </row>
      </sheetData>
      <sheetData sheetId="1163">
        <row r="8">
          <cell r="D8" t="str">
            <v>Paramaz Avedisian Building</v>
          </cell>
        </row>
      </sheetData>
      <sheetData sheetId="1164">
        <row r="8">
          <cell r="D8" t="str">
            <v>Paramaz Avedisian Building</v>
          </cell>
        </row>
      </sheetData>
      <sheetData sheetId="1165">
        <row r="8">
          <cell r="D8" t="str">
            <v>Paramaz Avedisian Building</v>
          </cell>
        </row>
      </sheetData>
      <sheetData sheetId="1166">
        <row r="8">
          <cell r="D8" t="str">
            <v>Paramaz Avedisian Building</v>
          </cell>
        </row>
      </sheetData>
      <sheetData sheetId="1167">
        <row r="8">
          <cell r="D8" t="str">
            <v>Paramaz Avedisian Building</v>
          </cell>
        </row>
      </sheetData>
      <sheetData sheetId="1168">
        <row r="8">
          <cell r="D8" t="str">
            <v>Paramaz Avedisian Building</v>
          </cell>
        </row>
      </sheetData>
      <sheetData sheetId="1169">
        <row r="8">
          <cell r="D8" t="str">
            <v>Paramaz Avedisian Building</v>
          </cell>
        </row>
      </sheetData>
      <sheetData sheetId="1170">
        <row r="8">
          <cell r="D8" t="str">
            <v>Paramaz Avedisian Building</v>
          </cell>
        </row>
      </sheetData>
      <sheetData sheetId="1171">
        <row r="8">
          <cell r="D8" t="str">
            <v>Paramaz Avedisian Building</v>
          </cell>
        </row>
      </sheetData>
      <sheetData sheetId="1172">
        <row r="8">
          <cell r="D8" t="str">
            <v>Paramaz Avedisian Building</v>
          </cell>
        </row>
      </sheetData>
      <sheetData sheetId="1173">
        <row r="8">
          <cell r="D8" t="str">
            <v>Paramaz Avedisian Building</v>
          </cell>
        </row>
      </sheetData>
      <sheetData sheetId="1174">
        <row r="8">
          <cell r="D8" t="str">
            <v>Paramaz Avedisian Building</v>
          </cell>
        </row>
      </sheetData>
      <sheetData sheetId="1175">
        <row r="8">
          <cell r="D8" t="str">
            <v>Paramaz Avedisian Building</v>
          </cell>
        </row>
      </sheetData>
      <sheetData sheetId="1176">
        <row r="8">
          <cell r="D8" t="str">
            <v>Paramaz Avedisian Building</v>
          </cell>
        </row>
      </sheetData>
      <sheetData sheetId="1177">
        <row r="8">
          <cell r="D8" t="str">
            <v>Paramaz Avedisian Building</v>
          </cell>
        </row>
      </sheetData>
      <sheetData sheetId="1178">
        <row r="8">
          <cell r="D8" t="str">
            <v>Paramaz Avedisian Building</v>
          </cell>
        </row>
      </sheetData>
      <sheetData sheetId="1179">
        <row r="8">
          <cell r="D8" t="str">
            <v>Paramaz Avedisian Building</v>
          </cell>
        </row>
      </sheetData>
      <sheetData sheetId="1180">
        <row r="8">
          <cell r="D8" t="str">
            <v>Paramaz Avedisian Building</v>
          </cell>
        </row>
      </sheetData>
      <sheetData sheetId="1181">
        <row r="8">
          <cell r="D8" t="str">
            <v>Paramaz Avedisian Building</v>
          </cell>
        </row>
      </sheetData>
      <sheetData sheetId="1182">
        <row r="8">
          <cell r="D8" t="str">
            <v>Paramaz Avedisian Building</v>
          </cell>
        </row>
      </sheetData>
      <sheetData sheetId="1183">
        <row r="8">
          <cell r="D8" t="str">
            <v>Paramaz Avedisian Building</v>
          </cell>
        </row>
      </sheetData>
      <sheetData sheetId="1184">
        <row r="8">
          <cell r="D8" t="str">
            <v>Paramaz Avedisian Building</v>
          </cell>
        </row>
      </sheetData>
      <sheetData sheetId="1185">
        <row r="8">
          <cell r="D8" t="str">
            <v>Paramaz Avedisian Building</v>
          </cell>
        </row>
      </sheetData>
      <sheetData sheetId="1186">
        <row r="8">
          <cell r="D8" t="str">
            <v>Paramaz Avedisian Building</v>
          </cell>
        </row>
      </sheetData>
      <sheetData sheetId="1187">
        <row r="8">
          <cell r="D8" t="str">
            <v>Paramaz Avedisian Building</v>
          </cell>
        </row>
      </sheetData>
      <sheetData sheetId="1188">
        <row r="8">
          <cell r="D8" t="str">
            <v>Paramaz Avedisian Building</v>
          </cell>
        </row>
      </sheetData>
      <sheetData sheetId="1189">
        <row r="8">
          <cell r="D8" t="str">
            <v>Paramaz Avedisian Building</v>
          </cell>
        </row>
      </sheetData>
      <sheetData sheetId="1190">
        <row r="8">
          <cell r="D8" t="str">
            <v>Paramaz Avedisian Building</v>
          </cell>
        </row>
      </sheetData>
      <sheetData sheetId="1191">
        <row r="8">
          <cell r="D8" t="str">
            <v>Paramaz Avedisian Building</v>
          </cell>
        </row>
      </sheetData>
      <sheetData sheetId="1192">
        <row r="8">
          <cell r="D8" t="str">
            <v>Paramaz Avedisian Building</v>
          </cell>
        </row>
      </sheetData>
      <sheetData sheetId="1193">
        <row r="8">
          <cell r="D8" t="str">
            <v>Paramaz Avedisian Building</v>
          </cell>
        </row>
      </sheetData>
      <sheetData sheetId="1194">
        <row r="8">
          <cell r="D8" t="str">
            <v>Paramaz Avedisian Building</v>
          </cell>
        </row>
      </sheetData>
      <sheetData sheetId="1195">
        <row r="8">
          <cell r="D8" t="str">
            <v>Paramaz Avedisian Building</v>
          </cell>
        </row>
      </sheetData>
      <sheetData sheetId="1196">
        <row r="8">
          <cell r="D8" t="str">
            <v>Paramaz Avedisian Building</v>
          </cell>
        </row>
      </sheetData>
      <sheetData sheetId="1197">
        <row r="8">
          <cell r="D8" t="str">
            <v>Paramaz Avedisian Building</v>
          </cell>
        </row>
      </sheetData>
      <sheetData sheetId="1198">
        <row r="8">
          <cell r="D8" t="str">
            <v>Paramaz Avedisian Building</v>
          </cell>
        </row>
      </sheetData>
      <sheetData sheetId="1199">
        <row r="8">
          <cell r="D8" t="str">
            <v>Paramaz Avedisian Building</v>
          </cell>
        </row>
      </sheetData>
      <sheetData sheetId="1200">
        <row r="8">
          <cell r="D8" t="str">
            <v>Paramaz Avedisian Building</v>
          </cell>
        </row>
      </sheetData>
      <sheetData sheetId="1201">
        <row r="8">
          <cell r="D8" t="str">
            <v>Paramaz Avedisian Building</v>
          </cell>
        </row>
      </sheetData>
      <sheetData sheetId="1202">
        <row r="8">
          <cell r="D8" t="str">
            <v>Paramaz Avedisian Building</v>
          </cell>
        </row>
      </sheetData>
      <sheetData sheetId="1203">
        <row r="8">
          <cell r="D8" t="str">
            <v>Paramaz Avedisian Building</v>
          </cell>
        </row>
      </sheetData>
      <sheetData sheetId="1204">
        <row r="8">
          <cell r="D8" t="str">
            <v>Paramaz Avedisian Building</v>
          </cell>
        </row>
      </sheetData>
      <sheetData sheetId="1205">
        <row r="8">
          <cell r="D8" t="str">
            <v>Paramaz Avedisian Building</v>
          </cell>
        </row>
      </sheetData>
      <sheetData sheetId="1206">
        <row r="8">
          <cell r="D8" t="str">
            <v>Paramaz Avedisian Building</v>
          </cell>
        </row>
      </sheetData>
      <sheetData sheetId="1207">
        <row r="8">
          <cell r="D8" t="str">
            <v>Paramaz Avedisian Building</v>
          </cell>
        </row>
      </sheetData>
      <sheetData sheetId="1208">
        <row r="8">
          <cell r="D8" t="str">
            <v>Paramaz Avedisian Building</v>
          </cell>
        </row>
      </sheetData>
      <sheetData sheetId="1209">
        <row r="8">
          <cell r="D8" t="str">
            <v>Paramaz Avedisian Building</v>
          </cell>
        </row>
      </sheetData>
      <sheetData sheetId="1210">
        <row r="8">
          <cell r="D8" t="str">
            <v>Paramaz Avedisian Building</v>
          </cell>
        </row>
      </sheetData>
      <sheetData sheetId="1211">
        <row r="8">
          <cell r="D8" t="str">
            <v>Paramaz Avedisian Building</v>
          </cell>
        </row>
      </sheetData>
      <sheetData sheetId="1212">
        <row r="8">
          <cell r="D8" t="str">
            <v>Paramaz Avedisian Building</v>
          </cell>
        </row>
      </sheetData>
      <sheetData sheetId="1213">
        <row r="8">
          <cell r="D8" t="str">
            <v>Paramaz Avedisian Building</v>
          </cell>
        </row>
      </sheetData>
      <sheetData sheetId="1214">
        <row r="8">
          <cell r="D8" t="str">
            <v>Paramaz Avedisian Building</v>
          </cell>
        </row>
      </sheetData>
      <sheetData sheetId="1215">
        <row r="8">
          <cell r="D8" t="str">
            <v>Paramaz Avedisian Building</v>
          </cell>
        </row>
      </sheetData>
      <sheetData sheetId="1216">
        <row r="8">
          <cell r="D8" t="str">
            <v>Paramaz Avedisian Building</v>
          </cell>
        </row>
      </sheetData>
      <sheetData sheetId="1217">
        <row r="8">
          <cell r="D8" t="str">
            <v>Paramaz Avedisian Building</v>
          </cell>
        </row>
      </sheetData>
      <sheetData sheetId="1218">
        <row r="8">
          <cell r="D8" t="str">
            <v>Paramaz Avedisian Building</v>
          </cell>
        </row>
      </sheetData>
      <sheetData sheetId="1219">
        <row r="8">
          <cell r="D8" t="str">
            <v>Paramaz Avedisian Building</v>
          </cell>
        </row>
      </sheetData>
      <sheetData sheetId="1220">
        <row r="8">
          <cell r="D8" t="str">
            <v>Paramaz Avedisian Building</v>
          </cell>
        </row>
      </sheetData>
      <sheetData sheetId="1221">
        <row r="8">
          <cell r="D8" t="str">
            <v>Paramaz Avedisian Building</v>
          </cell>
        </row>
      </sheetData>
      <sheetData sheetId="1222">
        <row r="8">
          <cell r="D8" t="str">
            <v>Paramaz Avedisian Building</v>
          </cell>
        </row>
      </sheetData>
      <sheetData sheetId="1223">
        <row r="8">
          <cell r="D8" t="str">
            <v>Paramaz Avedisian Building</v>
          </cell>
        </row>
      </sheetData>
      <sheetData sheetId="1224">
        <row r="8">
          <cell r="D8" t="str">
            <v>Paramaz Avedisian Building</v>
          </cell>
        </row>
      </sheetData>
      <sheetData sheetId="1225">
        <row r="8">
          <cell r="D8" t="str">
            <v>Paramaz Avedisian Building</v>
          </cell>
        </row>
      </sheetData>
      <sheetData sheetId="1226">
        <row r="8">
          <cell r="D8" t="str">
            <v>Paramaz Avedisian Building</v>
          </cell>
        </row>
      </sheetData>
      <sheetData sheetId="1227">
        <row r="8">
          <cell r="D8" t="str">
            <v>Paramaz Avedisian Building</v>
          </cell>
        </row>
      </sheetData>
      <sheetData sheetId="1228">
        <row r="8">
          <cell r="D8" t="str">
            <v>Paramaz Avedisian Building</v>
          </cell>
        </row>
      </sheetData>
      <sheetData sheetId="1229">
        <row r="8">
          <cell r="D8" t="str">
            <v>Paramaz Avedisian Building</v>
          </cell>
        </row>
      </sheetData>
      <sheetData sheetId="1230">
        <row r="8">
          <cell r="D8" t="str">
            <v>Paramaz Avedisian Building</v>
          </cell>
        </row>
      </sheetData>
      <sheetData sheetId="1231">
        <row r="8">
          <cell r="D8" t="str">
            <v>Paramaz Avedisian Building</v>
          </cell>
        </row>
      </sheetData>
      <sheetData sheetId="1232">
        <row r="8">
          <cell r="D8" t="str">
            <v>Paramaz Avedisian Building</v>
          </cell>
        </row>
      </sheetData>
      <sheetData sheetId="1233">
        <row r="8">
          <cell r="D8" t="str">
            <v>Paramaz Avedisian Building</v>
          </cell>
        </row>
      </sheetData>
      <sheetData sheetId="1234">
        <row r="8">
          <cell r="D8" t="str">
            <v>Paramaz Avedisian Building</v>
          </cell>
        </row>
      </sheetData>
      <sheetData sheetId="1235">
        <row r="8">
          <cell r="D8" t="str">
            <v>Paramaz Avedisian Building</v>
          </cell>
        </row>
      </sheetData>
      <sheetData sheetId="1236">
        <row r="8">
          <cell r="D8" t="str">
            <v>Paramaz Avedisian Building</v>
          </cell>
        </row>
      </sheetData>
      <sheetData sheetId="1237">
        <row r="8">
          <cell r="D8" t="str">
            <v>Paramaz Avedisian Building</v>
          </cell>
        </row>
      </sheetData>
      <sheetData sheetId="1238">
        <row r="8">
          <cell r="D8" t="str">
            <v>Paramaz Avedisian Building</v>
          </cell>
        </row>
      </sheetData>
      <sheetData sheetId="1239">
        <row r="8">
          <cell r="D8" t="str">
            <v>Paramaz Avedisian Building</v>
          </cell>
        </row>
      </sheetData>
      <sheetData sheetId="1240">
        <row r="8">
          <cell r="D8" t="str">
            <v>Paramaz Avedisian Building</v>
          </cell>
        </row>
      </sheetData>
      <sheetData sheetId="1241">
        <row r="8">
          <cell r="D8" t="str">
            <v>Paramaz Avedisian Building</v>
          </cell>
        </row>
      </sheetData>
      <sheetData sheetId="1242">
        <row r="8">
          <cell r="D8" t="str">
            <v>Paramaz Avedisian Building</v>
          </cell>
        </row>
      </sheetData>
      <sheetData sheetId="1243">
        <row r="8">
          <cell r="D8" t="str">
            <v>Paramaz Avedisian Building</v>
          </cell>
        </row>
      </sheetData>
      <sheetData sheetId="1244">
        <row r="8">
          <cell r="D8" t="str">
            <v>Paramaz Avedisian Building</v>
          </cell>
        </row>
      </sheetData>
      <sheetData sheetId="1245">
        <row r="8">
          <cell r="D8" t="str">
            <v>Paramaz Avedisian Building</v>
          </cell>
        </row>
      </sheetData>
      <sheetData sheetId="1246">
        <row r="8">
          <cell r="D8" t="str">
            <v>Paramaz Avedisian Building</v>
          </cell>
        </row>
      </sheetData>
      <sheetData sheetId="1247">
        <row r="8">
          <cell r="D8" t="str">
            <v>Paramaz Avedisian Building</v>
          </cell>
        </row>
      </sheetData>
      <sheetData sheetId="1248">
        <row r="8">
          <cell r="D8" t="str">
            <v>Paramaz Avedisian Building</v>
          </cell>
        </row>
      </sheetData>
      <sheetData sheetId="1249">
        <row r="8">
          <cell r="D8" t="str">
            <v>Paramaz Avedisian Building</v>
          </cell>
        </row>
      </sheetData>
      <sheetData sheetId="1250">
        <row r="8">
          <cell r="D8" t="str">
            <v>Paramaz Avedisian Building</v>
          </cell>
        </row>
      </sheetData>
      <sheetData sheetId="1251">
        <row r="8">
          <cell r="D8" t="str">
            <v>Paramaz Avedisian Building</v>
          </cell>
        </row>
      </sheetData>
      <sheetData sheetId="1252">
        <row r="8">
          <cell r="D8" t="str">
            <v>Paramaz Avedisian Building</v>
          </cell>
        </row>
      </sheetData>
      <sheetData sheetId="1253">
        <row r="8">
          <cell r="D8" t="str">
            <v>Paramaz Avedisian Building</v>
          </cell>
        </row>
      </sheetData>
      <sheetData sheetId="1254">
        <row r="8">
          <cell r="D8" t="str">
            <v>Paramaz Avedisian Building</v>
          </cell>
        </row>
      </sheetData>
      <sheetData sheetId="1255">
        <row r="8">
          <cell r="D8" t="str">
            <v>Paramaz Avedisian Building</v>
          </cell>
        </row>
      </sheetData>
      <sheetData sheetId="1256">
        <row r="8">
          <cell r="D8" t="str">
            <v>Paramaz Avedisian Building</v>
          </cell>
        </row>
      </sheetData>
      <sheetData sheetId="1257">
        <row r="8">
          <cell r="D8" t="str">
            <v>Paramaz Avedisian Building</v>
          </cell>
        </row>
      </sheetData>
      <sheetData sheetId="1258">
        <row r="8">
          <cell r="D8" t="str">
            <v>Paramaz Avedisian Building</v>
          </cell>
        </row>
      </sheetData>
      <sheetData sheetId="1259">
        <row r="8">
          <cell r="D8" t="str">
            <v>Paramaz Avedisian Building</v>
          </cell>
        </row>
      </sheetData>
      <sheetData sheetId="1260">
        <row r="8">
          <cell r="D8" t="str">
            <v>Paramaz Avedisian Building</v>
          </cell>
        </row>
      </sheetData>
      <sheetData sheetId="1261">
        <row r="8">
          <cell r="D8" t="str">
            <v>Paramaz Avedisian Building</v>
          </cell>
        </row>
      </sheetData>
      <sheetData sheetId="1262">
        <row r="8">
          <cell r="D8" t="str">
            <v>Paramaz Avedisian Building</v>
          </cell>
        </row>
      </sheetData>
      <sheetData sheetId="1263">
        <row r="8">
          <cell r="D8" t="str">
            <v>Paramaz Avedisian Building</v>
          </cell>
        </row>
      </sheetData>
      <sheetData sheetId="1264">
        <row r="8">
          <cell r="D8" t="str">
            <v>Paramaz Avedisian Building</v>
          </cell>
        </row>
      </sheetData>
      <sheetData sheetId="1265">
        <row r="8">
          <cell r="D8" t="str">
            <v>Paramaz Avedisian Building</v>
          </cell>
        </row>
      </sheetData>
      <sheetData sheetId="1266">
        <row r="8">
          <cell r="D8" t="str">
            <v>Paramaz Avedisian Building</v>
          </cell>
        </row>
      </sheetData>
      <sheetData sheetId="1267">
        <row r="8">
          <cell r="D8" t="str">
            <v>Paramaz Avedisian Building</v>
          </cell>
        </row>
      </sheetData>
      <sheetData sheetId="1268">
        <row r="8">
          <cell r="D8" t="str">
            <v>Paramaz Avedisian Building</v>
          </cell>
        </row>
      </sheetData>
      <sheetData sheetId="1269">
        <row r="8">
          <cell r="D8" t="str">
            <v>Paramaz Avedisian Building</v>
          </cell>
        </row>
      </sheetData>
      <sheetData sheetId="1270">
        <row r="8">
          <cell r="D8" t="str">
            <v>Paramaz Avedisian Building</v>
          </cell>
        </row>
      </sheetData>
      <sheetData sheetId="1271">
        <row r="8">
          <cell r="D8" t="str">
            <v>Paramaz Avedisian Building</v>
          </cell>
        </row>
      </sheetData>
      <sheetData sheetId="1272">
        <row r="8">
          <cell r="D8" t="str">
            <v>Paramaz Avedisian Building</v>
          </cell>
        </row>
      </sheetData>
      <sheetData sheetId="1273">
        <row r="8">
          <cell r="D8" t="str">
            <v>Paramaz Avedisian Building</v>
          </cell>
        </row>
      </sheetData>
      <sheetData sheetId="1274">
        <row r="8">
          <cell r="D8" t="str">
            <v>Paramaz Avedisian Building</v>
          </cell>
        </row>
      </sheetData>
      <sheetData sheetId="1275">
        <row r="8">
          <cell r="D8" t="str">
            <v>Paramaz Avedisian Building</v>
          </cell>
        </row>
      </sheetData>
      <sheetData sheetId="1276">
        <row r="8">
          <cell r="D8" t="str">
            <v>Paramaz Avedisian Building</v>
          </cell>
        </row>
      </sheetData>
      <sheetData sheetId="1277">
        <row r="8">
          <cell r="D8" t="str">
            <v>Paramaz Avedisian Building</v>
          </cell>
        </row>
      </sheetData>
      <sheetData sheetId="1278">
        <row r="8">
          <cell r="D8" t="str">
            <v>Paramaz Avedisian Building</v>
          </cell>
        </row>
      </sheetData>
      <sheetData sheetId="1279">
        <row r="8">
          <cell r="D8" t="str">
            <v>Paramaz Avedisian Building</v>
          </cell>
        </row>
      </sheetData>
      <sheetData sheetId="1280">
        <row r="8">
          <cell r="D8" t="str">
            <v>Paramaz Avedisian Building</v>
          </cell>
        </row>
      </sheetData>
      <sheetData sheetId="1281">
        <row r="8">
          <cell r="D8" t="str">
            <v>Paramaz Avedisian Building</v>
          </cell>
        </row>
      </sheetData>
      <sheetData sheetId="1282">
        <row r="8">
          <cell r="D8" t="str">
            <v>Paramaz Avedisian Building</v>
          </cell>
        </row>
      </sheetData>
      <sheetData sheetId="1283">
        <row r="8">
          <cell r="D8" t="str">
            <v>Paramaz Avedisian Building</v>
          </cell>
        </row>
      </sheetData>
      <sheetData sheetId="1284">
        <row r="8">
          <cell r="D8" t="str">
            <v>Paramaz Avedisian Building</v>
          </cell>
        </row>
      </sheetData>
      <sheetData sheetId="1285">
        <row r="8">
          <cell r="D8" t="str">
            <v>Paramaz Avedisian Building</v>
          </cell>
        </row>
      </sheetData>
      <sheetData sheetId="1286">
        <row r="8">
          <cell r="D8" t="str">
            <v>Paramaz Avedisian Building</v>
          </cell>
        </row>
      </sheetData>
      <sheetData sheetId="1287">
        <row r="8">
          <cell r="D8" t="str">
            <v>Paramaz Avedisian Building</v>
          </cell>
        </row>
      </sheetData>
      <sheetData sheetId="1288">
        <row r="8">
          <cell r="D8" t="str">
            <v>Paramaz Avedisian Building</v>
          </cell>
        </row>
      </sheetData>
      <sheetData sheetId="1289">
        <row r="8">
          <cell r="D8" t="str">
            <v>Paramaz Avedisian Building</v>
          </cell>
        </row>
      </sheetData>
      <sheetData sheetId="1290">
        <row r="8">
          <cell r="D8" t="str">
            <v>Paramaz Avedisian Building</v>
          </cell>
        </row>
      </sheetData>
      <sheetData sheetId="1291">
        <row r="8">
          <cell r="D8" t="str">
            <v>Paramaz Avedisian Building</v>
          </cell>
        </row>
      </sheetData>
      <sheetData sheetId="1292">
        <row r="8">
          <cell r="D8" t="str">
            <v>Paramaz Avedisian Building</v>
          </cell>
        </row>
      </sheetData>
      <sheetData sheetId="1293">
        <row r="8">
          <cell r="D8" t="str">
            <v>Paramaz Avedisian Building</v>
          </cell>
        </row>
      </sheetData>
      <sheetData sheetId="1294">
        <row r="8">
          <cell r="D8" t="str">
            <v>Paramaz Avedisian Building</v>
          </cell>
        </row>
      </sheetData>
      <sheetData sheetId="1295">
        <row r="8">
          <cell r="D8" t="str">
            <v>Paramaz Avedisian Building</v>
          </cell>
        </row>
      </sheetData>
      <sheetData sheetId="1296">
        <row r="8">
          <cell r="D8" t="str">
            <v>Paramaz Avedisian Building</v>
          </cell>
        </row>
      </sheetData>
      <sheetData sheetId="1297">
        <row r="8">
          <cell r="D8" t="str">
            <v>Paramaz Avedisian Building</v>
          </cell>
        </row>
      </sheetData>
      <sheetData sheetId="1298">
        <row r="8">
          <cell r="D8" t="str">
            <v>Paramaz Avedisian Building</v>
          </cell>
        </row>
      </sheetData>
      <sheetData sheetId="1299">
        <row r="8">
          <cell r="D8" t="str">
            <v>Paramaz Avedisian Building</v>
          </cell>
        </row>
      </sheetData>
      <sheetData sheetId="1300">
        <row r="8">
          <cell r="D8" t="str">
            <v>Paramaz Avedisian Building</v>
          </cell>
        </row>
      </sheetData>
      <sheetData sheetId="1301">
        <row r="8">
          <cell r="D8" t="str">
            <v>Paramaz Avedisian Building</v>
          </cell>
        </row>
      </sheetData>
      <sheetData sheetId="1302">
        <row r="8">
          <cell r="D8" t="str">
            <v>Paramaz Avedisian Building</v>
          </cell>
        </row>
      </sheetData>
      <sheetData sheetId="1303">
        <row r="8">
          <cell r="D8" t="str">
            <v>Paramaz Avedisian Building</v>
          </cell>
        </row>
      </sheetData>
      <sheetData sheetId="1304">
        <row r="8">
          <cell r="D8" t="str">
            <v>Paramaz Avedisian Building</v>
          </cell>
        </row>
      </sheetData>
      <sheetData sheetId="1305">
        <row r="8">
          <cell r="D8" t="str">
            <v>Paramaz Avedisian Building</v>
          </cell>
        </row>
      </sheetData>
      <sheetData sheetId="1306">
        <row r="8">
          <cell r="D8" t="str">
            <v>Paramaz Avedisian Building</v>
          </cell>
        </row>
      </sheetData>
      <sheetData sheetId="1307">
        <row r="8">
          <cell r="D8" t="str">
            <v>Paramaz Avedisian Building</v>
          </cell>
        </row>
      </sheetData>
      <sheetData sheetId="1308">
        <row r="8">
          <cell r="D8" t="str">
            <v>Paramaz Avedisian Building</v>
          </cell>
        </row>
      </sheetData>
      <sheetData sheetId="1309">
        <row r="8">
          <cell r="D8" t="str">
            <v>Paramaz Avedisian Building</v>
          </cell>
        </row>
      </sheetData>
      <sheetData sheetId="1310">
        <row r="8">
          <cell r="D8" t="str">
            <v>Paramaz Avedisian Building</v>
          </cell>
        </row>
      </sheetData>
      <sheetData sheetId="1311">
        <row r="8">
          <cell r="D8" t="str">
            <v>Paramaz Avedisian Building</v>
          </cell>
        </row>
      </sheetData>
      <sheetData sheetId="1312">
        <row r="8">
          <cell r="D8" t="str">
            <v>Paramaz Avedisian Building</v>
          </cell>
        </row>
      </sheetData>
      <sheetData sheetId="1313">
        <row r="8">
          <cell r="D8" t="str">
            <v>Paramaz Avedisian Building</v>
          </cell>
        </row>
      </sheetData>
      <sheetData sheetId="1314">
        <row r="8">
          <cell r="D8" t="str">
            <v>Paramaz Avedisian Building</v>
          </cell>
        </row>
      </sheetData>
      <sheetData sheetId="1315">
        <row r="8">
          <cell r="D8" t="str">
            <v>Paramaz Avedisian Building</v>
          </cell>
        </row>
      </sheetData>
      <sheetData sheetId="1316">
        <row r="8">
          <cell r="D8" t="str">
            <v>Paramaz Avedisian Building</v>
          </cell>
        </row>
      </sheetData>
      <sheetData sheetId="1317">
        <row r="8">
          <cell r="D8" t="str">
            <v>Paramaz Avedisian Building</v>
          </cell>
        </row>
      </sheetData>
      <sheetData sheetId="1318">
        <row r="8">
          <cell r="D8" t="str">
            <v>Paramaz Avedisian Building</v>
          </cell>
        </row>
      </sheetData>
      <sheetData sheetId="1319">
        <row r="8">
          <cell r="D8" t="str">
            <v>Paramaz Avedisian Building</v>
          </cell>
        </row>
      </sheetData>
      <sheetData sheetId="1320">
        <row r="8">
          <cell r="D8" t="str">
            <v>Paramaz Avedisian Building</v>
          </cell>
        </row>
      </sheetData>
      <sheetData sheetId="1321">
        <row r="8">
          <cell r="D8" t="str">
            <v>Paramaz Avedisian Building</v>
          </cell>
        </row>
      </sheetData>
      <sheetData sheetId="1322">
        <row r="8">
          <cell r="D8" t="str">
            <v>Paramaz Avedisian Building</v>
          </cell>
        </row>
      </sheetData>
      <sheetData sheetId="1323">
        <row r="8">
          <cell r="D8" t="str">
            <v>Paramaz Avedisian Building</v>
          </cell>
        </row>
      </sheetData>
      <sheetData sheetId="1324">
        <row r="8">
          <cell r="D8" t="str">
            <v>Paramaz Avedisian Building</v>
          </cell>
        </row>
      </sheetData>
      <sheetData sheetId="1325">
        <row r="8">
          <cell r="D8" t="str">
            <v>Paramaz Avedisian Building</v>
          </cell>
        </row>
      </sheetData>
      <sheetData sheetId="1326">
        <row r="8">
          <cell r="D8" t="str">
            <v>Paramaz Avedisian Building</v>
          </cell>
        </row>
      </sheetData>
      <sheetData sheetId="1327">
        <row r="8">
          <cell r="D8" t="str">
            <v>Paramaz Avedisian Building</v>
          </cell>
        </row>
      </sheetData>
      <sheetData sheetId="1328">
        <row r="8">
          <cell r="D8" t="str">
            <v>Paramaz Avedisian Building</v>
          </cell>
        </row>
      </sheetData>
      <sheetData sheetId="1329">
        <row r="8">
          <cell r="D8" t="str">
            <v>Paramaz Avedisian Building</v>
          </cell>
        </row>
      </sheetData>
      <sheetData sheetId="1330">
        <row r="8">
          <cell r="D8" t="str">
            <v>Paramaz Avedisian Building</v>
          </cell>
        </row>
      </sheetData>
      <sheetData sheetId="1331">
        <row r="8">
          <cell r="D8" t="str">
            <v>Paramaz Avedisian Building</v>
          </cell>
        </row>
      </sheetData>
      <sheetData sheetId="1332">
        <row r="8">
          <cell r="D8" t="str">
            <v>Paramaz Avedisian Building</v>
          </cell>
        </row>
      </sheetData>
      <sheetData sheetId="1333">
        <row r="8">
          <cell r="D8" t="str">
            <v>Paramaz Avedisian Building</v>
          </cell>
        </row>
      </sheetData>
      <sheetData sheetId="1334">
        <row r="8">
          <cell r="D8" t="str">
            <v>Paramaz Avedisian Building</v>
          </cell>
        </row>
      </sheetData>
      <sheetData sheetId="1335">
        <row r="8">
          <cell r="D8" t="str">
            <v>Paramaz Avedisian Building</v>
          </cell>
        </row>
      </sheetData>
      <sheetData sheetId="1336">
        <row r="8">
          <cell r="D8" t="str">
            <v>Paramaz Avedisian Building</v>
          </cell>
        </row>
      </sheetData>
      <sheetData sheetId="1337">
        <row r="8">
          <cell r="D8" t="str">
            <v>Paramaz Avedisian Building</v>
          </cell>
        </row>
      </sheetData>
      <sheetData sheetId="1338">
        <row r="8">
          <cell r="D8" t="str">
            <v>Paramaz Avedisian Building</v>
          </cell>
        </row>
      </sheetData>
      <sheetData sheetId="1339">
        <row r="8">
          <cell r="D8" t="str">
            <v>Paramaz Avedisian Building</v>
          </cell>
        </row>
      </sheetData>
      <sheetData sheetId="1340">
        <row r="8">
          <cell r="D8" t="str">
            <v>Paramaz Avedisian Building</v>
          </cell>
        </row>
      </sheetData>
      <sheetData sheetId="1341">
        <row r="8">
          <cell r="D8" t="str">
            <v>Paramaz Avedisian Building</v>
          </cell>
        </row>
      </sheetData>
      <sheetData sheetId="1342">
        <row r="8">
          <cell r="D8" t="str">
            <v>Paramaz Avedisian Building</v>
          </cell>
        </row>
      </sheetData>
      <sheetData sheetId="1343">
        <row r="8">
          <cell r="D8" t="str">
            <v>Paramaz Avedisian Building</v>
          </cell>
        </row>
      </sheetData>
      <sheetData sheetId="1344">
        <row r="8">
          <cell r="D8" t="str">
            <v>Paramaz Avedisian Building</v>
          </cell>
        </row>
      </sheetData>
      <sheetData sheetId="1345">
        <row r="8">
          <cell r="D8" t="str">
            <v>Paramaz Avedisian Building</v>
          </cell>
        </row>
      </sheetData>
      <sheetData sheetId="1346">
        <row r="8">
          <cell r="D8" t="str">
            <v>Paramaz Avedisian Building</v>
          </cell>
        </row>
      </sheetData>
      <sheetData sheetId="1347">
        <row r="8">
          <cell r="D8" t="str">
            <v>Paramaz Avedisian Building</v>
          </cell>
        </row>
      </sheetData>
      <sheetData sheetId="1348">
        <row r="8">
          <cell r="D8" t="str">
            <v>Paramaz Avedisian Building</v>
          </cell>
        </row>
      </sheetData>
      <sheetData sheetId="1349">
        <row r="8">
          <cell r="D8" t="str">
            <v>Paramaz Avedisian Building</v>
          </cell>
        </row>
      </sheetData>
      <sheetData sheetId="1350">
        <row r="8">
          <cell r="D8" t="str">
            <v>Paramaz Avedisian Building</v>
          </cell>
        </row>
      </sheetData>
      <sheetData sheetId="1351">
        <row r="8">
          <cell r="D8" t="str">
            <v>Paramaz Avedisian Building</v>
          </cell>
        </row>
      </sheetData>
      <sheetData sheetId="1352">
        <row r="8">
          <cell r="D8" t="str">
            <v>Paramaz Avedisian Building</v>
          </cell>
        </row>
      </sheetData>
      <sheetData sheetId="1353">
        <row r="8">
          <cell r="D8" t="str">
            <v>Paramaz Avedisian Building</v>
          </cell>
        </row>
      </sheetData>
      <sheetData sheetId="1354">
        <row r="8">
          <cell r="D8" t="str">
            <v>Paramaz Avedisian Building</v>
          </cell>
        </row>
      </sheetData>
      <sheetData sheetId="1355">
        <row r="8">
          <cell r="D8" t="str">
            <v>Paramaz Avedisian Building</v>
          </cell>
        </row>
      </sheetData>
      <sheetData sheetId="1356">
        <row r="8">
          <cell r="D8" t="str">
            <v>Paramaz Avedisian Building</v>
          </cell>
        </row>
      </sheetData>
      <sheetData sheetId="1357">
        <row r="8">
          <cell r="D8" t="str">
            <v>Paramaz Avedisian Building</v>
          </cell>
        </row>
      </sheetData>
      <sheetData sheetId="1358">
        <row r="8">
          <cell r="D8" t="str">
            <v>Paramaz Avedisian Building</v>
          </cell>
        </row>
      </sheetData>
      <sheetData sheetId="1359">
        <row r="8">
          <cell r="D8" t="str">
            <v>Paramaz Avedisian Building</v>
          </cell>
        </row>
      </sheetData>
      <sheetData sheetId="1360">
        <row r="8">
          <cell r="D8" t="str">
            <v>Paramaz Avedisian Building</v>
          </cell>
        </row>
      </sheetData>
      <sheetData sheetId="1361">
        <row r="8">
          <cell r="D8" t="str">
            <v>Paramaz Avedisian Building</v>
          </cell>
        </row>
      </sheetData>
      <sheetData sheetId="1362">
        <row r="8">
          <cell r="D8" t="str">
            <v>Paramaz Avedisian Building</v>
          </cell>
        </row>
      </sheetData>
      <sheetData sheetId="1363">
        <row r="8">
          <cell r="D8" t="str">
            <v>Paramaz Avedisian Building</v>
          </cell>
        </row>
      </sheetData>
      <sheetData sheetId="1364">
        <row r="8">
          <cell r="D8" t="str">
            <v>Paramaz Avedisian Building</v>
          </cell>
        </row>
      </sheetData>
      <sheetData sheetId="1365">
        <row r="8">
          <cell r="D8" t="str">
            <v>Paramaz Avedisian Building</v>
          </cell>
        </row>
      </sheetData>
      <sheetData sheetId="1366">
        <row r="8">
          <cell r="D8" t="str">
            <v>Paramaz Avedisian Building</v>
          </cell>
        </row>
      </sheetData>
      <sheetData sheetId="1367">
        <row r="8">
          <cell r="D8" t="str">
            <v>Paramaz Avedisian Building</v>
          </cell>
        </row>
      </sheetData>
      <sheetData sheetId="1368">
        <row r="8">
          <cell r="D8" t="str">
            <v>Paramaz Avedisian Building</v>
          </cell>
        </row>
      </sheetData>
      <sheetData sheetId="1369">
        <row r="8">
          <cell r="D8" t="str">
            <v>Paramaz Avedisian Building</v>
          </cell>
        </row>
      </sheetData>
      <sheetData sheetId="1370">
        <row r="8">
          <cell r="D8" t="str">
            <v>Paramaz Avedisian Building</v>
          </cell>
        </row>
      </sheetData>
      <sheetData sheetId="1371">
        <row r="8">
          <cell r="D8" t="str">
            <v>Paramaz Avedisian Building</v>
          </cell>
        </row>
      </sheetData>
      <sheetData sheetId="1372">
        <row r="8">
          <cell r="D8" t="str">
            <v>Paramaz Avedisian Building</v>
          </cell>
        </row>
      </sheetData>
      <sheetData sheetId="1373">
        <row r="8">
          <cell r="D8" t="str">
            <v>Paramaz Avedisian Building</v>
          </cell>
        </row>
      </sheetData>
      <sheetData sheetId="1374">
        <row r="8">
          <cell r="D8" t="str">
            <v>Paramaz Avedisian Building</v>
          </cell>
        </row>
      </sheetData>
      <sheetData sheetId="1375">
        <row r="8">
          <cell r="D8" t="str">
            <v>Paramaz Avedisian Building</v>
          </cell>
        </row>
      </sheetData>
      <sheetData sheetId="1376">
        <row r="8">
          <cell r="D8" t="str">
            <v>Paramaz Avedisian Building</v>
          </cell>
        </row>
      </sheetData>
      <sheetData sheetId="1377">
        <row r="8">
          <cell r="D8" t="str">
            <v>Paramaz Avedisian Building</v>
          </cell>
        </row>
      </sheetData>
      <sheetData sheetId="1378">
        <row r="8">
          <cell r="D8" t="str">
            <v>Paramaz Avedisian Building</v>
          </cell>
        </row>
      </sheetData>
      <sheetData sheetId="1379">
        <row r="8">
          <cell r="D8" t="str">
            <v>Paramaz Avedisian Building</v>
          </cell>
        </row>
      </sheetData>
      <sheetData sheetId="1380">
        <row r="8">
          <cell r="D8" t="str">
            <v>Paramaz Avedisian Building</v>
          </cell>
        </row>
      </sheetData>
      <sheetData sheetId="1381">
        <row r="8">
          <cell r="D8" t="str">
            <v>Paramaz Avedisian Building</v>
          </cell>
        </row>
      </sheetData>
      <sheetData sheetId="1382">
        <row r="8">
          <cell r="D8" t="str">
            <v>Paramaz Avedisian Building</v>
          </cell>
        </row>
      </sheetData>
      <sheetData sheetId="1383">
        <row r="8">
          <cell r="D8" t="str">
            <v>Paramaz Avedisian Building</v>
          </cell>
        </row>
      </sheetData>
      <sheetData sheetId="1384">
        <row r="8">
          <cell r="D8" t="str">
            <v>Paramaz Avedisian Building</v>
          </cell>
        </row>
      </sheetData>
      <sheetData sheetId="1385">
        <row r="8">
          <cell r="D8" t="str">
            <v>Paramaz Avedisian Building</v>
          </cell>
        </row>
      </sheetData>
      <sheetData sheetId="1386">
        <row r="8">
          <cell r="D8" t="str">
            <v>Paramaz Avedisian Building</v>
          </cell>
        </row>
      </sheetData>
      <sheetData sheetId="1387">
        <row r="8">
          <cell r="D8" t="str">
            <v>Paramaz Avedisian Building</v>
          </cell>
        </row>
      </sheetData>
      <sheetData sheetId="1388">
        <row r="8">
          <cell r="D8" t="str">
            <v>Paramaz Avedisian Building</v>
          </cell>
        </row>
      </sheetData>
      <sheetData sheetId="1389">
        <row r="8">
          <cell r="D8" t="str">
            <v>Paramaz Avedisian Building</v>
          </cell>
        </row>
      </sheetData>
      <sheetData sheetId="1390">
        <row r="8">
          <cell r="D8" t="str">
            <v>Paramaz Avedisian Building</v>
          </cell>
        </row>
      </sheetData>
      <sheetData sheetId="1391">
        <row r="8">
          <cell r="D8" t="str">
            <v>Paramaz Avedisian Building</v>
          </cell>
        </row>
      </sheetData>
      <sheetData sheetId="1392">
        <row r="8">
          <cell r="D8" t="str">
            <v>Paramaz Avedisian Building</v>
          </cell>
        </row>
      </sheetData>
      <sheetData sheetId="1393">
        <row r="8">
          <cell r="D8" t="str">
            <v>Paramaz Avedisian Building</v>
          </cell>
        </row>
      </sheetData>
      <sheetData sheetId="1394">
        <row r="8">
          <cell r="D8" t="str">
            <v>Paramaz Avedisian Building</v>
          </cell>
        </row>
      </sheetData>
      <sheetData sheetId="1395">
        <row r="8">
          <cell r="D8" t="str">
            <v>Paramaz Avedisian Building</v>
          </cell>
        </row>
      </sheetData>
      <sheetData sheetId="1396">
        <row r="8">
          <cell r="D8" t="str">
            <v>Paramaz Avedisian Building</v>
          </cell>
        </row>
      </sheetData>
      <sheetData sheetId="1397">
        <row r="8">
          <cell r="D8" t="str">
            <v>Paramaz Avedisian Building</v>
          </cell>
        </row>
      </sheetData>
      <sheetData sheetId="1398">
        <row r="8">
          <cell r="D8" t="str">
            <v>Paramaz Avedisian Building</v>
          </cell>
        </row>
      </sheetData>
      <sheetData sheetId="1399">
        <row r="8">
          <cell r="D8" t="str">
            <v>Paramaz Avedisian Building</v>
          </cell>
        </row>
      </sheetData>
      <sheetData sheetId="1400">
        <row r="8">
          <cell r="D8" t="str">
            <v>Paramaz Avedisian Building</v>
          </cell>
        </row>
      </sheetData>
      <sheetData sheetId="1401">
        <row r="8">
          <cell r="D8" t="str">
            <v>Paramaz Avedisian Building</v>
          </cell>
        </row>
      </sheetData>
      <sheetData sheetId="1402">
        <row r="8">
          <cell r="D8" t="str">
            <v>Paramaz Avedisian Building</v>
          </cell>
        </row>
      </sheetData>
      <sheetData sheetId="1403">
        <row r="8">
          <cell r="D8" t="str">
            <v>Paramaz Avedisian Building</v>
          </cell>
        </row>
      </sheetData>
      <sheetData sheetId="1404">
        <row r="8">
          <cell r="D8" t="str">
            <v>Paramaz Avedisian Building</v>
          </cell>
        </row>
      </sheetData>
      <sheetData sheetId="1405">
        <row r="8">
          <cell r="D8" t="str">
            <v>Paramaz Avedisian Building</v>
          </cell>
        </row>
      </sheetData>
      <sheetData sheetId="1406">
        <row r="8">
          <cell r="D8" t="str">
            <v>Paramaz Avedisian Building</v>
          </cell>
        </row>
      </sheetData>
      <sheetData sheetId="1407">
        <row r="8">
          <cell r="D8" t="str">
            <v>Paramaz Avedisian Building</v>
          </cell>
        </row>
      </sheetData>
      <sheetData sheetId="1408">
        <row r="8">
          <cell r="C8">
            <v>0</v>
          </cell>
        </row>
      </sheetData>
      <sheetData sheetId="1409">
        <row r="8">
          <cell r="D8" t="str">
            <v>Paramaz Avedisian Building</v>
          </cell>
        </row>
      </sheetData>
      <sheetData sheetId="1410">
        <row r="8">
          <cell r="C8">
            <v>0</v>
          </cell>
        </row>
      </sheetData>
      <sheetData sheetId="1411">
        <row r="8">
          <cell r="A8">
            <v>0</v>
          </cell>
        </row>
      </sheetData>
      <sheetData sheetId="1412">
        <row r="8">
          <cell r="D8" t="str">
            <v>Paramaz Avedisian Building</v>
          </cell>
        </row>
      </sheetData>
      <sheetData sheetId="1413">
        <row r="8">
          <cell r="A8">
            <v>0</v>
          </cell>
        </row>
      </sheetData>
      <sheetData sheetId="1414">
        <row r="8">
          <cell r="D8" t="str">
            <v>Paramaz Avedisian Building</v>
          </cell>
        </row>
      </sheetData>
      <sheetData sheetId="1415">
        <row r="8">
          <cell r="C8">
            <v>0</v>
          </cell>
        </row>
      </sheetData>
      <sheetData sheetId="1416">
        <row r="8">
          <cell r="A8">
            <v>0</v>
          </cell>
        </row>
      </sheetData>
      <sheetData sheetId="1417">
        <row r="8">
          <cell r="C8">
            <v>0</v>
          </cell>
        </row>
      </sheetData>
      <sheetData sheetId="1418">
        <row r="8">
          <cell r="A8">
            <v>0</v>
          </cell>
        </row>
      </sheetData>
      <sheetData sheetId="1419">
        <row r="8">
          <cell r="D8" t="str">
            <v>Paramaz Avedisian Building</v>
          </cell>
        </row>
      </sheetData>
      <sheetData sheetId="1420">
        <row r="8">
          <cell r="C8">
            <v>0</v>
          </cell>
        </row>
      </sheetData>
      <sheetData sheetId="1421">
        <row r="8">
          <cell r="A8">
            <v>0</v>
          </cell>
        </row>
      </sheetData>
      <sheetData sheetId="1422">
        <row r="8">
          <cell r="C8">
            <v>0</v>
          </cell>
        </row>
      </sheetData>
      <sheetData sheetId="1423">
        <row r="8">
          <cell r="A8">
            <v>0</v>
          </cell>
        </row>
      </sheetData>
      <sheetData sheetId="1424">
        <row r="8">
          <cell r="D8" t="str">
            <v>Paramaz Avedisian Building</v>
          </cell>
        </row>
      </sheetData>
      <sheetData sheetId="1425">
        <row r="8">
          <cell r="C8">
            <v>0</v>
          </cell>
        </row>
      </sheetData>
      <sheetData sheetId="1426">
        <row r="8">
          <cell r="D8" t="str">
            <v>Paramaz Avedisian Building</v>
          </cell>
        </row>
      </sheetData>
      <sheetData sheetId="1427">
        <row r="8">
          <cell r="C8">
            <v>0</v>
          </cell>
        </row>
      </sheetData>
      <sheetData sheetId="1428">
        <row r="8">
          <cell r="D8" t="str">
            <v>Paramaz Avedisian Building</v>
          </cell>
        </row>
      </sheetData>
      <sheetData sheetId="1429">
        <row r="8">
          <cell r="D8" t="str">
            <v>Paramaz Avedisian Building</v>
          </cell>
        </row>
      </sheetData>
      <sheetData sheetId="1430">
        <row r="8">
          <cell r="D8" t="str">
            <v>Paramaz Avedisian Building</v>
          </cell>
        </row>
      </sheetData>
      <sheetData sheetId="1431">
        <row r="8">
          <cell r="D8" t="str">
            <v>Paramaz Avedisian Building</v>
          </cell>
        </row>
      </sheetData>
      <sheetData sheetId="1432">
        <row r="8">
          <cell r="D8" t="str">
            <v>Paramaz Avedisian Building</v>
          </cell>
        </row>
      </sheetData>
      <sheetData sheetId="1433">
        <row r="8">
          <cell r="D8" t="str">
            <v>Paramaz Avedisian Building</v>
          </cell>
        </row>
      </sheetData>
      <sheetData sheetId="1434">
        <row r="8">
          <cell r="D8" t="str">
            <v>Paramaz Avedisian Building</v>
          </cell>
        </row>
      </sheetData>
      <sheetData sheetId="1435">
        <row r="8">
          <cell r="C8">
            <v>0</v>
          </cell>
        </row>
      </sheetData>
      <sheetData sheetId="1436">
        <row r="8">
          <cell r="D8" t="str">
            <v>Paramaz Avedisian Building</v>
          </cell>
        </row>
      </sheetData>
      <sheetData sheetId="1437">
        <row r="8">
          <cell r="C8">
            <v>0</v>
          </cell>
        </row>
      </sheetData>
      <sheetData sheetId="1438">
        <row r="8">
          <cell r="A8">
            <v>0</v>
          </cell>
        </row>
      </sheetData>
      <sheetData sheetId="1439">
        <row r="8">
          <cell r="C8">
            <v>0</v>
          </cell>
        </row>
      </sheetData>
      <sheetData sheetId="1440">
        <row r="8">
          <cell r="A8">
            <v>0</v>
          </cell>
        </row>
      </sheetData>
      <sheetData sheetId="1441">
        <row r="8">
          <cell r="C8">
            <v>0</v>
          </cell>
        </row>
      </sheetData>
      <sheetData sheetId="1442">
        <row r="8">
          <cell r="A8">
            <v>0</v>
          </cell>
        </row>
      </sheetData>
      <sheetData sheetId="1443">
        <row r="8">
          <cell r="A8">
            <v>0</v>
          </cell>
        </row>
      </sheetData>
      <sheetData sheetId="1444">
        <row r="8">
          <cell r="A8">
            <v>0</v>
          </cell>
        </row>
      </sheetData>
      <sheetData sheetId="1445">
        <row r="8">
          <cell r="A8">
            <v>0</v>
          </cell>
        </row>
      </sheetData>
      <sheetData sheetId="1446">
        <row r="8">
          <cell r="A8">
            <v>0</v>
          </cell>
        </row>
      </sheetData>
      <sheetData sheetId="1447">
        <row r="8">
          <cell r="A8">
            <v>0</v>
          </cell>
        </row>
      </sheetData>
      <sheetData sheetId="1448">
        <row r="8">
          <cell r="A8">
            <v>0</v>
          </cell>
        </row>
      </sheetData>
      <sheetData sheetId="1449">
        <row r="8">
          <cell r="A8">
            <v>0</v>
          </cell>
        </row>
      </sheetData>
      <sheetData sheetId="1450">
        <row r="8">
          <cell r="A8">
            <v>0</v>
          </cell>
        </row>
      </sheetData>
      <sheetData sheetId="1451">
        <row r="8">
          <cell r="A8">
            <v>0</v>
          </cell>
        </row>
      </sheetData>
      <sheetData sheetId="1452">
        <row r="8">
          <cell r="A8">
            <v>0</v>
          </cell>
        </row>
      </sheetData>
      <sheetData sheetId="1453">
        <row r="8">
          <cell r="A8">
            <v>0</v>
          </cell>
        </row>
      </sheetData>
      <sheetData sheetId="1454">
        <row r="8">
          <cell r="A8">
            <v>0</v>
          </cell>
        </row>
      </sheetData>
      <sheetData sheetId="1455">
        <row r="8">
          <cell r="A8">
            <v>0</v>
          </cell>
        </row>
      </sheetData>
      <sheetData sheetId="1456">
        <row r="8">
          <cell r="C8">
            <v>0</v>
          </cell>
        </row>
      </sheetData>
      <sheetData sheetId="1457">
        <row r="8">
          <cell r="A8">
            <v>0</v>
          </cell>
        </row>
      </sheetData>
      <sheetData sheetId="1458">
        <row r="8">
          <cell r="A8">
            <v>0</v>
          </cell>
        </row>
      </sheetData>
      <sheetData sheetId="1459">
        <row r="8">
          <cell r="A8">
            <v>0</v>
          </cell>
        </row>
      </sheetData>
      <sheetData sheetId="1460">
        <row r="8">
          <cell r="A8">
            <v>0</v>
          </cell>
        </row>
      </sheetData>
      <sheetData sheetId="1461">
        <row r="8">
          <cell r="A8">
            <v>0</v>
          </cell>
        </row>
      </sheetData>
      <sheetData sheetId="1462">
        <row r="8">
          <cell r="A8">
            <v>0</v>
          </cell>
        </row>
      </sheetData>
      <sheetData sheetId="1463">
        <row r="8">
          <cell r="A8">
            <v>0</v>
          </cell>
        </row>
      </sheetData>
      <sheetData sheetId="1464">
        <row r="8">
          <cell r="A8">
            <v>0</v>
          </cell>
        </row>
      </sheetData>
      <sheetData sheetId="1465">
        <row r="8">
          <cell r="A8">
            <v>0</v>
          </cell>
        </row>
      </sheetData>
      <sheetData sheetId="1466">
        <row r="8">
          <cell r="A8">
            <v>0</v>
          </cell>
        </row>
      </sheetData>
      <sheetData sheetId="1467">
        <row r="8">
          <cell r="C8">
            <v>0</v>
          </cell>
        </row>
      </sheetData>
      <sheetData sheetId="1468">
        <row r="8">
          <cell r="A8">
            <v>0</v>
          </cell>
        </row>
      </sheetData>
      <sheetData sheetId="1469">
        <row r="8">
          <cell r="A8">
            <v>0</v>
          </cell>
        </row>
      </sheetData>
      <sheetData sheetId="1470">
        <row r="8">
          <cell r="A8">
            <v>0</v>
          </cell>
        </row>
      </sheetData>
      <sheetData sheetId="1471">
        <row r="8">
          <cell r="A8">
            <v>0</v>
          </cell>
        </row>
      </sheetData>
      <sheetData sheetId="1472">
        <row r="8">
          <cell r="A8">
            <v>0</v>
          </cell>
        </row>
      </sheetData>
      <sheetData sheetId="1473">
        <row r="8">
          <cell r="A8">
            <v>0</v>
          </cell>
        </row>
      </sheetData>
      <sheetData sheetId="1474">
        <row r="8">
          <cell r="A8">
            <v>0</v>
          </cell>
        </row>
      </sheetData>
      <sheetData sheetId="1475">
        <row r="8">
          <cell r="A8">
            <v>0</v>
          </cell>
        </row>
      </sheetData>
      <sheetData sheetId="1476">
        <row r="8">
          <cell r="A8">
            <v>0</v>
          </cell>
        </row>
      </sheetData>
      <sheetData sheetId="1477">
        <row r="8">
          <cell r="A8">
            <v>0</v>
          </cell>
        </row>
      </sheetData>
      <sheetData sheetId="1478">
        <row r="8">
          <cell r="A8">
            <v>0</v>
          </cell>
        </row>
      </sheetData>
      <sheetData sheetId="1479">
        <row r="8">
          <cell r="A8">
            <v>0</v>
          </cell>
        </row>
      </sheetData>
      <sheetData sheetId="1480">
        <row r="8">
          <cell r="A8">
            <v>0</v>
          </cell>
        </row>
      </sheetData>
      <sheetData sheetId="1481">
        <row r="8">
          <cell r="A8">
            <v>0</v>
          </cell>
        </row>
      </sheetData>
      <sheetData sheetId="1482">
        <row r="8">
          <cell r="A8">
            <v>0</v>
          </cell>
        </row>
      </sheetData>
      <sheetData sheetId="1483">
        <row r="8">
          <cell r="A8">
            <v>0</v>
          </cell>
        </row>
      </sheetData>
      <sheetData sheetId="1484">
        <row r="8">
          <cell r="A8">
            <v>0</v>
          </cell>
        </row>
      </sheetData>
      <sheetData sheetId="1485">
        <row r="8">
          <cell r="A8">
            <v>0</v>
          </cell>
        </row>
      </sheetData>
      <sheetData sheetId="1486">
        <row r="8">
          <cell r="A8">
            <v>0</v>
          </cell>
        </row>
      </sheetData>
      <sheetData sheetId="1487">
        <row r="8">
          <cell r="A8">
            <v>0</v>
          </cell>
        </row>
      </sheetData>
      <sheetData sheetId="1488">
        <row r="8">
          <cell r="A8">
            <v>0</v>
          </cell>
        </row>
      </sheetData>
      <sheetData sheetId="1489">
        <row r="8">
          <cell r="A8">
            <v>0</v>
          </cell>
        </row>
      </sheetData>
      <sheetData sheetId="1490">
        <row r="8">
          <cell r="A8">
            <v>0</v>
          </cell>
        </row>
      </sheetData>
      <sheetData sheetId="1491">
        <row r="8">
          <cell r="A8">
            <v>0</v>
          </cell>
        </row>
      </sheetData>
      <sheetData sheetId="1492">
        <row r="8">
          <cell r="A8">
            <v>0</v>
          </cell>
        </row>
      </sheetData>
      <sheetData sheetId="1493">
        <row r="8">
          <cell r="A8">
            <v>0</v>
          </cell>
        </row>
      </sheetData>
      <sheetData sheetId="1494">
        <row r="8">
          <cell r="A8">
            <v>0</v>
          </cell>
        </row>
      </sheetData>
      <sheetData sheetId="1495">
        <row r="8">
          <cell r="A8">
            <v>0</v>
          </cell>
        </row>
      </sheetData>
      <sheetData sheetId="1496">
        <row r="8">
          <cell r="A8">
            <v>0</v>
          </cell>
        </row>
      </sheetData>
      <sheetData sheetId="1497">
        <row r="8">
          <cell r="A8">
            <v>0</v>
          </cell>
        </row>
      </sheetData>
      <sheetData sheetId="1498">
        <row r="8">
          <cell r="A8">
            <v>0</v>
          </cell>
        </row>
      </sheetData>
      <sheetData sheetId="1499">
        <row r="8">
          <cell r="A8">
            <v>0</v>
          </cell>
        </row>
      </sheetData>
      <sheetData sheetId="1500">
        <row r="8">
          <cell r="A8">
            <v>0</v>
          </cell>
        </row>
      </sheetData>
      <sheetData sheetId="1501">
        <row r="8">
          <cell r="A8">
            <v>0</v>
          </cell>
        </row>
      </sheetData>
      <sheetData sheetId="1502">
        <row r="8">
          <cell r="A8">
            <v>0</v>
          </cell>
        </row>
      </sheetData>
      <sheetData sheetId="1503">
        <row r="8">
          <cell r="A8">
            <v>0</v>
          </cell>
        </row>
      </sheetData>
      <sheetData sheetId="1504">
        <row r="8">
          <cell r="A8">
            <v>0</v>
          </cell>
        </row>
      </sheetData>
      <sheetData sheetId="1505">
        <row r="8">
          <cell r="A8">
            <v>0</v>
          </cell>
        </row>
      </sheetData>
      <sheetData sheetId="1506">
        <row r="8">
          <cell r="A8">
            <v>0</v>
          </cell>
        </row>
      </sheetData>
      <sheetData sheetId="1507">
        <row r="8">
          <cell r="A8">
            <v>0</v>
          </cell>
        </row>
      </sheetData>
      <sheetData sheetId="1508">
        <row r="8">
          <cell r="A8">
            <v>0</v>
          </cell>
        </row>
      </sheetData>
      <sheetData sheetId="1509">
        <row r="8">
          <cell r="A8">
            <v>0</v>
          </cell>
        </row>
      </sheetData>
      <sheetData sheetId="1510">
        <row r="8">
          <cell r="A8">
            <v>0</v>
          </cell>
        </row>
      </sheetData>
      <sheetData sheetId="1511">
        <row r="8">
          <cell r="A8">
            <v>0</v>
          </cell>
        </row>
      </sheetData>
      <sheetData sheetId="1512">
        <row r="8">
          <cell r="A8">
            <v>0</v>
          </cell>
        </row>
      </sheetData>
      <sheetData sheetId="1513">
        <row r="8">
          <cell r="A8">
            <v>0</v>
          </cell>
        </row>
      </sheetData>
      <sheetData sheetId="1514">
        <row r="8">
          <cell r="A8">
            <v>0</v>
          </cell>
        </row>
      </sheetData>
      <sheetData sheetId="1515">
        <row r="8">
          <cell r="A8">
            <v>0</v>
          </cell>
        </row>
      </sheetData>
      <sheetData sheetId="1516">
        <row r="8">
          <cell r="A8">
            <v>0</v>
          </cell>
        </row>
      </sheetData>
      <sheetData sheetId="1517">
        <row r="8">
          <cell r="A8">
            <v>0</v>
          </cell>
        </row>
      </sheetData>
      <sheetData sheetId="1518">
        <row r="8">
          <cell r="A8">
            <v>0</v>
          </cell>
        </row>
      </sheetData>
      <sheetData sheetId="1519">
        <row r="8">
          <cell r="A8">
            <v>0</v>
          </cell>
        </row>
      </sheetData>
      <sheetData sheetId="1520">
        <row r="8">
          <cell r="A8">
            <v>0</v>
          </cell>
        </row>
      </sheetData>
      <sheetData sheetId="1521">
        <row r="8">
          <cell r="A8">
            <v>0</v>
          </cell>
        </row>
      </sheetData>
      <sheetData sheetId="1522">
        <row r="8">
          <cell r="A8">
            <v>0</v>
          </cell>
        </row>
      </sheetData>
      <sheetData sheetId="1523">
        <row r="8">
          <cell r="A8">
            <v>0</v>
          </cell>
        </row>
      </sheetData>
      <sheetData sheetId="1524">
        <row r="8">
          <cell r="A8">
            <v>0</v>
          </cell>
        </row>
      </sheetData>
      <sheetData sheetId="1525">
        <row r="8">
          <cell r="A8">
            <v>0</v>
          </cell>
        </row>
      </sheetData>
      <sheetData sheetId="1526">
        <row r="8">
          <cell r="A8">
            <v>0</v>
          </cell>
        </row>
      </sheetData>
      <sheetData sheetId="1527">
        <row r="8">
          <cell r="A8">
            <v>0</v>
          </cell>
        </row>
      </sheetData>
      <sheetData sheetId="1528">
        <row r="8">
          <cell r="A8">
            <v>0</v>
          </cell>
        </row>
      </sheetData>
      <sheetData sheetId="1529">
        <row r="8">
          <cell r="A8">
            <v>0</v>
          </cell>
        </row>
      </sheetData>
      <sheetData sheetId="1530">
        <row r="8">
          <cell r="A8">
            <v>0</v>
          </cell>
        </row>
      </sheetData>
      <sheetData sheetId="1531">
        <row r="8">
          <cell r="A8">
            <v>0</v>
          </cell>
        </row>
      </sheetData>
      <sheetData sheetId="1532">
        <row r="8">
          <cell r="A8">
            <v>0</v>
          </cell>
        </row>
      </sheetData>
      <sheetData sheetId="1533">
        <row r="8">
          <cell r="A8">
            <v>0</v>
          </cell>
        </row>
      </sheetData>
      <sheetData sheetId="1534">
        <row r="8">
          <cell r="A8">
            <v>0</v>
          </cell>
        </row>
      </sheetData>
      <sheetData sheetId="1535">
        <row r="8">
          <cell r="A8">
            <v>0</v>
          </cell>
        </row>
      </sheetData>
      <sheetData sheetId="1536">
        <row r="8">
          <cell r="A8">
            <v>0</v>
          </cell>
        </row>
      </sheetData>
      <sheetData sheetId="1537">
        <row r="8">
          <cell r="A8">
            <v>0</v>
          </cell>
        </row>
      </sheetData>
      <sheetData sheetId="1538">
        <row r="8">
          <cell r="A8">
            <v>0</v>
          </cell>
        </row>
      </sheetData>
      <sheetData sheetId="1539">
        <row r="8">
          <cell r="A8">
            <v>0</v>
          </cell>
        </row>
      </sheetData>
      <sheetData sheetId="1540">
        <row r="8">
          <cell r="A8">
            <v>0</v>
          </cell>
        </row>
      </sheetData>
      <sheetData sheetId="1541">
        <row r="8">
          <cell r="A8">
            <v>0</v>
          </cell>
        </row>
      </sheetData>
      <sheetData sheetId="1542">
        <row r="8">
          <cell r="A8">
            <v>0</v>
          </cell>
        </row>
      </sheetData>
      <sheetData sheetId="1543">
        <row r="8">
          <cell r="A8">
            <v>0</v>
          </cell>
        </row>
      </sheetData>
      <sheetData sheetId="1544">
        <row r="8">
          <cell r="A8">
            <v>0</v>
          </cell>
        </row>
      </sheetData>
      <sheetData sheetId="1545">
        <row r="8">
          <cell r="A8">
            <v>0</v>
          </cell>
        </row>
      </sheetData>
      <sheetData sheetId="1546">
        <row r="8">
          <cell r="A8">
            <v>0</v>
          </cell>
        </row>
      </sheetData>
      <sheetData sheetId="1547">
        <row r="8">
          <cell r="A8">
            <v>0</v>
          </cell>
        </row>
      </sheetData>
      <sheetData sheetId="1548">
        <row r="8">
          <cell r="A8">
            <v>0</v>
          </cell>
        </row>
      </sheetData>
      <sheetData sheetId="1549">
        <row r="8">
          <cell r="A8">
            <v>0</v>
          </cell>
        </row>
      </sheetData>
      <sheetData sheetId="1550">
        <row r="8">
          <cell r="A8">
            <v>0</v>
          </cell>
        </row>
      </sheetData>
      <sheetData sheetId="1551">
        <row r="8">
          <cell r="A8">
            <v>0</v>
          </cell>
        </row>
      </sheetData>
      <sheetData sheetId="1552">
        <row r="8">
          <cell r="A8">
            <v>0</v>
          </cell>
        </row>
      </sheetData>
      <sheetData sheetId="1553">
        <row r="8">
          <cell r="A8">
            <v>0</v>
          </cell>
        </row>
      </sheetData>
      <sheetData sheetId="1554">
        <row r="8">
          <cell r="A8">
            <v>0</v>
          </cell>
        </row>
      </sheetData>
      <sheetData sheetId="1555">
        <row r="8">
          <cell r="A8">
            <v>0</v>
          </cell>
        </row>
      </sheetData>
      <sheetData sheetId="1556">
        <row r="8">
          <cell r="A8">
            <v>0</v>
          </cell>
        </row>
      </sheetData>
      <sheetData sheetId="1557">
        <row r="8">
          <cell r="A8">
            <v>0</v>
          </cell>
        </row>
      </sheetData>
      <sheetData sheetId="1558">
        <row r="8">
          <cell r="A8">
            <v>0</v>
          </cell>
        </row>
      </sheetData>
      <sheetData sheetId="1559">
        <row r="8">
          <cell r="A8">
            <v>0</v>
          </cell>
        </row>
      </sheetData>
      <sheetData sheetId="1560">
        <row r="8">
          <cell r="A8">
            <v>0</v>
          </cell>
        </row>
      </sheetData>
      <sheetData sheetId="1561">
        <row r="8">
          <cell r="A8">
            <v>0</v>
          </cell>
        </row>
      </sheetData>
      <sheetData sheetId="1562">
        <row r="8">
          <cell r="A8">
            <v>0</v>
          </cell>
        </row>
      </sheetData>
      <sheetData sheetId="1563">
        <row r="8">
          <cell r="A8">
            <v>0</v>
          </cell>
        </row>
      </sheetData>
      <sheetData sheetId="1564">
        <row r="8">
          <cell r="A8">
            <v>0</v>
          </cell>
        </row>
      </sheetData>
      <sheetData sheetId="1565">
        <row r="8">
          <cell r="A8">
            <v>0</v>
          </cell>
        </row>
      </sheetData>
      <sheetData sheetId="1566">
        <row r="8">
          <cell r="A8">
            <v>0</v>
          </cell>
        </row>
      </sheetData>
      <sheetData sheetId="1567">
        <row r="8">
          <cell r="A8">
            <v>0</v>
          </cell>
        </row>
      </sheetData>
      <sheetData sheetId="1568">
        <row r="8">
          <cell r="A8">
            <v>0</v>
          </cell>
        </row>
      </sheetData>
      <sheetData sheetId="1569">
        <row r="8">
          <cell r="A8">
            <v>0</v>
          </cell>
        </row>
      </sheetData>
      <sheetData sheetId="1570">
        <row r="8">
          <cell r="A8">
            <v>0</v>
          </cell>
        </row>
      </sheetData>
      <sheetData sheetId="1571">
        <row r="8">
          <cell r="A8">
            <v>0</v>
          </cell>
        </row>
      </sheetData>
      <sheetData sheetId="1572">
        <row r="8">
          <cell r="A8">
            <v>0</v>
          </cell>
        </row>
      </sheetData>
      <sheetData sheetId="1573">
        <row r="8">
          <cell r="A8">
            <v>0</v>
          </cell>
        </row>
      </sheetData>
      <sheetData sheetId="1574">
        <row r="8">
          <cell r="A8">
            <v>0</v>
          </cell>
        </row>
      </sheetData>
      <sheetData sheetId="1575">
        <row r="8">
          <cell r="A8">
            <v>0</v>
          </cell>
        </row>
      </sheetData>
      <sheetData sheetId="1576">
        <row r="8">
          <cell r="A8">
            <v>0</v>
          </cell>
        </row>
      </sheetData>
      <sheetData sheetId="1577">
        <row r="8">
          <cell r="A8">
            <v>0</v>
          </cell>
        </row>
      </sheetData>
      <sheetData sheetId="1578">
        <row r="8">
          <cell r="A8">
            <v>0</v>
          </cell>
        </row>
      </sheetData>
      <sheetData sheetId="1579">
        <row r="8">
          <cell r="A8">
            <v>0</v>
          </cell>
        </row>
      </sheetData>
      <sheetData sheetId="1580">
        <row r="8">
          <cell r="A8">
            <v>0</v>
          </cell>
        </row>
      </sheetData>
      <sheetData sheetId="1581">
        <row r="8">
          <cell r="A8">
            <v>0</v>
          </cell>
        </row>
      </sheetData>
      <sheetData sheetId="1582">
        <row r="8">
          <cell r="A8">
            <v>0</v>
          </cell>
        </row>
      </sheetData>
      <sheetData sheetId="1583">
        <row r="8">
          <cell r="A8">
            <v>0</v>
          </cell>
        </row>
      </sheetData>
      <sheetData sheetId="1584">
        <row r="8">
          <cell r="A8">
            <v>0</v>
          </cell>
        </row>
      </sheetData>
      <sheetData sheetId="1585">
        <row r="8">
          <cell r="A8">
            <v>0</v>
          </cell>
        </row>
      </sheetData>
      <sheetData sheetId="1586">
        <row r="8">
          <cell r="A8">
            <v>0</v>
          </cell>
        </row>
      </sheetData>
      <sheetData sheetId="1587">
        <row r="8">
          <cell r="A8">
            <v>0</v>
          </cell>
        </row>
      </sheetData>
      <sheetData sheetId="1588">
        <row r="8">
          <cell r="A8">
            <v>0</v>
          </cell>
        </row>
      </sheetData>
      <sheetData sheetId="1589">
        <row r="8">
          <cell r="A8">
            <v>0</v>
          </cell>
        </row>
      </sheetData>
      <sheetData sheetId="1590">
        <row r="8">
          <cell r="A8">
            <v>0</v>
          </cell>
        </row>
      </sheetData>
      <sheetData sheetId="1591">
        <row r="8">
          <cell r="A8">
            <v>0</v>
          </cell>
        </row>
      </sheetData>
      <sheetData sheetId="1592">
        <row r="8">
          <cell r="A8">
            <v>0</v>
          </cell>
        </row>
      </sheetData>
      <sheetData sheetId="1593">
        <row r="8">
          <cell r="A8">
            <v>0</v>
          </cell>
        </row>
      </sheetData>
      <sheetData sheetId="1594">
        <row r="8">
          <cell r="A8">
            <v>0</v>
          </cell>
        </row>
      </sheetData>
      <sheetData sheetId="1595">
        <row r="8">
          <cell r="A8">
            <v>0</v>
          </cell>
        </row>
      </sheetData>
      <sheetData sheetId="1596">
        <row r="8">
          <cell r="A8">
            <v>0</v>
          </cell>
        </row>
      </sheetData>
      <sheetData sheetId="1597">
        <row r="8">
          <cell r="A8">
            <v>0</v>
          </cell>
        </row>
      </sheetData>
      <sheetData sheetId="1598">
        <row r="8">
          <cell r="A8">
            <v>0</v>
          </cell>
        </row>
      </sheetData>
      <sheetData sheetId="1599">
        <row r="8">
          <cell r="A8">
            <v>0</v>
          </cell>
        </row>
      </sheetData>
      <sheetData sheetId="1600">
        <row r="8">
          <cell r="A8">
            <v>0</v>
          </cell>
        </row>
      </sheetData>
      <sheetData sheetId="1601">
        <row r="8">
          <cell r="A8">
            <v>0</v>
          </cell>
        </row>
      </sheetData>
      <sheetData sheetId="1602">
        <row r="8">
          <cell r="A8">
            <v>0</v>
          </cell>
        </row>
      </sheetData>
      <sheetData sheetId="1603">
        <row r="8">
          <cell r="A8">
            <v>0</v>
          </cell>
        </row>
      </sheetData>
      <sheetData sheetId="1604">
        <row r="8">
          <cell r="A8">
            <v>0</v>
          </cell>
        </row>
      </sheetData>
      <sheetData sheetId="1605">
        <row r="8">
          <cell r="A8">
            <v>0</v>
          </cell>
        </row>
      </sheetData>
      <sheetData sheetId="1606">
        <row r="8">
          <cell r="A8">
            <v>0</v>
          </cell>
        </row>
      </sheetData>
      <sheetData sheetId="1607">
        <row r="8">
          <cell r="A8">
            <v>0</v>
          </cell>
        </row>
      </sheetData>
      <sheetData sheetId="1608">
        <row r="8">
          <cell r="A8">
            <v>0</v>
          </cell>
        </row>
      </sheetData>
      <sheetData sheetId="1609">
        <row r="8">
          <cell r="A8">
            <v>0</v>
          </cell>
        </row>
      </sheetData>
      <sheetData sheetId="1610">
        <row r="8">
          <cell r="A8">
            <v>0</v>
          </cell>
        </row>
      </sheetData>
      <sheetData sheetId="1611">
        <row r="8">
          <cell r="A8">
            <v>0</v>
          </cell>
        </row>
      </sheetData>
      <sheetData sheetId="1612">
        <row r="8">
          <cell r="A8">
            <v>0</v>
          </cell>
        </row>
      </sheetData>
      <sheetData sheetId="1613">
        <row r="8">
          <cell r="A8">
            <v>0</v>
          </cell>
        </row>
      </sheetData>
      <sheetData sheetId="1614">
        <row r="8">
          <cell r="A8">
            <v>0</v>
          </cell>
        </row>
      </sheetData>
      <sheetData sheetId="1615">
        <row r="8">
          <cell r="A8">
            <v>0</v>
          </cell>
        </row>
      </sheetData>
      <sheetData sheetId="1616">
        <row r="8">
          <cell r="A8">
            <v>0</v>
          </cell>
        </row>
      </sheetData>
      <sheetData sheetId="1617">
        <row r="8">
          <cell r="A8">
            <v>0</v>
          </cell>
        </row>
      </sheetData>
      <sheetData sheetId="1618">
        <row r="8">
          <cell r="A8">
            <v>0</v>
          </cell>
        </row>
      </sheetData>
      <sheetData sheetId="1619">
        <row r="8">
          <cell r="A8">
            <v>0</v>
          </cell>
        </row>
      </sheetData>
      <sheetData sheetId="1620">
        <row r="8">
          <cell r="A8">
            <v>0</v>
          </cell>
        </row>
      </sheetData>
      <sheetData sheetId="1621">
        <row r="8">
          <cell r="A8">
            <v>0</v>
          </cell>
        </row>
      </sheetData>
      <sheetData sheetId="1622">
        <row r="8">
          <cell r="A8">
            <v>0</v>
          </cell>
        </row>
      </sheetData>
      <sheetData sheetId="1623">
        <row r="8">
          <cell r="A8">
            <v>0</v>
          </cell>
        </row>
      </sheetData>
      <sheetData sheetId="1624">
        <row r="8">
          <cell r="A8">
            <v>0</v>
          </cell>
        </row>
      </sheetData>
      <sheetData sheetId="1625">
        <row r="8">
          <cell r="A8">
            <v>0</v>
          </cell>
        </row>
      </sheetData>
      <sheetData sheetId="1626">
        <row r="8">
          <cell r="A8">
            <v>0</v>
          </cell>
        </row>
      </sheetData>
      <sheetData sheetId="1627">
        <row r="8">
          <cell r="A8">
            <v>0</v>
          </cell>
        </row>
      </sheetData>
      <sheetData sheetId="1628">
        <row r="8">
          <cell r="B8">
            <v>0</v>
          </cell>
        </row>
      </sheetData>
      <sheetData sheetId="1629">
        <row r="8">
          <cell r="A8">
            <v>0</v>
          </cell>
        </row>
      </sheetData>
      <sheetData sheetId="1630">
        <row r="8">
          <cell r="A8">
            <v>0</v>
          </cell>
        </row>
      </sheetData>
      <sheetData sheetId="1631">
        <row r="8">
          <cell r="A8">
            <v>0</v>
          </cell>
        </row>
      </sheetData>
      <sheetData sheetId="1632">
        <row r="8">
          <cell r="A8">
            <v>0</v>
          </cell>
        </row>
      </sheetData>
      <sheetData sheetId="1633">
        <row r="8">
          <cell r="A8">
            <v>0</v>
          </cell>
        </row>
      </sheetData>
      <sheetData sheetId="1634">
        <row r="8">
          <cell r="A8">
            <v>0</v>
          </cell>
        </row>
      </sheetData>
      <sheetData sheetId="1635">
        <row r="8">
          <cell r="A8">
            <v>0</v>
          </cell>
        </row>
      </sheetData>
      <sheetData sheetId="1636">
        <row r="8">
          <cell r="A8">
            <v>0</v>
          </cell>
        </row>
      </sheetData>
      <sheetData sheetId="1637">
        <row r="8">
          <cell r="A8">
            <v>0</v>
          </cell>
        </row>
      </sheetData>
      <sheetData sheetId="1638">
        <row r="8">
          <cell r="A8">
            <v>0</v>
          </cell>
        </row>
      </sheetData>
      <sheetData sheetId="1639">
        <row r="8">
          <cell r="A8">
            <v>0</v>
          </cell>
        </row>
      </sheetData>
      <sheetData sheetId="1640">
        <row r="8">
          <cell r="D8" t="str">
            <v>Paramaz Avedisian Building</v>
          </cell>
        </row>
      </sheetData>
      <sheetData sheetId="1641">
        <row r="8">
          <cell r="A8">
            <v>0</v>
          </cell>
        </row>
      </sheetData>
      <sheetData sheetId="1642">
        <row r="8">
          <cell r="D8" t="str">
            <v>Paramaz Avedisian Building</v>
          </cell>
        </row>
      </sheetData>
      <sheetData sheetId="1643">
        <row r="8">
          <cell r="B8">
            <v>0</v>
          </cell>
        </row>
      </sheetData>
      <sheetData sheetId="1644">
        <row r="8">
          <cell r="D8" t="str">
            <v>Paramaz Avedisian Building</v>
          </cell>
        </row>
      </sheetData>
      <sheetData sheetId="1645">
        <row r="8">
          <cell r="B8">
            <v>0</v>
          </cell>
        </row>
      </sheetData>
      <sheetData sheetId="1646">
        <row r="8">
          <cell r="A8">
            <v>0</v>
          </cell>
        </row>
      </sheetData>
      <sheetData sheetId="1647">
        <row r="8">
          <cell r="B8">
            <v>0</v>
          </cell>
        </row>
      </sheetData>
      <sheetData sheetId="1648">
        <row r="8">
          <cell r="A8">
            <v>0</v>
          </cell>
        </row>
      </sheetData>
      <sheetData sheetId="1649">
        <row r="8">
          <cell r="A8">
            <v>0</v>
          </cell>
        </row>
      </sheetData>
      <sheetData sheetId="1650">
        <row r="8">
          <cell r="A8">
            <v>0</v>
          </cell>
        </row>
      </sheetData>
      <sheetData sheetId="1651">
        <row r="8">
          <cell r="A8">
            <v>0</v>
          </cell>
        </row>
      </sheetData>
      <sheetData sheetId="1652">
        <row r="8">
          <cell r="A8">
            <v>0</v>
          </cell>
        </row>
      </sheetData>
      <sheetData sheetId="1653">
        <row r="8">
          <cell r="A8">
            <v>0</v>
          </cell>
        </row>
      </sheetData>
      <sheetData sheetId="1654">
        <row r="8">
          <cell r="A8">
            <v>0</v>
          </cell>
        </row>
      </sheetData>
      <sheetData sheetId="1655">
        <row r="8">
          <cell r="A8">
            <v>0</v>
          </cell>
        </row>
      </sheetData>
      <sheetData sheetId="1656">
        <row r="8">
          <cell r="D8" t="str">
            <v>Paramaz Avedisian Building</v>
          </cell>
        </row>
      </sheetData>
      <sheetData sheetId="1657">
        <row r="8">
          <cell r="D8" t="str">
            <v>Paramaz Avedisian Building</v>
          </cell>
        </row>
      </sheetData>
      <sheetData sheetId="1658">
        <row r="8">
          <cell r="D8" t="str">
            <v>Paramaz Avedisian Building</v>
          </cell>
        </row>
      </sheetData>
      <sheetData sheetId="1659">
        <row r="8">
          <cell r="D8" t="str">
            <v>Paramaz Avedisian Building</v>
          </cell>
        </row>
      </sheetData>
      <sheetData sheetId="1660">
        <row r="8">
          <cell r="D8" t="str">
            <v>Paramaz Avedisian Building</v>
          </cell>
        </row>
      </sheetData>
      <sheetData sheetId="1661">
        <row r="8">
          <cell r="D8" t="str">
            <v>Paramaz Avedisian Building</v>
          </cell>
        </row>
      </sheetData>
      <sheetData sheetId="1662">
        <row r="8">
          <cell r="D8" t="str">
            <v>Paramaz Avedisian Building</v>
          </cell>
        </row>
      </sheetData>
      <sheetData sheetId="1663">
        <row r="8">
          <cell r="D8" t="str">
            <v>Paramaz Avedisian Building</v>
          </cell>
        </row>
      </sheetData>
      <sheetData sheetId="1664">
        <row r="8">
          <cell r="D8" t="str">
            <v>Paramaz Avedisian Building</v>
          </cell>
        </row>
      </sheetData>
      <sheetData sheetId="1665">
        <row r="8">
          <cell r="D8" t="str">
            <v>Paramaz Avedisian Building</v>
          </cell>
        </row>
      </sheetData>
      <sheetData sheetId="1666">
        <row r="8">
          <cell r="D8" t="str">
            <v>Paramaz Avedisian Building</v>
          </cell>
        </row>
      </sheetData>
      <sheetData sheetId="1667">
        <row r="8">
          <cell r="D8" t="str">
            <v>Paramaz Avedisian Building</v>
          </cell>
        </row>
      </sheetData>
      <sheetData sheetId="1668">
        <row r="8">
          <cell r="D8" t="str">
            <v>Paramaz Avedisian Building</v>
          </cell>
        </row>
      </sheetData>
      <sheetData sheetId="1669">
        <row r="8">
          <cell r="D8" t="str">
            <v>Paramaz Avedisian Building</v>
          </cell>
        </row>
      </sheetData>
      <sheetData sheetId="1670">
        <row r="8">
          <cell r="D8" t="str">
            <v>Paramaz Avedisian Building</v>
          </cell>
        </row>
      </sheetData>
      <sheetData sheetId="1671">
        <row r="8">
          <cell r="D8" t="str">
            <v>Paramaz Avedisian Building</v>
          </cell>
        </row>
      </sheetData>
      <sheetData sheetId="1672">
        <row r="8">
          <cell r="D8" t="str">
            <v>Paramaz Avedisian Building</v>
          </cell>
        </row>
      </sheetData>
      <sheetData sheetId="1673">
        <row r="8">
          <cell r="D8" t="str">
            <v>Paramaz Avedisian Building</v>
          </cell>
        </row>
      </sheetData>
      <sheetData sheetId="1674">
        <row r="8">
          <cell r="D8" t="str">
            <v>Paramaz Avedisian Building</v>
          </cell>
        </row>
      </sheetData>
      <sheetData sheetId="1675">
        <row r="8">
          <cell r="D8" t="str">
            <v>Paramaz Avedisian Building</v>
          </cell>
        </row>
      </sheetData>
      <sheetData sheetId="1676">
        <row r="8">
          <cell r="D8" t="str">
            <v>Paramaz Avedisian Building</v>
          </cell>
        </row>
      </sheetData>
      <sheetData sheetId="1677">
        <row r="8">
          <cell r="B8">
            <v>0</v>
          </cell>
        </row>
      </sheetData>
      <sheetData sheetId="1678">
        <row r="8">
          <cell r="D8" t="str">
            <v>Paramaz Avedisian Building</v>
          </cell>
        </row>
      </sheetData>
      <sheetData sheetId="1679">
        <row r="8">
          <cell r="B8">
            <v>0</v>
          </cell>
        </row>
      </sheetData>
      <sheetData sheetId="1680">
        <row r="8">
          <cell r="A8">
            <v>0</v>
          </cell>
        </row>
      </sheetData>
      <sheetData sheetId="1681">
        <row r="8">
          <cell r="B8">
            <v>0</v>
          </cell>
        </row>
      </sheetData>
      <sheetData sheetId="1682">
        <row r="8">
          <cell r="A8">
            <v>0</v>
          </cell>
        </row>
      </sheetData>
      <sheetData sheetId="1683">
        <row r="8">
          <cell r="A8">
            <v>0</v>
          </cell>
        </row>
      </sheetData>
      <sheetData sheetId="1684">
        <row r="8">
          <cell r="A8">
            <v>0</v>
          </cell>
        </row>
      </sheetData>
      <sheetData sheetId="1685">
        <row r="8">
          <cell r="A8">
            <v>0</v>
          </cell>
        </row>
      </sheetData>
      <sheetData sheetId="1686">
        <row r="8">
          <cell r="A8">
            <v>0</v>
          </cell>
        </row>
      </sheetData>
      <sheetData sheetId="1687">
        <row r="8">
          <cell r="D8" t="str">
            <v>Paramaz Avedisian Building</v>
          </cell>
        </row>
      </sheetData>
      <sheetData sheetId="1688">
        <row r="8">
          <cell r="D8" t="str">
            <v>Paramaz Avedisian Building</v>
          </cell>
        </row>
      </sheetData>
      <sheetData sheetId="1689">
        <row r="8">
          <cell r="D8" t="str">
            <v>Paramaz Avedisian Building</v>
          </cell>
        </row>
      </sheetData>
      <sheetData sheetId="1690">
        <row r="8">
          <cell r="D8" t="str">
            <v>Paramaz Avedisian Building</v>
          </cell>
        </row>
      </sheetData>
      <sheetData sheetId="1691">
        <row r="8">
          <cell r="D8" t="str">
            <v>Paramaz Avedisian Building</v>
          </cell>
        </row>
      </sheetData>
      <sheetData sheetId="1692">
        <row r="8">
          <cell r="D8" t="str">
            <v>Paramaz Avedisian Building</v>
          </cell>
        </row>
      </sheetData>
      <sheetData sheetId="1693">
        <row r="8">
          <cell r="D8" t="str">
            <v>Paramaz Avedisian Building</v>
          </cell>
        </row>
      </sheetData>
      <sheetData sheetId="1694">
        <row r="8">
          <cell r="D8" t="str">
            <v>Paramaz Avedisian Building</v>
          </cell>
        </row>
      </sheetData>
      <sheetData sheetId="1695">
        <row r="8">
          <cell r="D8" t="str">
            <v>Paramaz Avedisian Building</v>
          </cell>
        </row>
      </sheetData>
      <sheetData sheetId="1696">
        <row r="8">
          <cell r="D8" t="str">
            <v>Paramaz Avedisian Building</v>
          </cell>
        </row>
      </sheetData>
      <sheetData sheetId="1697">
        <row r="8">
          <cell r="D8" t="str">
            <v>Paramaz Avedisian Building</v>
          </cell>
        </row>
      </sheetData>
      <sheetData sheetId="1698">
        <row r="8">
          <cell r="D8" t="str">
            <v>Paramaz Avedisian Building</v>
          </cell>
        </row>
      </sheetData>
      <sheetData sheetId="1699">
        <row r="8">
          <cell r="D8" t="str">
            <v>Paramaz Avedisian Building</v>
          </cell>
        </row>
      </sheetData>
      <sheetData sheetId="1700">
        <row r="8">
          <cell r="D8" t="str">
            <v>Paramaz Avedisian Building</v>
          </cell>
        </row>
      </sheetData>
      <sheetData sheetId="1701">
        <row r="8">
          <cell r="D8" t="str">
            <v>Paramaz Avedisian Building</v>
          </cell>
        </row>
      </sheetData>
      <sheetData sheetId="1702">
        <row r="8">
          <cell r="D8" t="str">
            <v>Paramaz Avedisian Building</v>
          </cell>
        </row>
      </sheetData>
      <sheetData sheetId="1703">
        <row r="8">
          <cell r="D8" t="str">
            <v>Paramaz Avedisian Building</v>
          </cell>
        </row>
      </sheetData>
      <sheetData sheetId="1704">
        <row r="8">
          <cell r="D8" t="str">
            <v>Paramaz Avedisian Building</v>
          </cell>
        </row>
      </sheetData>
      <sheetData sheetId="1705">
        <row r="8">
          <cell r="D8" t="str">
            <v>Paramaz Avedisian Building</v>
          </cell>
        </row>
      </sheetData>
      <sheetData sheetId="1706">
        <row r="8">
          <cell r="D8" t="str">
            <v>Paramaz Avedisian Building</v>
          </cell>
        </row>
      </sheetData>
      <sheetData sheetId="1707">
        <row r="8">
          <cell r="D8" t="str">
            <v>Paramaz Avedisian Building</v>
          </cell>
        </row>
      </sheetData>
      <sheetData sheetId="1708">
        <row r="8">
          <cell r="D8" t="str">
            <v>Paramaz Avedisian Building</v>
          </cell>
        </row>
      </sheetData>
      <sheetData sheetId="1709">
        <row r="8">
          <cell r="D8" t="str">
            <v>Paramaz Avedisian Building</v>
          </cell>
        </row>
      </sheetData>
      <sheetData sheetId="1710">
        <row r="8">
          <cell r="D8" t="str">
            <v>Paramaz Avedisian Building</v>
          </cell>
        </row>
      </sheetData>
      <sheetData sheetId="1711">
        <row r="8">
          <cell r="D8" t="str">
            <v>Paramaz Avedisian Building</v>
          </cell>
        </row>
      </sheetData>
      <sheetData sheetId="1712">
        <row r="8">
          <cell r="D8" t="str">
            <v>Paramaz Avedisian Building</v>
          </cell>
        </row>
      </sheetData>
      <sheetData sheetId="1713">
        <row r="8">
          <cell r="D8" t="str">
            <v>Paramaz Avedisian Building</v>
          </cell>
        </row>
      </sheetData>
      <sheetData sheetId="1714">
        <row r="8">
          <cell r="D8" t="str">
            <v>Paramaz Avedisian Building</v>
          </cell>
        </row>
      </sheetData>
      <sheetData sheetId="1715">
        <row r="8">
          <cell r="D8" t="str">
            <v>Paramaz Avedisian Building</v>
          </cell>
        </row>
      </sheetData>
      <sheetData sheetId="1716">
        <row r="8">
          <cell r="D8" t="str">
            <v>Paramaz Avedisian Building</v>
          </cell>
        </row>
      </sheetData>
      <sheetData sheetId="1717">
        <row r="8">
          <cell r="D8" t="str">
            <v>Paramaz Avedisian Building</v>
          </cell>
        </row>
      </sheetData>
      <sheetData sheetId="1718">
        <row r="8">
          <cell r="D8" t="str">
            <v>Paramaz Avedisian Building</v>
          </cell>
        </row>
      </sheetData>
      <sheetData sheetId="1719">
        <row r="8">
          <cell r="D8" t="str">
            <v>Paramaz Avedisian Building</v>
          </cell>
        </row>
      </sheetData>
      <sheetData sheetId="1720">
        <row r="8">
          <cell r="D8" t="str">
            <v>Paramaz Avedisian Building</v>
          </cell>
        </row>
      </sheetData>
      <sheetData sheetId="1721">
        <row r="8">
          <cell r="D8" t="str">
            <v>Paramaz Avedisian Building</v>
          </cell>
        </row>
      </sheetData>
      <sheetData sheetId="1722">
        <row r="8">
          <cell r="D8" t="str">
            <v>Paramaz Avedisian Building</v>
          </cell>
        </row>
      </sheetData>
      <sheetData sheetId="1723">
        <row r="8">
          <cell r="D8" t="str">
            <v>Paramaz Avedisian Building</v>
          </cell>
        </row>
      </sheetData>
      <sheetData sheetId="1724">
        <row r="8">
          <cell r="D8" t="str">
            <v>Paramaz Avedisian Building</v>
          </cell>
        </row>
      </sheetData>
      <sheetData sheetId="1725">
        <row r="8">
          <cell r="D8" t="str">
            <v>Paramaz Avedisian Building</v>
          </cell>
        </row>
      </sheetData>
      <sheetData sheetId="1726">
        <row r="8">
          <cell r="D8" t="str">
            <v>Paramaz Avedisian Building</v>
          </cell>
        </row>
      </sheetData>
      <sheetData sheetId="1727">
        <row r="8">
          <cell r="D8" t="str">
            <v>Paramaz Avedisian Building</v>
          </cell>
        </row>
      </sheetData>
      <sheetData sheetId="1728">
        <row r="8">
          <cell r="D8" t="str">
            <v>Paramaz Avedisian Building</v>
          </cell>
        </row>
      </sheetData>
      <sheetData sheetId="1729">
        <row r="8">
          <cell r="D8" t="str">
            <v>Paramaz Avedisian Building</v>
          </cell>
        </row>
      </sheetData>
      <sheetData sheetId="1730">
        <row r="8">
          <cell r="D8" t="str">
            <v>Paramaz Avedisian Building</v>
          </cell>
        </row>
      </sheetData>
      <sheetData sheetId="1731">
        <row r="8">
          <cell r="D8" t="str">
            <v>Paramaz Avedisian Building</v>
          </cell>
        </row>
      </sheetData>
      <sheetData sheetId="1732">
        <row r="8">
          <cell r="D8" t="str">
            <v>Paramaz Avedisian Building</v>
          </cell>
        </row>
      </sheetData>
      <sheetData sheetId="1733">
        <row r="8">
          <cell r="D8" t="str">
            <v>Paramaz Avedisian Building</v>
          </cell>
        </row>
      </sheetData>
      <sheetData sheetId="1734">
        <row r="8">
          <cell r="D8" t="str">
            <v>Paramaz Avedisian Building</v>
          </cell>
        </row>
      </sheetData>
      <sheetData sheetId="1735">
        <row r="8">
          <cell r="D8" t="str">
            <v>Paramaz Avedisian Building</v>
          </cell>
        </row>
      </sheetData>
      <sheetData sheetId="1736">
        <row r="8">
          <cell r="D8" t="str">
            <v>Paramaz Avedisian Building</v>
          </cell>
        </row>
      </sheetData>
      <sheetData sheetId="1737">
        <row r="8">
          <cell r="D8" t="str">
            <v>Paramaz Avedisian Building</v>
          </cell>
        </row>
      </sheetData>
      <sheetData sheetId="1738">
        <row r="8">
          <cell r="D8" t="str">
            <v>Paramaz Avedisian Building</v>
          </cell>
        </row>
      </sheetData>
      <sheetData sheetId="1739">
        <row r="8">
          <cell r="D8" t="str">
            <v>Paramaz Avedisian Building</v>
          </cell>
        </row>
      </sheetData>
      <sheetData sheetId="1740">
        <row r="8">
          <cell r="D8" t="str">
            <v>Paramaz Avedisian Building</v>
          </cell>
        </row>
      </sheetData>
      <sheetData sheetId="1741">
        <row r="8">
          <cell r="D8" t="str">
            <v>Paramaz Avedisian Building</v>
          </cell>
        </row>
      </sheetData>
      <sheetData sheetId="1742">
        <row r="8">
          <cell r="D8" t="str">
            <v>Paramaz Avedisian Building</v>
          </cell>
        </row>
      </sheetData>
      <sheetData sheetId="1743">
        <row r="8">
          <cell r="D8" t="str">
            <v>Paramaz Avedisian Building</v>
          </cell>
        </row>
      </sheetData>
      <sheetData sheetId="1744">
        <row r="8">
          <cell r="D8" t="str">
            <v>Paramaz Avedisian Building</v>
          </cell>
        </row>
      </sheetData>
      <sheetData sheetId="1745">
        <row r="8">
          <cell r="D8" t="str">
            <v>Paramaz Avedisian Building</v>
          </cell>
        </row>
      </sheetData>
      <sheetData sheetId="1746">
        <row r="8">
          <cell r="D8" t="str">
            <v>Paramaz Avedisian Building</v>
          </cell>
        </row>
      </sheetData>
      <sheetData sheetId="1747">
        <row r="8">
          <cell r="D8" t="str">
            <v>Paramaz Avedisian Building</v>
          </cell>
        </row>
      </sheetData>
      <sheetData sheetId="1748">
        <row r="8">
          <cell r="D8" t="str">
            <v>Paramaz Avedisian Building</v>
          </cell>
        </row>
      </sheetData>
      <sheetData sheetId="1749">
        <row r="8">
          <cell r="D8" t="str">
            <v>Paramaz Avedisian Building</v>
          </cell>
        </row>
      </sheetData>
      <sheetData sheetId="1750">
        <row r="8">
          <cell r="D8" t="str">
            <v>Paramaz Avedisian Building</v>
          </cell>
        </row>
      </sheetData>
      <sheetData sheetId="1751">
        <row r="8">
          <cell r="D8" t="str">
            <v>Paramaz Avedisian Building</v>
          </cell>
        </row>
      </sheetData>
      <sheetData sheetId="1752">
        <row r="8">
          <cell r="D8" t="str">
            <v>Paramaz Avedisian Building</v>
          </cell>
        </row>
      </sheetData>
      <sheetData sheetId="1753">
        <row r="8">
          <cell r="D8" t="str">
            <v>Paramaz Avedisian Building</v>
          </cell>
        </row>
      </sheetData>
      <sheetData sheetId="1754">
        <row r="8">
          <cell r="D8" t="str">
            <v>Paramaz Avedisian Building</v>
          </cell>
        </row>
      </sheetData>
      <sheetData sheetId="1755">
        <row r="8">
          <cell r="D8" t="str">
            <v>Paramaz Avedisian Building</v>
          </cell>
        </row>
      </sheetData>
      <sheetData sheetId="1756">
        <row r="8">
          <cell r="D8" t="str">
            <v>Paramaz Avedisian Building</v>
          </cell>
        </row>
      </sheetData>
      <sheetData sheetId="1757">
        <row r="8">
          <cell r="D8" t="str">
            <v>Paramaz Avedisian Building</v>
          </cell>
        </row>
      </sheetData>
      <sheetData sheetId="1758">
        <row r="8">
          <cell r="D8" t="str">
            <v>Paramaz Avedisian Building</v>
          </cell>
        </row>
      </sheetData>
      <sheetData sheetId="1759">
        <row r="8">
          <cell r="D8" t="str">
            <v>Paramaz Avedisian Building</v>
          </cell>
        </row>
      </sheetData>
      <sheetData sheetId="1760">
        <row r="8">
          <cell r="D8" t="str">
            <v>Paramaz Avedisian Building</v>
          </cell>
        </row>
      </sheetData>
      <sheetData sheetId="1761">
        <row r="8">
          <cell r="D8" t="str">
            <v>Paramaz Avedisian Building</v>
          </cell>
        </row>
      </sheetData>
      <sheetData sheetId="1762">
        <row r="8">
          <cell r="D8" t="str">
            <v>Paramaz Avedisian Building</v>
          </cell>
        </row>
      </sheetData>
      <sheetData sheetId="1763">
        <row r="8">
          <cell r="D8" t="str">
            <v>Paramaz Avedisian Building</v>
          </cell>
        </row>
      </sheetData>
      <sheetData sheetId="1764">
        <row r="8">
          <cell r="D8" t="str">
            <v>Paramaz Avedisian Building</v>
          </cell>
        </row>
      </sheetData>
      <sheetData sheetId="1765">
        <row r="8">
          <cell r="D8" t="str">
            <v>Paramaz Avedisian Building</v>
          </cell>
        </row>
      </sheetData>
      <sheetData sheetId="1766">
        <row r="8">
          <cell r="D8" t="str">
            <v>Paramaz Avedisian Building</v>
          </cell>
        </row>
      </sheetData>
      <sheetData sheetId="1767">
        <row r="8">
          <cell r="D8" t="str">
            <v>Paramaz Avedisian Building</v>
          </cell>
        </row>
      </sheetData>
      <sheetData sheetId="1768">
        <row r="8">
          <cell r="D8" t="str">
            <v>Paramaz Avedisian Building</v>
          </cell>
        </row>
      </sheetData>
      <sheetData sheetId="1769">
        <row r="8">
          <cell r="D8" t="str">
            <v>Paramaz Avedisian Building</v>
          </cell>
        </row>
      </sheetData>
      <sheetData sheetId="1770">
        <row r="8">
          <cell r="D8" t="str">
            <v>Paramaz Avedisian Building</v>
          </cell>
        </row>
      </sheetData>
      <sheetData sheetId="1771">
        <row r="8">
          <cell r="D8" t="str">
            <v>Paramaz Avedisian Building</v>
          </cell>
        </row>
      </sheetData>
      <sheetData sheetId="1772">
        <row r="8">
          <cell r="D8" t="str">
            <v>Paramaz Avedisian Building</v>
          </cell>
        </row>
      </sheetData>
      <sheetData sheetId="1773">
        <row r="8">
          <cell r="D8" t="str">
            <v>Paramaz Avedisian Building</v>
          </cell>
        </row>
      </sheetData>
      <sheetData sheetId="1774">
        <row r="8">
          <cell r="D8" t="str">
            <v>Paramaz Avedisian Building</v>
          </cell>
        </row>
      </sheetData>
      <sheetData sheetId="1775">
        <row r="8">
          <cell r="D8" t="str">
            <v>Paramaz Avedisian Building</v>
          </cell>
        </row>
      </sheetData>
      <sheetData sheetId="1776">
        <row r="8">
          <cell r="D8" t="str">
            <v>Paramaz Avedisian Building</v>
          </cell>
        </row>
      </sheetData>
      <sheetData sheetId="1777">
        <row r="8">
          <cell r="D8" t="str">
            <v>Paramaz Avedisian Building</v>
          </cell>
        </row>
      </sheetData>
      <sheetData sheetId="1778">
        <row r="8">
          <cell r="D8" t="str">
            <v>Paramaz Avedisian Building</v>
          </cell>
        </row>
      </sheetData>
      <sheetData sheetId="1779">
        <row r="8">
          <cell r="D8" t="str">
            <v>Paramaz Avedisian Building</v>
          </cell>
        </row>
      </sheetData>
      <sheetData sheetId="1780">
        <row r="8">
          <cell r="D8" t="str">
            <v>Paramaz Avedisian Building</v>
          </cell>
        </row>
      </sheetData>
      <sheetData sheetId="1781">
        <row r="8">
          <cell r="D8" t="str">
            <v>Paramaz Avedisian Building</v>
          </cell>
        </row>
      </sheetData>
      <sheetData sheetId="1782">
        <row r="8">
          <cell r="D8" t="str">
            <v>Paramaz Avedisian Building</v>
          </cell>
        </row>
      </sheetData>
      <sheetData sheetId="1783">
        <row r="8">
          <cell r="D8" t="str">
            <v>Paramaz Avedisian Building</v>
          </cell>
        </row>
      </sheetData>
      <sheetData sheetId="1784">
        <row r="8">
          <cell r="D8" t="str">
            <v>Paramaz Avedisian Building</v>
          </cell>
        </row>
      </sheetData>
      <sheetData sheetId="1785">
        <row r="8">
          <cell r="D8" t="str">
            <v>Paramaz Avedisian Building</v>
          </cell>
        </row>
      </sheetData>
      <sheetData sheetId="1786">
        <row r="8">
          <cell r="D8" t="str">
            <v>Paramaz Avedisian Building</v>
          </cell>
        </row>
      </sheetData>
      <sheetData sheetId="1787">
        <row r="8">
          <cell r="D8" t="str">
            <v>Paramaz Avedisian Building</v>
          </cell>
        </row>
      </sheetData>
      <sheetData sheetId="1788">
        <row r="8">
          <cell r="D8" t="str">
            <v>Paramaz Avedisian Building</v>
          </cell>
        </row>
      </sheetData>
      <sheetData sheetId="1789">
        <row r="8">
          <cell r="D8" t="str">
            <v>Paramaz Avedisian Building</v>
          </cell>
        </row>
      </sheetData>
      <sheetData sheetId="1790">
        <row r="8">
          <cell r="D8" t="str">
            <v>Paramaz Avedisian Building</v>
          </cell>
        </row>
      </sheetData>
      <sheetData sheetId="1791">
        <row r="8">
          <cell r="D8" t="str">
            <v>Paramaz Avedisian Building</v>
          </cell>
        </row>
      </sheetData>
      <sheetData sheetId="1792">
        <row r="8">
          <cell r="D8" t="str">
            <v>Paramaz Avedisian Building</v>
          </cell>
        </row>
      </sheetData>
      <sheetData sheetId="1793">
        <row r="8">
          <cell r="D8" t="str">
            <v>Paramaz Avedisian Building</v>
          </cell>
        </row>
      </sheetData>
      <sheetData sheetId="1794">
        <row r="8">
          <cell r="D8" t="str">
            <v>Paramaz Avedisian Building</v>
          </cell>
        </row>
      </sheetData>
      <sheetData sheetId="1795" refreshError="1"/>
      <sheetData sheetId="1796">
        <row r="8">
          <cell r="D8" t="str">
            <v>Paramaz Avedisian Building</v>
          </cell>
        </row>
      </sheetData>
      <sheetData sheetId="1797">
        <row r="8">
          <cell r="D8" t="str">
            <v>Paramaz Avedisian Building</v>
          </cell>
        </row>
      </sheetData>
      <sheetData sheetId="1798">
        <row r="8">
          <cell r="D8" t="str">
            <v>Paramaz Avedisian Building</v>
          </cell>
        </row>
      </sheetData>
      <sheetData sheetId="1799">
        <row r="8">
          <cell r="D8" t="str">
            <v>Paramaz Avedisian Building</v>
          </cell>
        </row>
      </sheetData>
      <sheetData sheetId="1800">
        <row r="8">
          <cell r="D8" t="str">
            <v>Paramaz Avedisian Building</v>
          </cell>
        </row>
      </sheetData>
      <sheetData sheetId="1801">
        <row r="8">
          <cell r="D8" t="str">
            <v>Paramaz Avedisian Building</v>
          </cell>
        </row>
      </sheetData>
      <sheetData sheetId="1802">
        <row r="8">
          <cell r="D8" t="str">
            <v>Paramaz Avedisian Building</v>
          </cell>
        </row>
      </sheetData>
      <sheetData sheetId="1803">
        <row r="8">
          <cell r="D8" t="str">
            <v>Paramaz Avedisian Building</v>
          </cell>
        </row>
      </sheetData>
      <sheetData sheetId="1804">
        <row r="8">
          <cell r="D8" t="str">
            <v>Paramaz Avedisian Building</v>
          </cell>
        </row>
      </sheetData>
      <sheetData sheetId="1805">
        <row r="8">
          <cell r="D8" t="str">
            <v>Paramaz Avedisian Building</v>
          </cell>
        </row>
      </sheetData>
      <sheetData sheetId="1806">
        <row r="8">
          <cell r="D8" t="str">
            <v>Paramaz Avedisian Building</v>
          </cell>
        </row>
      </sheetData>
      <sheetData sheetId="1807">
        <row r="8">
          <cell r="D8" t="str">
            <v>Paramaz Avedisian Building</v>
          </cell>
        </row>
      </sheetData>
      <sheetData sheetId="1808">
        <row r="8">
          <cell r="D8" t="str">
            <v>Paramaz Avedisian Building</v>
          </cell>
        </row>
      </sheetData>
      <sheetData sheetId="1809">
        <row r="8">
          <cell r="D8" t="str">
            <v>Paramaz Avedisian Building</v>
          </cell>
        </row>
      </sheetData>
      <sheetData sheetId="1810">
        <row r="8">
          <cell r="D8" t="str">
            <v>Paramaz Avedisian Building</v>
          </cell>
        </row>
      </sheetData>
      <sheetData sheetId="1811">
        <row r="8">
          <cell r="D8" t="str">
            <v>Paramaz Avedisian Building</v>
          </cell>
        </row>
      </sheetData>
      <sheetData sheetId="1812">
        <row r="8">
          <cell r="D8" t="str">
            <v>Paramaz Avedisian Building</v>
          </cell>
        </row>
      </sheetData>
      <sheetData sheetId="1813">
        <row r="8">
          <cell r="D8" t="str">
            <v>Paramaz Avedisian Building</v>
          </cell>
        </row>
      </sheetData>
      <sheetData sheetId="1814">
        <row r="8">
          <cell r="D8" t="str">
            <v>Paramaz Avedisian Building</v>
          </cell>
        </row>
      </sheetData>
      <sheetData sheetId="1815">
        <row r="8">
          <cell r="D8" t="str">
            <v>Paramaz Avedisian Building</v>
          </cell>
        </row>
      </sheetData>
      <sheetData sheetId="1816">
        <row r="8">
          <cell r="D8" t="str">
            <v>Paramaz Avedisian Building</v>
          </cell>
        </row>
      </sheetData>
      <sheetData sheetId="1817">
        <row r="8">
          <cell r="D8" t="str">
            <v>Paramaz Avedisian Building</v>
          </cell>
        </row>
      </sheetData>
      <sheetData sheetId="1818">
        <row r="8">
          <cell r="D8" t="str">
            <v>Paramaz Avedisian Building</v>
          </cell>
        </row>
      </sheetData>
      <sheetData sheetId="1819">
        <row r="8">
          <cell r="D8" t="str">
            <v>Paramaz Avedisian Building</v>
          </cell>
        </row>
      </sheetData>
      <sheetData sheetId="1820">
        <row r="8">
          <cell r="D8" t="str">
            <v>Paramaz Avedisian Building</v>
          </cell>
        </row>
      </sheetData>
      <sheetData sheetId="1821">
        <row r="8">
          <cell r="D8" t="str">
            <v>Paramaz Avedisian Building</v>
          </cell>
        </row>
      </sheetData>
      <sheetData sheetId="1822">
        <row r="8">
          <cell r="D8" t="str">
            <v>Paramaz Avedisian Building</v>
          </cell>
        </row>
      </sheetData>
      <sheetData sheetId="1823">
        <row r="8">
          <cell r="D8" t="str">
            <v>Paramaz Avedisian Building</v>
          </cell>
        </row>
      </sheetData>
      <sheetData sheetId="1824">
        <row r="8">
          <cell r="D8" t="str">
            <v>Paramaz Avedisian Building</v>
          </cell>
        </row>
      </sheetData>
      <sheetData sheetId="1825">
        <row r="8">
          <cell r="D8" t="str">
            <v>Paramaz Avedisian Building</v>
          </cell>
        </row>
      </sheetData>
      <sheetData sheetId="1826">
        <row r="8">
          <cell r="D8" t="str">
            <v>Paramaz Avedisian Building</v>
          </cell>
        </row>
      </sheetData>
      <sheetData sheetId="1827">
        <row r="8">
          <cell r="D8" t="str">
            <v>Paramaz Avedisian Building</v>
          </cell>
        </row>
      </sheetData>
      <sheetData sheetId="1828">
        <row r="8">
          <cell r="D8" t="str">
            <v>Paramaz Avedisian Building</v>
          </cell>
        </row>
      </sheetData>
      <sheetData sheetId="1829">
        <row r="8">
          <cell r="D8" t="str">
            <v>Paramaz Avedisian Building</v>
          </cell>
        </row>
      </sheetData>
      <sheetData sheetId="1830">
        <row r="8">
          <cell r="D8" t="str">
            <v>Paramaz Avedisian Building</v>
          </cell>
        </row>
      </sheetData>
      <sheetData sheetId="1831">
        <row r="8">
          <cell r="D8" t="str">
            <v>Paramaz Avedisian Building</v>
          </cell>
        </row>
      </sheetData>
      <sheetData sheetId="1832">
        <row r="8">
          <cell r="D8" t="str">
            <v>Paramaz Avedisian Building</v>
          </cell>
        </row>
      </sheetData>
      <sheetData sheetId="1833">
        <row r="8">
          <cell r="D8" t="str">
            <v>Paramaz Avedisian Building</v>
          </cell>
        </row>
      </sheetData>
      <sheetData sheetId="1834">
        <row r="8">
          <cell r="D8" t="str">
            <v>Paramaz Avedisian Building</v>
          </cell>
        </row>
      </sheetData>
      <sheetData sheetId="1835">
        <row r="8">
          <cell r="D8" t="str">
            <v>Paramaz Avedisian Building</v>
          </cell>
        </row>
      </sheetData>
      <sheetData sheetId="1836">
        <row r="8">
          <cell r="D8" t="str">
            <v>Paramaz Avedisian Building</v>
          </cell>
        </row>
      </sheetData>
      <sheetData sheetId="1837">
        <row r="8">
          <cell r="D8" t="str">
            <v>Paramaz Avedisian Building</v>
          </cell>
        </row>
      </sheetData>
      <sheetData sheetId="1838">
        <row r="8">
          <cell r="D8" t="str">
            <v>Paramaz Avedisian Building</v>
          </cell>
        </row>
      </sheetData>
      <sheetData sheetId="1839">
        <row r="8">
          <cell r="D8" t="str">
            <v>Paramaz Avedisian Building</v>
          </cell>
        </row>
      </sheetData>
      <sheetData sheetId="1840">
        <row r="8">
          <cell r="D8" t="str">
            <v>Paramaz Avedisian Building</v>
          </cell>
        </row>
      </sheetData>
      <sheetData sheetId="1841">
        <row r="8">
          <cell r="D8" t="str">
            <v>Paramaz Avedisian Building</v>
          </cell>
        </row>
      </sheetData>
      <sheetData sheetId="1842">
        <row r="8">
          <cell r="D8" t="str">
            <v>Paramaz Avedisian Building</v>
          </cell>
        </row>
      </sheetData>
      <sheetData sheetId="1843">
        <row r="8">
          <cell r="D8" t="str">
            <v>Paramaz Avedisian Building</v>
          </cell>
        </row>
      </sheetData>
      <sheetData sheetId="1844">
        <row r="8">
          <cell r="D8" t="str">
            <v>Paramaz Avedisian Building</v>
          </cell>
        </row>
      </sheetData>
      <sheetData sheetId="1845">
        <row r="8">
          <cell r="D8" t="str">
            <v>Paramaz Avedisian Building</v>
          </cell>
        </row>
      </sheetData>
      <sheetData sheetId="1846">
        <row r="8">
          <cell r="D8" t="str">
            <v>Paramaz Avedisian Building</v>
          </cell>
        </row>
      </sheetData>
      <sheetData sheetId="1847">
        <row r="8">
          <cell r="D8" t="str">
            <v>Paramaz Avedisian Building</v>
          </cell>
        </row>
      </sheetData>
      <sheetData sheetId="1848">
        <row r="8">
          <cell r="D8" t="str">
            <v>Paramaz Avedisian Building</v>
          </cell>
        </row>
      </sheetData>
      <sheetData sheetId="1849">
        <row r="8">
          <cell r="D8" t="str">
            <v>Paramaz Avedisian Building</v>
          </cell>
        </row>
      </sheetData>
      <sheetData sheetId="1850">
        <row r="8">
          <cell r="D8" t="str">
            <v>Paramaz Avedisian Building</v>
          </cell>
        </row>
      </sheetData>
      <sheetData sheetId="1851">
        <row r="8">
          <cell r="D8" t="str">
            <v>Paramaz Avedisian Building</v>
          </cell>
        </row>
      </sheetData>
      <sheetData sheetId="1852">
        <row r="8">
          <cell r="D8" t="str">
            <v>Paramaz Avedisian Building</v>
          </cell>
        </row>
      </sheetData>
      <sheetData sheetId="1853">
        <row r="8">
          <cell r="D8" t="str">
            <v>Paramaz Avedisian Building</v>
          </cell>
        </row>
      </sheetData>
      <sheetData sheetId="1854">
        <row r="8">
          <cell r="D8" t="str">
            <v>Paramaz Avedisian Building</v>
          </cell>
        </row>
      </sheetData>
      <sheetData sheetId="1855">
        <row r="8">
          <cell r="D8" t="str">
            <v>Paramaz Avedisian Building</v>
          </cell>
        </row>
      </sheetData>
      <sheetData sheetId="1856">
        <row r="8">
          <cell r="D8" t="str">
            <v>Paramaz Avedisian Building</v>
          </cell>
        </row>
      </sheetData>
      <sheetData sheetId="1857">
        <row r="8">
          <cell r="D8" t="str">
            <v>Paramaz Avedisian Building</v>
          </cell>
        </row>
      </sheetData>
      <sheetData sheetId="1858">
        <row r="8">
          <cell r="D8" t="str">
            <v>Paramaz Avedisian Building</v>
          </cell>
        </row>
      </sheetData>
      <sheetData sheetId="1859">
        <row r="8">
          <cell r="D8" t="str">
            <v>Paramaz Avedisian Building</v>
          </cell>
        </row>
      </sheetData>
      <sheetData sheetId="1860">
        <row r="8">
          <cell r="D8" t="str">
            <v>Paramaz Avedisian Building</v>
          </cell>
        </row>
      </sheetData>
      <sheetData sheetId="1861">
        <row r="8">
          <cell r="D8" t="str">
            <v>Paramaz Avedisian Building</v>
          </cell>
        </row>
      </sheetData>
      <sheetData sheetId="1862">
        <row r="8">
          <cell r="D8" t="str">
            <v>Paramaz Avedisian Building</v>
          </cell>
        </row>
      </sheetData>
      <sheetData sheetId="1863">
        <row r="8">
          <cell r="D8" t="str">
            <v>Paramaz Avedisian Building</v>
          </cell>
        </row>
      </sheetData>
      <sheetData sheetId="1864">
        <row r="8">
          <cell r="D8" t="str">
            <v>Paramaz Avedisian Building</v>
          </cell>
        </row>
      </sheetData>
      <sheetData sheetId="1865">
        <row r="8">
          <cell r="D8" t="str">
            <v>Paramaz Avedisian Building</v>
          </cell>
        </row>
      </sheetData>
      <sheetData sheetId="1866">
        <row r="8">
          <cell r="D8" t="str">
            <v>Paramaz Avedisian Building</v>
          </cell>
        </row>
      </sheetData>
      <sheetData sheetId="1867">
        <row r="8">
          <cell r="D8" t="str">
            <v>Paramaz Avedisian Building</v>
          </cell>
        </row>
      </sheetData>
      <sheetData sheetId="1868">
        <row r="8">
          <cell r="D8" t="str">
            <v>Paramaz Avedisian Building</v>
          </cell>
        </row>
      </sheetData>
      <sheetData sheetId="1869">
        <row r="8">
          <cell r="D8" t="str">
            <v>Paramaz Avedisian Building</v>
          </cell>
        </row>
      </sheetData>
      <sheetData sheetId="1870">
        <row r="8">
          <cell r="D8" t="str">
            <v>Paramaz Avedisian Building</v>
          </cell>
        </row>
      </sheetData>
      <sheetData sheetId="1871">
        <row r="8">
          <cell r="D8" t="str">
            <v>Paramaz Avedisian Building</v>
          </cell>
        </row>
      </sheetData>
      <sheetData sheetId="1872">
        <row r="8">
          <cell r="D8" t="str">
            <v>Paramaz Avedisian Building</v>
          </cell>
        </row>
      </sheetData>
      <sheetData sheetId="1873">
        <row r="8">
          <cell r="D8" t="str">
            <v>Paramaz Avedisian Building</v>
          </cell>
        </row>
      </sheetData>
      <sheetData sheetId="1874">
        <row r="8">
          <cell r="D8" t="str">
            <v>Paramaz Avedisian Building</v>
          </cell>
        </row>
      </sheetData>
      <sheetData sheetId="1875">
        <row r="8">
          <cell r="D8" t="str">
            <v>Paramaz Avedisian Building</v>
          </cell>
        </row>
      </sheetData>
      <sheetData sheetId="1876">
        <row r="8">
          <cell r="D8" t="str">
            <v>Paramaz Avedisian Building</v>
          </cell>
        </row>
      </sheetData>
      <sheetData sheetId="1877">
        <row r="8">
          <cell r="D8" t="str">
            <v>Paramaz Avedisian Building</v>
          </cell>
        </row>
      </sheetData>
      <sheetData sheetId="1878">
        <row r="8">
          <cell r="D8" t="str">
            <v>Paramaz Avedisian Building</v>
          </cell>
        </row>
      </sheetData>
      <sheetData sheetId="1879">
        <row r="8">
          <cell r="D8" t="str">
            <v>Paramaz Avedisian Building</v>
          </cell>
        </row>
      </sheetData>
      <sheetData sheetId="1880">
        <row r="8">
          <cell r="D8" t="str">
            <v>Paramaz Avedisian Building</v>
          </cell>
        </row>
      </sheetData>
      <sheetData sheetId="1881">
        <row r="8">
          <cell r="D8" t="str">
            <v>Paramaz Avedisian Building</v>
          </cell>
        </row>
      </sheetData>
      <sheetData sheetId="1882">
        <row r="8">
          <cell r="D8" t="str">
            <v>Paramaz Avedisian Building</v>
          </cell>
        </row>
      </sheetData>
      <sheetData sheetId="1883">
        <row r="8">
          <cell r="D8" t="str">
            <v>Paramaz Avedisian Building</v>
          </cell>
        </row>
      </sheetData>
      <sheetData sheetId="1884">
        <row r="8">
          <cell r="D8" t="str">
            <v>Paramaz Avedisian Building</v>
          </cell>
        </row>
      </sheetData>
      <sheetData sheetId="1885">
        <row r="8">
          <cell r="D8" t="str">
            <v>Paramaz Avedisian Building</v>
          </cell>
        </row>
      </sheetData>
      <sheetData sheetId="1886">
        <row r="8">
          <cell r="D8" t="str">
            <v>Paramaz Avedisian Building</v>
          </cell>
        </row>
      </sheetData>
      <sheetData sheetId="1887">
        <row r="8">
          <cell r="D8" t="str">
            <v>Paramaz Avedisian Building</v>
          </cell>
        </row>
      </sheetData>
      <sheetData sheetId="1888">
        <row r="8">
          <cell r="D8" t="str">
            <v>Paramaz Avedisian Building</v>
          </cell>
        </row>
      </sheetData>
      <sheetData sheetId="1889">
        <row r="8">
          <cell r="D8" t="str">
            <v>Paramaz Avedisian Building</v>
          </cell>
        </row>
      </sheetData>
      <sheetData sheetId="1890">
        <row r="8">
          <cell r="D8" t="str">
            <v>Paramaz Avedisian Building</v>
          </cell>
        </row>
      </sheetData>
      <sheetData sheetId="1891">
        <row r="8">
          <cell r="D8" t="str">
            <v>Paramaz Avedisian Building</v>
          </cell>
        </row>
      </sheetData>
      <sheetData sheetId="1892">
        <row r="8">
          <cell r="D8" t="str">
            <v>Paramaz Avedisian Building</v>
          </cell>
        </row>
      </sheetData>
      <sheetData sheetId="1893">
        <row r="8">
          <cell r="D8" t="str">
            <v>Paramaz Avedisian Building</v>
          </cell>
        </row>
      </sheetData>
      <sheetData sheetId="1894">
        <row r="8">
          <cell r="D8" t="str">
            <v>Paramaz Avedisian Building</v>
          </cell>
        </row>
      </sheetData>
      <sheetData sheetId="1895">
        <row r="8">
          <cell r="D8" t="str">
            <v>Paramaz Avedisian Building</v>
          </cell>
        </row>
      </sheetData>
      <sheetData sheetId="1896">
        <row r="8">
          <cell r="D8" t="str">
            <v>Paramaz Avedisian Building</v>
          </cell>
        </row>
      </sheetData>
      <sheetData sheetId="1897">
        <row r="8">
          <cell r="D8" t="str">
            <v>Paramaz Avedisian Building</v>
          </cell>
        </row>
      </sheetData>
      <sheetData sheetId="1898">
        <row r="8">
          <cell r="D8" t="str">
            <v>Paramaz Avedisian Building</v>
          </cell>
        </row>
      </sheetData>
      <sheetData sheetId="1899">
        <row r="8">
          <cell r="D8" t="str">
            <v>Paramaz Avedisian Building</v>
          </cell>
        </row>
      </sheetData>
      <sheetData sheetId="1900">
        <row r="8">
          <cell r="D8" t="str">
            <v>Paramaz Avedisian Building</v>
          </cell>
        </row>
      </sheetData>
      <sheetData sheetId="1901">
        <row r="8">
          <cell r="D8" t="str">
            <v>Paramaz Avedisian Building</v>
          </cell>
        </row>
      </sheetData>
      <sheetData sheetId="1902">
        <row r="8">
          <cell r="D8" t="str">
            <v>Paramaz Avedisian Building</v>
          </cell>
        </row>
      </sheetData>
      <sheetData sheetId="1903">
        <row r="8">
          <cell r="D8" t="str">
            <v>Paramaz Avedisian Building</v>
          </cell>
        </row>
      </sheetData>
      <sheetData sheetId="1904">
        <row r="8">
          <cell r="D8" t="str">
            <v>Paramaz Avedisian Building</v>
          </cell>
        </row>
      </sheetData>
      <sheetData sheetId="1905">
        <row r="8">
          <cell r="D8" t="str">
            <v>Paramaz Avedisian Building</v>
          </cell>
        </row>
      </sheetData>
      <sheetData sheetId="1906">
        <row r="8">
          <cell r="D8" t="str">
            <v>Paramaz Avedisian Building</v>
          </cell>
        </row>
      </sheetData>
      <sheetData sheetId="1907">
        <row r="8">
          <cell r="D8" t="str">
            <v>Paramaz Avedisian Building</v>
          </cell>
        </row>
      </sheetData>
      <sheetData sheetId="1908">
        <row r="8">
          <cell r="D8" t="str">
            <v>Paramaz Avedisian Building</v>
          </cell>
        </row>
      </sheetData>
      <sheetData sheetId="1909">
        <row r="8">
          <cell r="D8" t="str">
            <v>Paramaz Avedisian Building</v>
          </cell>
        </row>
      </sheetData>
      <sheetData sheetId="1910">
        <row r="8">
          <cell r="D8" t="str">
            <v>Paramaz Avedisian Building</v>
          </cell>
        </row>
      </sheetData>
      <sheetData sheetId="1911">
        <row r="8">
          <cell r="D8" t="str">
            <v>Paramaz Avedisian Building</v>
          </cell>
        </row>
      </sheetData>
      <sheetData sheetId="1912">
        <row r="8">
          <cell r="D8" t="str">
            <v>Paramaz Avedisian Building</v>
          </cell>
        </row>
      </sheetData>
      <sheetData sheetId="1913">
        <row r="8">
          <cell r="D8" t="str">
            <v>Paramaz Avedisian Building</v>
          </cell>
        </row>
      </sheetData>
      <sheetData sheetId="1914">
        <row r="8">
          <cell r="D8" t="str">
            <v>Paramaz Avedisian Building</v>
          </cell>
        </row>
      </sheetData>
      <sheetData sheetId="1915">
        <row r="8">
          <cell r="D8" t="str">
            <v>Paramaz Avedisian Building</v>
          </cell>
        </row>
      </sheetData>
      <sheetData sheetId="1916">
        <row r="8">
          <cell r="D8" t="str">
            <v>Paramaz Avedisian Building</v>
          </cell>
        </row>
      </sheetData>
      <sheetData sheetId="1917">
        <row r="8">
          <cell r="D8" t="str">
            <v>Paramaz Avedisian Building</v>
          </cell>
        </row>
      </sheetData>
      <sheetData sheetId="1918">
        <row r="8">
          <cell r="D8" t="str">
            <v>Paramaz Avedisian Building</v>
          </cell>
        </row>
      </sheetData>
      <sheetData sheetId="1919">
        <row r="8">
          <cell r="D8" t="str">
            <v>Paramaz Avedisian Building</v>
          </cell>
        </row>
      </sheetData>
      <sheetData sheetId="1920">
        <row r="8">
          <cell r="D8" t="str">
            <v>Paramaz Avedisian Building</v>
          </cell>
        </row>
      </sheetData>
      <sheetData sheetId="1921">
        <row r="8">
          <cell r="D8" t="str">
            <v>Paramaz Avedisian Building</v>
          </cell>
        </row>
      </sheetData>
      <sheetData sheetId="1922">
        <row r="8">
          <cell r="D8" t="str">
            <v>Paramaz Avedisian Building</v>
          </cell>
        </row>
      </sheetData>
      <sheetData sheetId="1923">
        <row r="8">
          <cell r="D8" t="str">
            <v>Paramaz Avedisian Building</v>
          </cell>
        </row>
      </sheetData>
      <sheetData sheetId="1924">
        <row r="8">
          <cell r="D8" t="str">
            <v>Paramaz Avedisian Building</v>
          </cell>
        </row>
      </sheetData>
      <sheetData sheetId="1925">
        <row r="8">
          <cell r="D8" t="str">
            <v>Paramaz Avedisian Building</v>
          </cell>
        </row>
      </sheetData>
      <sheetData sheetId="1926">
        <row r="8">
          <cell r="D8" t="str">
            <v>Paramaz Avedisian Building</v>
          </cell>
        </row>
      </sheetData>
      <sheetData sheetId="1927">
        <row r="8">
          <cell r="D8" t="str">
            <v>Paramaz Avedisian Building</v>
          </cell>
        </row>
      </sheetData>
      <sheetData sheetId="1928">
        <row r="8">
          <cell r="D8" t="str">
            <v>Paramaz Avedisian Building</v>
          </cell>
        </row>
      </sheetData>
      <sheetData sheetId="1929">
        <row r="8">
          <cell r="D8" t="str">
            <v>Paramaz Avedisian Building</v>
          </cell>
        </row>
      </sheetData>
      <sheetData sheetId="1930">
        <row r="8">
          <cell r="D8" t="str">
            <v>Paramaz Avedisian Building</v>
          </cell>
        </row>
      </sheetData>
      <sheetData sheetId="1931">
        <row r="8">
          <cell r="D8" t="str">
            <v>Paramaz Avedisian Building</v>
          </cell>
        </row>
      </sheetData>
      <sheetData sheetId="1932">
        <row r="8">
          <cell r="D8" t="str">
            <v>Paramaz Avedisian Building</v>
          </cell>
        </row>
      </sheetData>
      <sheetData sheetId="1933">
        <row r="8">
          <cell r="D8" t="str">
            <v>Paramaz Avedisian Building</v>
          </cell>
        </row>
      </sheetData>
      <sheetData sheetId="1934">
        <row r="8">
          <cell r="D8" t="str">
            <v>Paramaz Avedisian Building</v>
          </cell>
        </row>
      </sheetData>
      <sheetData sheetId="1935">
        <row r="8">
          <cell r="D8" t="str">
            <v>Paramaz Avedisian Building</v>
          </cell>
        </row>
      </sheetData>
      <sheetData sheetId="1936">
        <row r="8">
          <cell r="D8" t="str">
            <v>Paramaz Avedisian Building</v>
          </cell>
        </row>
      </sheetData>
      <sheetData sheetId="1937">
        <row r="8">
          <cell r="D8" t="str">
            <v>Paramaz Avedisian Building</v>
          </cell>
        </row>
      </sheetData>
      <sheetData sheetId="1938">
        <row r="8">
          <cell r="D8" t="str">
            <v>Paramaz Avedisian Building</v>
          </cell>
        </row>
      </sheetData>
      <sheetData sheetId="1939">
        <row r="8">
          <cell r="D8" t="str">
            <v>Paramaz Avedisian Building</v>
          </cell>
        </row>
      </sheetData>
      <sheetData sheetId="1940">
        <row r="8">
          <cell r="D8" t="str">
            <v>Paramaz Avedisian Building</v>
          </cell>
        </row>
      </sheetData>
      <sheetData sheetId="1941">
        <row r="8">
          <cell r="D8" t="str">
            <v>Paramaz Avedisian Building</v>
          </cell>
        </row>
      </sheetData>
      <sheetData sheetId="1942">
        <row r="8">
          <cell r="D8" t="str">
            <v>Paramaz Avedisian Building</v>
          </cell>
        </row>
      </sheetData>
      <sheetData sheetId="1943">
        <row r="8">
          <cell r="D8" t="str">
            <v>Paramaz Avedisian Building</v>
          </cell>
        </row>
      </sheetData>
      <sheetData sheetId="1944">
        <row r="8">
          <cell r="D8" t="str">
            <v>Paramaz Avedisian Building</v>
          </cell>
        </row>
      </sheetData>
      <sheetData sheetId="1945">
        <row r="8">
          <cell r="D8" t="str">
            <v>Paramaz Avedisian Building</v>
          </cell>
        </row>
      </sheetData>
      <sheetData sheetId="1946">
        <row r="8">
          <cell r="D8" t="str">
            <v>Paramaz Avedisian Building</v>
          </cell>
        </row>
      </sheetData>
      <sheetData sheetId="1947">
        <row r="8">
          <cell r="D8" t="str">
            <v>Paramaz Avedisian Building</v>
          </cell>
        </row>
      </sheetData>
      <sheetData sheetId="1948">
        <row r="8">
          <cell r="D8" t="str">
            <v>Paramaz Avedisian Building</v>
          </cell>
        </row>
      </sheetData>
      <sheetData sheetId="1949">
        <row r="8">
          <cell r="D8" t="str">
            <v>Paramaz Avedisian Building</v>
          </cell>
        </row>
      </sheetData>
      <sheetData sheetId="1950">
        <row r="8">
          <cell r="D8" t="str">
            <v>Paramaz Avedisian Building</v>
          </cell>
        </row>
      </sheetData>
      <sheetData sheetId="1951">
        <row r="8">
          <cell r="D8" t="str">
            <v>Paramaz Avedisian Building</v>
          </cell>
        </row>
      </sheetData>
      <sheetData sheetId="1952">
        <row r="8">
          <cell r="D8" t="str">
            <v>Paramaz Avedisian Building</v>
          </cell>
        </row>
      </sheetData>
      <sheetData sheetId="1953">
        <row r="8">
          <cell r="D8" t="str">
            <v>Paramaz Avedisian Building</v>
          </cell>
        </row>
      </sheetData>
      <sheetData sheetId="1954">
        <row r="8">
          <cell r="D8" t="str">
            <v>Paramaz Avedisian Building</v>
          </cell>
        </row>
      </sheetData>
      <sheetData sheetId="1955">
        <row r="8">
          <cell r="D8" t="str">
            <v>Paramaz Avedisian Building</v>
          </cell>
        </row>
      </sheetData>
      <sheetData sheetId="1956">
        <row r="8">
          <cell r="D8" t="str">
            <v>Paramaz Avedisian Building</v>
          </cell>
        </row>
      </sheetData>
      <sheetData sheetId="1957">
        <row r="8">
          <cell r="D8" t="str">
            <v>Paramaz Avedisian Building</v>
          </cell>
        </row>
      </sheetData>
      <sheetData sheetId="1958">
        <row r="8">
          <cell r="D8" t="str">
            <v>Paramaz Avedisian Building</v>
          </cell>
        </row>
      </sheetData>
      <sheetData sheetId="1959">
        <row r="8">
          <cell r="D8" t="str">
            <v>Paramaz Avedisian Building</v>
          </cell>
        </row>
      </sheetData>
      <sheetData sheetId="1960">
        <row r="8">
          <cell r="D8" t="str">
            <v>Paramaz Avedisian Building</v>
          </cell>
        </row>
      </sheetData>
      <sheetData sheetId="1961">
        <row r="8">
          <cell r="D8" t="str">
            <v>Paramaz Avedisian Building</v>
          </cell>
        </row>
      </sheetData>
      <sheetData sheetId="1962">
        <row r="8">
          <cell r="D8" t="str">
            <v>Paramaz Avedisian Building</v>
          </cell>
        </row>
      </sheetData>
      <sheetData sheetId="1963">
        <row r="8">
          <cell r="D8" t="str">
            <v>Paramaz Avedisian Building</v>
          </cell>
        </row>
      </sheetData>
      <sheetData sheetId="1964">
        <row r="8">
          <cell r="D8" t="str">
            <v>Paramaz Avedisian Building</v>
          </cell>
        </row>
      </sheetData>
      <sheetData sheetId="1965">
        <row r="8">
          <cell r="D8" t="str">
            <v>Paramaz Avedisian Building</v>
          </cell>
        </row>
      </sheetData>
      <sheetData sheetId="1966">
        <row r="8">
          <cell r="D8" t="str">
            <v>Paramaz Avedisian Building</v>
          </cell>
        </row>
      </sheetData>
      <sheetData sheetId="1967">
        <row r="8">
          <cell r="D8" t="str">
            <v>Paramaz Avedisian Building</v>
          </cell>
        </row>
      </sheetData>
      <sheetData sheetId="1968">
        <row r="8">
          <cell r="D8" t="str">
            <v>Paramaz Avedisian Building</v>
          </cell>
        </row>
      </sheetData>
      <sheetData sheetId="1969">
        <row r="8">
          <cell r="D8" t="str">
            <v>Paramaz Avedisian Building</v>
          </cell>
        </row>
      </sheetData>
      <sheetData sheetId="1970">
        <row r="8">
          <cell r="D8" t="str">
            <v>Paramaz Avedisian Building</v>
          </cell>
        </row>
      </sheetData>
      <sheetData sheetId="1971">
        <row r="8">
          <cell r="D8" t="str">
            <v>Paramaz Avedisian Building</v>
          </cell>
        </row>
      </sheetData>
      <sheetData sheetId="1972">
        <row r="8">
          <cell r="D8" t="str">
            <v>Paramaz Avedisian Building</v>
          </cell>
        </row>
      </sheetData>
      <sheetData sheetId="1973">
        <row r="8">
          <cell r="D8" t="str">
            <v>Paramaz Avedisian Building</v>
          </cell>
        </row>
      </sheetData>
      <sheetData sheetId="1974">
        <row r="8">
          <cell r="D8" t="str">
            <v>Paramaz Avedisian Building</v>
          </cell>
        </row>
      </sheetData>
      <sheetData sheetId="1975">
        <row r="8">
          <cell r="D8" t="str">
            <v>Paramaz Avedisian Building</v>
          </cell>
        </row>
      </sheetData>
      <sheetData sheetId="1976">
        <row r="8">
          <cell r="D8" t="str">
            <v>Paramaz Avedisian Building</v>
          </cell>
        </row>
      </sheetData>
      <sheetData sheetId="1977">
        <row r="8">
          <cell r="D8" t="str">
            <v>Paramaz Avedisian Building</v>
          </cell>
        </row>
      </sheetData>
      <sheetData sheetId="1978">
        <row r="8">
          <cell r="D8" t="str">
            <v>Paramaz Avedisian Building</v>
          </cell>
        </row>
      </sheetData>
      <sheetData sheetId="1979">
        <row r="8">
          <cell r="D8" t="str">
            <v>Paramaz Avedisian Building</v>
          </cell>
        </row>
      </sheetData>
      <sheetData sheetId="1980">
        <row r="8">
          <cell r="D8" t="str">
            <v>Paramaz Avedisian Building</v>
          </cell>
        </row>
      </sheetData>
      <sheetData sheetId="1981">
        <row r="8">
          <cell r="D8" t="str">
            <v>Paramaz Avedisian Building</v>
          </cell>
        </row>
      </sheetData>
      <sheetData sheetId="1982">
        <row r="8">
          <cell r="D8" t="str">
            <v>Paramaz Avedisian Building</v>
          </cell>
        </row>
      </sheetData>
      <sheetData sheetId="1983">
        <row r="8">
          <cell r="D8" t="str">
            <v>Paramaz Avedisian Building</v>
          </cell>
        </row>
      </sheetData>
      <sheetData sheetId="1984">
        <row r="8">
          <cell r="D8" t="str">
            <v>Paramaz Avedisian Building</v>
          </cell>
        </row>
      </sheetData>
      <sheetData sheetId="1985">
        <row r="8">
          <cell r="D8" t="str">
            <v>Paramaz Avedisian Building</v>
          </cell>
        </row>
      </sheetData>
      <sheetData sheetId="1986">
        <row r="8">
          <cell r="D8" t="str">
            <v>Paramaz Avedisian Building</v>
          </cell>
        </row>
      </sheetData>
      <sheetData sheetId="1987">
        <row r="8">
          <cell r="D8" t="str">
            <v>Paramaz Avedisian Building</v>
          </cell>
        </row>
      </sheetData>
      <sheetData sheetId="1988">
        <row r="8">
          <cell r="D8" t="str">
            <v>Paramaz Avedisian Building</v>
          </cell>
        </row>
      </sheetData>
      <sheetData sheetId="1989">
        <row r="8">
          <cell r="D8" t="str">
            <v>Paramaz Avedisian Building</v>
          </cell>
        </row>
      </sheetData>
      <sheetData sheetId="1990">
        <row r="8">
          <cell r="D8" t="str">
            <v>Paramaz Avedisian Building</v>
          </cell>
        </row>
      </sheetData>
      <sheetData sheetId="1991">
        <row r="8">
          <cell r="D8" t="str">
            <v>Paramaz Avedisian Building</v>
          </cell>
        </row>
      </sheetData>
      <sheetData sheetId="1992">
        <row r="8">
          <cell r="D8" t="str">
            <v>Paramaz Avedisian Building</v>
          </cell>
        </row>
      </sheetData>
      <sheetData sheetId="1993">
        <row r="8">
          <cell r="D8" t="str">
            <v>Paramaz Avedisian Building</v>
          </cell>
        </row>
      </sheetData>
      <sheetData sheetId="1994">
        <row r="8">
          <cell r="D8" t="str">
            <v>Paramaz Avedisian Building</v>
          </cell>
        </row>
      </sheetData>
      <sheetData sheetId="1995">
        <row r="8">
          <cell r="D8" t="str">
            <v>Paramaz Avedisian Building</v>
          </cell>
        </row>
      </sheetData>
      <sheetData sheetId="1996">
        <row r="8">
          <cell r="D8" t="str">
            <v>Paramaz Avedisian Building</v>
          </cell>
        </row>
      </sheetData>
      <sheetData sheetId="1997">
        <row r="8">
          <cell r="D8" t="str">
            <v>Paramaz Avedisian Building</v>
          </cell>
        </row>
      </sheetData>
      <sheetData sheetId="1998">
        <row r="8">
          <cell r="D8" t="str">
            <v>Paramaz Avedisian Building</v>
          </cell>
        </row>
      </sheetData>
      <sheetData sheetId="1999">
        <row r="8">
          <cell r="D8" t="str">
            <v>Paramaz Avedisian Building</v>
          </cell>
        </row>
      </sheetData>
      <sheetData sheetId="2000">
        <row r="8">
          <cell r="D8" t="str">
            <v>Paramaz Avedisian Building</v>
          </cell>
        </row>
      </sheetData>
      <sheetData sheetId="2001">
        <row r="8">
          <cell r="D8" t="str">
            <v>Paramaz Avedisian Building</v>
          </cell>
        </row>
      </sheetData>
      <sheetData sheetId="2002">
        <row r="8">
          <cell r="D8" t="str">
            <v>Paramaz Avedisian Building</v>
          </cell>
        </row>
      </sheetData>
      <sheetData sheetId="2003">
        <row r="8">
          <cell r="D8" t="str">
            <v>Paramaz Avedisian Building</v>
          </cell>
        </row>
      </sheetData>
      <sheetData sheetId="2004">
        <row r="8">
          <cell r="D8" t="str">
            <v>Paramaz Avedisian Building</v>
          </cell>
        </row>
      </sheetData>
      <sheetData sheetId="2005">
        <row r="8">
          <cell r="D8" t="str">
            <v>Paramaz Avedisian Building</v>
          </cell>
        </row>
      </sheetData>
      <sheetData sheetId="2006">
        <row r="8">
          <cell r="D8" t="str">
            <v>Paramaz Avedisian Building</v>
          </cell>
        </row>
      </sheetData>
      <sheetData sheetId="2007">
        <row r="8">
          <cell r="D8" t="str">
            <v>Paramaz Avedisian Building</v>
          </cell>
        </row>
      </sheetData>
      <sheetData sheetId="2008">
        <row r="8">
          <cell r="D8" t="str">
            <v>Paramaz Avedisian Building</v>
          </cell>
        </row>
      </sheetData>
      <sheetData sheetId="2009">
        <row r="8">
          <cell r="D8" t="str">
            <v>Paramaz Avedisian Building</v>
          </cell>
        </row>
      </sheetData>
      <sheetData sheetId="2010">
        <row r="8">
          <cell r="D8" t="str">
            <v>Paramaz Avedisian Building</v>
          </cell>
        </row>
      </sheetData>
      <sheetData sheetId="2011">
        <row r="8">
          <cell r="D8" t="str">
            <v>Paramaz Avedisian Building</v>
          </cell>
        </row>
      </sheetData>
      <sheetData sheetId="2012">
        <row r="8">
          <cell r="D8" t="str">
            <v>Paramaz Avedisian Building</v>
          </cell>
        </row>
      </sheetData>
      <sheetData sheetId="2013">
        <row r="8">
          <cell r="D8" t="str">
            <v>Paramaz Avedisian Building</v>
          </cell>
        </row>
      </sheetData>
      <sheetData sheetId="2014">
        <row r="8">
          <cell r="D8" t="str">
            <v>Paramaz Avedisian Building</v>
          </cell>
        </row>
      </sheetData>
      <sheetData sheetId="2015">
        <row r="8">
          <cell r="D8" t="str">
            <v>Paramaz Avedisian Building</v>
          </cell>
        </row>
      </sheetData>
      <sheetData sheetId="2016">
        <row r="8">
          <cell r="D8" t="str">
            <v>Paramaz Avedisian Building</v>
          </cell>
        </row>
      </sheetData>
      <sheetData sheetId="2017">
        <row r="8">
          <cell r="D8" t="str">
            <v>Paramaz Avedisian Building</v>
          </cell>
        </row>
      </sheetData>
      <sheetData sheetId="2018">
        <row r="8">
          <cell r="D8" t="str">
            <v>Paramaz Avedisian Building</v>
          </cell>
        </row>
      </sheetData>
      <sheetData sheetId="2019">
        <row r="8">
          <cell r="D8" t="str">
            <v>Paramaz Avedisian Building</v>
          </cell>
        </row>
      </sheetData>
      <sheetData sheetId="2020">
        <row r="8">
          <cell r="D8" t="str">
            <v>Paramaz Avedisian Building</v>
          </cell>
        </row>
      </sheetData>
      <sheetData sheetId="2021">
        <row r="8">
          <cell r="D8" t="str">
            <v>Paramaz Avedisian Building</v>
          </cell>
        </row>
      </sheetData>
      <sheetData sheetId="2022">
        <row r="8">
          <cell r="D8" t="str">
            <v>Paramaz Avedisian Building</v>
          </cell>
        </row>
      </sheetData>
      <sheetData sheetId="2023">
        <row r="8">
          <cell r="D8" t="str">
            <v>Paramaz Avedisian Building</v>
          </cell>
        </row>
      </sheetData>
      <sheetData sheetId="2024">
        <row r="8">
          <cell r="D8" t="str">
            <v>Paramaz Avedisian Building</v>
          </cell>
        </row>
      </sheetData>
      <sheetData sheetId="2025">
        <row r="8">
          <cell r="D8" t="str">
            <v>Paramaz Avedisian Building</v>
          </cell>
        </row>
      </sheetData>
      <sheetData sheetId="2026">
        <row r="8">
          <cell r="D8" t="str">
            <v>Paramaz Avedisian Building</v>
          </cell>
        </row>
      </sheetData>
      <sheetData sheetId="2027">
        <row r="8">
          <cell r="D8" t="str">
            <v>Paramaz Avedisian Building</v>
          </cell>
        </row>
      </sheetData>
      <sheetData sheetId="2028">
        <row r="8">
          <cell r="D8" t="str">
            <v>Paramaz Avedisian Building</v>
          </cell>
        </row>
      </sheetData>
      <sheetData sheetId="2029">
        <row r="8">
          <cell r="D8" t="str">
            <v>Paramaz Avedisian Building</v>
          </cell>
        </row>
      </sheetData>
      <sheetData sheetId="2030">
        <row r="8">
          <cell r="D8" t="str">
            <v>Paramaz Avedisian Building</v>
          </cell>
        </row>
      </sheetData>
      <sheetData sheetId="2031">
        <row r="8">
          <cell r="D8" t="str">
            <v>Paramaz Avedisian Building</v>
          </cell>
        </row>
      </sheetData>
      <sheetData sheetId="2032">
        <row r="8">
          <cell r="D8" t="str">
            <v>Paramaz Avedisian Building</v>
          </cell>
        </row>
      </sheetData>
      <sheetData sheetId="2033">
        <row r="8">
          <cell r="D8" t="str">
            <v>Paramaz Avedisian Building</v>
          </cell>
        </row>
      </sheetData>
      <sheetData sheetId="2034">
        <row r="8">
          <cell r="D8" t="str">
            <v>Paramaz Avedisian Building</v>
          </cell>
        </row>
      </sheetData>
      <sheetData sheetId="2035">
        <row r="8">
          <cell r="D8" t="str">
            <v>Paramaz Avedisian Building</v>
          </cell>
        </row>
      </sheetData>
      <sheetData sheetId="2036">
        <row r="8">
          <cell r="D8" t="str">
            <v>Paramaz Avedisian Building</v>
          </cell>
        </row>
      </sheetData>
      <sheetData sheetId="2037">
        <row r="8">
          <cell r="D8" t="str">
            <v>Paramaz Avedisian Building</v>
          </cell>
        </row>
      </sheetData>
      <sheetData sheetId="2038">
        <row r="8">
          <cell r="D8" t="str">
            <v>Paramaz Avedisian Building</v>
          </cell>
        </row>
      </sheetData>
      <sheetData sheetId="2039">
        <row r="8">
          <cell r="D8" t="str">
            <v>Paramaz Avedisian Building</v>
          </cell>
        </row>
      </sheetData>
      <sheetData sheetId="2040">
        <row r="8">
          <cell r="D8" t="str">
            <v>Paramaz Avedisian Building</v>
          </cell>
        </row>
      </sheetData>
      <sheetData sheetId="2041">
        <row r="8">
          <cell r="D8" t="str">
            <v>Paramaz Avedisian Building</v>
          </cell>
        </row>
      </sheetData>
      <sheetData sheetId="2042">
        <row r="8">
          <cell r="D8" t="str">
            <v>Paramaz Avedisian Building</v>
          </cell>
        </row>
      </sheetData>
      <sheetData sheetId="2043">
        <row r="8">
          <cell r="D8" t="str">
            <v>Paramaz Avedisian Building</v>
          </cell>
        </row>
      </sheetData>
      <sheetData sheetId="2044">
        <row r="8">
          <cell r="D8" t="str">
            <v>Paramaz Avedisian Building</v>
          </cell>
        </row>
      </sheetData>
      <sheetData sheetId="2045">
        <row r="8">
          <cell r="D8" t="str">
            <v>Paramaz Avedisian Building</v>
          </cell>
        </row>
      </sheetData>
      <sheetData sheetId="2046">
        <row r="8">
          <cell r="D8" t="str">
            <v>Paramaz Avedisian Building</v>
          </cell>
        </row>
      </sheetData>
      <sheetData sheetId="2047">
        <row r="8">
          <cell r="D8" t="str">
            <v>Paramaz Avedisian Building</v>
          </cell>
        </row>
      </sheetData>
      <sheetData sheetId="2048">
        <row r="8">
          <cell r="D8" t="str">
            <v>Paramaz Avedisian Building</v>
          </cell>
        </row>
      </sheetData>
      <sheetData sheetId="2049">
        <row r="8">
          <cell r="D8" t="str">
            <v>Paramaz Avedisian Building</v>
          </cell>
        </row>
      </sheetData>
      <sheetData sheetId="2050">
        <row r="8">
          <cell r="D8" t="str">
            <v>Paramaz Avedisian Building</v>
          </cell>
        </row>
      </sheetData>
      <sheetData sheetId="2051">
        <row r="8">
          <cell r="D8" t="str">
            <v>Paramaz Avedisian Building</v>
          </cell>
        </row>
      </sheetData>
      <sheetData sheetId="2052">
        <row r="8">
          <cell r="D8" t="str">
            <v>Paramaz Avedisian Building</v>
          </cell>
        </row>
      </sheetData>
      <sheetData sheetId="2053">
        <row r="8">
          <cell r="D8" t="str">
            <v>Paramaz Avedisian Building</v>
          </cell>
        </row>
      </sheetData>
      <sheetData sheetId="2054">
        <row r="8">
          <cell r="D8" t="str">
            <v>Paramaz Avedisian Building</v>
          </cell>
        </row>
      </sheetData>
      <sheetData sheetId="2055">
        <row r="8">
          <cell r="D8" t="str">
            <v>Paramaz Avedisian Building</v>
          </cell>
        </row>
      </sheetData>
      <sheetData sheetId="2056">
        <row r="8">
          <cell r="D8" t="str">
            <v>Paramaz Avedisian Building</v>
          </cell>
        </row>
      </sheetData>
      <sheetData sheetId="2057">
        <row r="8">
          <cell r="D8" t="str">
            <v>Paramaz Avedisian Building</v>
          </cell>
        </row>
      </sheetData>
      <sheetData sheetId="2058">
        <row r="8">
          <cell r="D8" t="str">
            <v>Paramaz Avedisian Building</v>
          </cell>
        </row>
      </sheetData>
      <sheetData sheetId="2059">
        <row r="8">
          <cell r="D8" t="str">
            <v>Paramaz Avedisian Building</v>
          </cell>
        </row>
      </sheetData>
      <sheetData sheetId="2060">
        <row r="8">
          <cell r="D8" t="str">
            <v>Paramaz Avedisian Building</v>
          </cell>
        </row>
      </sheetData>
      <sheetData sheetId="2061">
        <row r="8">
          <cell r="D8" t="str">
            <v>Paramaz Avedisian Building</v>
          </cell>
        </row>
      </sheetData>
      <sheetData sheetId="2062">
        <row r="8">
          <cell r="D8" t="str">
            <v>Paramaz Avedisian Building</v>
          </cell>
        </row>
      </sheetData>
      <sheetData sheetId="2063">
        <row r="8">
          <cell r="D8" t="str">
            <v>Paramaz Avedisian Building</v>
          </cell>
        </row>
      </sheetData>
      <sheetData sheetId="2064">
        <row r="8">
          <cell r="D8" t="str">
            <v>Paramaz Avedisian Building</v>
          </cell>
        </row>
      </sheetData>
      <sheetData sheetId="2065">
        <row r="8">
          <cell r="D8" t="str">
            <v>Paramaz Avedisian Building</v>
          </cell>
        </row>
      </sheetData>
      <sheetData sheetId="2066">
        <row r="8">
          <cell r="D8" t="str">
            <v>Paramaz Avedisian Building</v>
          </cell>
        </row>
      </sheetData>
      <sheetData sheetId="2067">
        <row r="8">
          <cell r="D8" t="str">
            <v>Paramaz Avedisian Building</v>
          </cell>
        </row>
      </sheetData>
      <sheetData sheetId="2068">
        <row r="8">
          <cell r="D8" t="str">
            <v>Paramaz Avedisian Building</v>
          </cell>
        </row>
      </sheetData>
      <sheetData sheetId="2069">
        <row r="8">
          <cell r="D8" t="str">
            <v>Paramaz Avedisian Building</v>
          </cell>
        </row>
      </sheetData>
      <sheetData sheetId="2070">
        <row r="8">
          <cell r="D8" t="str">
            <v>Paramaz Avedisian Building</v>
          </cell>
        </row>
      </sheetData>
      <sheetData sheetId="2071">
        <row r="8">
          <cell r="D8" t="str">
            <v>Paramaz Avedisian Building</v>
          </cell>
        </row>
      </sheetData>
      <sheetData sheetId="2072">
        <row r="8">
          <cell r="D8" t="str">
            <v>Paramaz Avedisian Building</v>
          </cell>
        </row>
      </sheetData>
      <sheetData sheetId="2073">
        <row r="8">
          <cell r="D8" t="str">
            <v>Paramaz Avedisian Building</v>
          </cell>
        </row>
      </sheetData>
      <sheetData sheetId="2074">
        <row r="8">
          <cell r="D8" t="str">
            <v>Paramaz Avedisian Building</v>
          </cell>
        </row>
      </sheetData>
      <sheetData sheetId="2075">
        <row r="8">
          <cell r="D8" t="str">
            <v>Paramaz Avedisian Building</v>
          </cell>
        </row>
      </sheetData>
      <sheetData sheetId="2076">
        <row r="8">
          <cell r="D8" t="str">
            <v>Paramaz Avedisian Building</v>
          </cell>
        </row>
      </sheetData>
      <sheetData sheetId="2077">
        <row r="8">
          <cell r="D8" t="str">
            <v>Paramaz Avedisian Building</v>
          </cell>
        </row>
      </sheetData>
      <sheetData sheetId="2078">
        <row r="8">
          <cell r="D8" t="str">
            <v>Paramaz Avedisian Building</v>
          </cell>
        </row>
      </sheetData>
      <sheetData sheetId="2079">
        <row r="8">
          <cell r="D8" t="str">
            <v>Paramaz Avedisian Building</v>
          </cell>
        </row>
      </sheetData>
      <sheetData sheetId="2080">
        <row r="8">
          <cell r="D8" t="str">
            <v>Paramaz Avedisian Building</v>
          </cell>
        </row>
      </sheetData>
      <sheetData sheetId="2081">
        <row r="8">
          <cell r="D8" t="str">
            <v>Paramaz Avedisian Building</v>
          </cell>
        </row>
      </sheetData>
      <sheetData sheetId="2082">
        <row r="8">
          <cell r="D8" t="str">
            <v>Paramaz Avedisian Building</v>
          </cell>
        </row>
      </sheetData>
      <sheetData sheetId="2083">
        <row r="8">
          <cell r="D8" t="str">
            <v>Paramaz Avedisian Building</v>
          </cell>
        </row>
      </sheetData>
      <sheetData sheetId="2084">
        <row r="8">
          <cell r="D8" t="str">
            <v>Paramaz Avedisian Building</v>
          </cell>
        </row>
      </sheetData>
      <sheetData sheetId="2085">
        <row r="8">
          <cell r="D8" t="str">
            <v>Paramaz Avedisian Building</v>
          </cell>
        </row>
      </sheetData>
      <sheetData sheetId="2086">
        <row r="8">
          <cell r="D8" t="str">
            <v>Paramaz Avedisian Building</v>
          </cell>
        </row>
      </sheetData>
      <sheetData sheetId="2087">
        <row r="8">
          <cell r="D8" t="str">
            <v>Paramaz Avedisian Building</v>
          </cell>
        </row>
      </sheetData>
      <sheetData sheetId="2088">
        <row r="8">
          <cell r="D8" t="str">
            <v>Paramaz Avedisian Building</v>
          </cell>
        </row>
      </sheetData>
      <sheetData sheetId="2089">
        <row r="8">
          <cell r="D8" t="str">
            <v>Paramaz Avedisian Building</v>
          </cell>
        </row>
      </sheetData>
      <sheetData sheetId="2090">
        <row r="8">
          <cell r="D8" t="str">
            <v>Paramaz Avedisian Building</v>
          </cell>
        </row>
      </sheetData>
      <sheetData sheetId="2091">
        <row r="8">
          <cell r="D8" t="str">
            <v>Paramaz Avedisian Building</v>
          </cell>
        </row>
      </sheetData>
      <sheetData sheetId="2092">
        <row r="8">
          <cell r="D8" t="str">
            <v>Paramaz Avedisian Building</v>
          </cell>
        </row>
      </sheetData>
      <sheetData sheetId="2093">
        <row r="8">
          <cell r="D8" t="str">
            <v>Paramaz Avedisian Building</v>
          </cell>
        </row>
      </sheetData>
      <sheetData sheetId="2094">
        <row r="8">
          <cell r="D8" t="str">
            <v>Paramaz Avedisian Building</v>
          </cell>
        </row>
      </sheetData>
      <sheetData sheetId="2095">
        <row r="8">
          <cell r="D8" t="str">
            <v>Paramaz Avedisian Building</v>
          </cell>
        </row>
      </sheetData>
      <sheetData sheetId="2096">
        <row r="8">
          <cell r="D8" t="str">
            <v>Paramaz Avedisian Building</v>
          </cell>
        </row>
      </sheetData>
      <sheetData sheetId="2097">
        <row r="8">
          <cell r="D8" t="str">
            <v>Paramaz Avedisian Building</v>
          </cell>
        </row>
      </sheetData>
      <sheetData sheetId="2098">
        <row r="8">
          <cell r="D8" t="str">
            <v>Paramaz Avedisian Building</v>
          </cell>
        </row>
      </sheetData>
      <sheetData sheetId="2099">
        <row r="8">
          <cell r="D8" t="str">
            <v>Paramaz Avedisian Building</v>
          </cell>
        </row>
      </sheetData>
      <sheetData sheetId="2100">
        <row r="8">
          <cell r="D8" t="str">
            <v>Paramaz Avedisian Building</v>
          </cell>
        </row>
      </sheetData>
      <sheetData sheetId="2101">
        <row r="8">
          <cell r="D8" t="str">
            <v>Paramaz Avedisian Building</v>
          </cell>
        </row>
      </sheetData>
      <sheetData sheetId="2102">
        <row r="8">
          <cell r="D8" t="str">
            <v>Paramaz Avedisian Building</v>
          </cell>
        </row>
      </sheetData>
      <sheetData sheetId="2103">
        <row r="8">
          <cell r="D8" t="str">
            <v>Paramaz Avedisian Building</v>
          </cell>
        </row>
      </sheetData>
      <sheetData sheetId="2104">
        <row r="8">
          <cell r="D8" t="str">
            <v>Paramaz Avedisian Building</v>
          </cell>
        </row>
      </sheetData>
      <sheetData sheetId="2105">
        <row r="8">
          <cell r="D8" t="str">
            <v>Paramaz Avedisian Building</v>
          </cell>
        </row>
      </sheetData>
      <sheetData sheetId="2106">
        <row r="8">
          <cell r="D8" t="str">
            <v>Paramaz Avedisian Building</v>
          </cell>
        </row>
      </sheetData>
      <sheetData sheetId="2107">
        <row r="8">
          <cell r="D8" t="str">
            <v>Paramaz Avedisian Building</v>
          </cell>
        </row>
      </sheetData>
      <sheetData sheetId="2108">
        <row r="8">
          <cell r="D8" t="str">
            <v>Paramaz Avedisian Building</v>
          </cell>
        </row>
      </sheetData>
      <sheetData sheetId="2109">
        <row r="8">
          <cell r="D8" t="str">
            <v>Paramaz Avedisian Building</v>
          </cell>
        </row>
      </sheetData>
      <sheetData sheetId="2110">
        <row r="8">
          <cell r="D8" t="str">
            <v>Paramaz Avedisian Building</v>
          </cell>
        </row>
      </sheetData>
      <sheetData sheetId="2111">
        <row r="8">
          <cell r="D8" t="str">
            <v>Paramaz Avedisian Building</v>
          </cell>
        </row>
      </sheetData>
      <sheetData sheetId="2112">
        <row r="8">
          <cell r="D8" t="str">
            <v>Paramaz Avedisian Building</v>
          </cell>
        </row>
      </sheetData>
      <sheetData sheetId="2113">
        <row r="8">
          <cell r="D8" t="str">
            <v>Paramaz Avedisian Building</v>
          </cell>
        </row>
      </sheetData>
      <sheetData sheetId="2114">
        <row r="8">
          <cell r="D8" t="str">
            <v>Paramaz Avedisian Building</v>
          </cell>
        </row>
      </sheetData>
      <sheetData sheetId="2115">
        <row r="8">
          <cell r="D8" t="str">
            <v>Paramaz Avedisian Building</v>
          </cell>
        </row>
      </sheetData>
      <sheetData sheetId="2116">
        <row r="8">
          <cell r="D8" t="str">
            <v>Paramaz Avedisian Building</v>
          </cell>
        </row>
      </sheetData>
      <sheetData sheetId="2117">
        <row r="8">
          <cell r="D8" t="str">
            <v>Paramaz Avedisian Building</v>
          </cell>
        </row>
      </sheetData>
      <sheetData sheetId="2118">
        <row r="8">
          <cell r="D8" t="str">
            <v>Paramaz Avedisian Building</v>
          </cell>
        </row>
      </sheetData>
      <sheetData sheetId="2119">
        <row r="8">
          <cell r="D8" t="str">
            <v>Paramaz Avedisian Building</v>
          </cell>
        </row>
      </sheetData>
      <sheetData sheetId="2120">
        <row r="8">
          <cell r="D8" t="str">
            <v>Paramaz Avedisian Building</v>
          </cell>
        </row>
      </sheetData>
      <sheetData sheetId="2121">
        <row r="8">
          <cell r="D8" t="str">
            <v>Paramaz Avedisian Building</v>
          </cell>
        </row>
      </sheetData>
      <sheetData sheetId="2122">
        <row r="8">
          <cell r="D8" t="str">
            <v>Paramaz Avedisian Building</v>
          </cell>
        </row>
      </sheetData>
      <sheetData sheetId="2123">
        <row r="8">
          <cell r="D8" t="str">
            <v>Paramaz Avedisian Building</v>
          </cell>
        </row>
      </sheetData>
      <sheetData sheetId="2124">
        <row r="8">
          <cell r="D8" t="str">
            <v>Paramaz Avedisian Building</v>
          </cell>
        </row>
      </sheetData>
      <sheetData sheetId="2125">
        <row r="8">
          <cell r="D8" t="str">
            <v>Paramaz Avedisian Building</v>
          </cell>
        </row>
      </sheetData>
      <sheetData sheetId="2126">
        <row r="8">
          <cell r="D8" t="str">
            <v>Paramaz Avedisian Building</v>
          </cell>
        </row>
      </sheetData>
      <sheetData sheetId="2127">
        <row r="8">
          <cell r="D8" t="str">
            <v>Paramaz Avedisian Building</v>
          </cell>
        </row>
      </sheetData>
      <sheetData sheetId="2128">
        <row r="8">
          <cell r="D8" t="str">
            <v>Paramaz Avedisian Building</v>
          </cell>
        </row>
      </sheetData>
      <sheetData sheetId="2129">
        <row r="8">
          <cell r="D8" t="str">
            <v>Paramaz Avedisian Building</v>
          </cell>
        </row>
      </sheetData>
      <sheetData sheetId="2130">
        <row r="8">
          <cell r="D8" t="str">
            <v>Paramaz Avedisian Building</v>
          </cell>
        </row>
      </sheetData>
      <sheetData sheetId="2131">
        <row r="8">
          <cell r="D8" t="str">
            <v>Paramaz Avedisian Building</v>
          </cell>
        </row>
      </sheetData>
      <sheetData sheetId="2132">
        <row r="8">
          <cell r="D8" t="str">
            <v>Paramaz Avedisian Building</v>
          </cell>
        </row>
      </sheetData>
      <sheetData sheetId="2133">
        <row r="8">
          <cell r="D8" t="str">
            <v>Paramaz Avedisian Building</v>
          </cell>
        </row>
      </sheetData>
      <sheetData sheetId="2134">
        <row r="8">
          <cell r="D8" t="str">
            <v>Paramaz Avedisian Building</v>
          </cell>
        </row>
      </sheetData>
      <sheetData sheetId="2135">
        <row r="8">
          <cell r="D8" t="str">
            <v>Paramaz Avedisian Building</v>
          </cell>
        </row>
      </sheetData>
      <sheetData sheetId="2136">
        <row r="8">
          <cell r="D8" t="str">
            <v>Paramaz Avedisian Building</v>
          </cell>
        </row>
      </sheetData>
      <sheetData sheetId="2137">
        <row r="8">
          <cell r="D8" t="str">
            <v>Paramaz Avedisian Building</v>
          </cell>
        </row>
      </sheetData>
      <sheetData sheetId="2138">
        <row r="8">
          <cell r="D8" t="str">
            <v>Paramaz Avedisian Building</v>
          </cell>
        </row>
      </sheetData>
      <sheetData sheetId="2139">
        <row r="8">
          <cell r="D8" t="str">
            <v>Paramaz Avedisian Building</v>
          </cell>
        </row>
      </sheetData>
      <sheetData sheetId="2140">
        <row r="8">
          <cell r="D8" t="str">
            <v>Paramaz Avedisian Building</v>
          </cell>
        </row>
      </sheetData>
      <sheetData sheetId="2141">
        <row r="8">
          <cell r="D8" t="str">
            <v>Paramaz Avedisian Building</v>
          </cell>
        </row>
      </sheetData>
      <sheetData sheetId="2142">
        <row r="8">
          <cell r="D8" t="str">
            <v>Paramaz Avedisian Building</v>
          </cell>
        </row>
      </sheetData>
      <sheetData sheetId="2143">
        <row r="8">
          <cell r="D8" t="str">
            <v>Paramaz Avedisian Building</v>
          </cell>
        </row>
      </sheetData>
      <sheetData sheetId="2144">
        <row r="8">
          <cell r="D8" t="str">
            <v>Paramaz Avedisian Building</v>
          </cell>
        </row>
      </sheetData>
      <sheetData sheetId="2145">
        <row r="8">
          <cell r="D8" t="str">
            <v>Paramaz Avedisian Building</v>
          </cell>
        </row>
      </sheetData>
      <sheetData sheetId="2146">
        <row r="8">
          <cell r="D8" t="str">
            <v>Paramaz Avedisian Building</v>
          </cell>
        </row>
      </sheetData>
      <sheetData sheetId="2147">
        <row r="8">
          <cell r="D8" t="str">
            <v>Paramaz Avedisian Building</v>
          </cell>
        </row>
      </sheetData>
      <sheetData sheetId="2148">
        <row r="8">
          <cell r="D8" t="str">
            <v>Paramaz Avedisian Building</v>
          </cell>
        </row>
      </sheetData>
      <sheetData sheetId="2149">
        <row r="8">
          <cell r="D8" t="str">
            <v>Paramaz Avedisian Building</v>
          </cell>
        </row>
      </sheetData>
      <sheetData sheetId="2150">
        <row r="8">
          <cell r="D8" t="str">
            <v>Paramaz Avedisian Building</v>
          </cell>
        </row>
      </sheetData>
      <sheetData sheetId="2151">
        <row r="8">
          <cell r="D8" t="str">
            <v>Paramaz Avedisian Building</v>
          </cell>
        </row>
      </sheetData>
      <sheetData sheetId="2152">
        <row r="8">
          <cell r="D8" t="str">
            <v>Paramaz Avedisian Building</v>
          </cell>
        </row>
      </sheetData>
      <sheetData sheetId="2153">
        <row r="8">
          <cell r="D8" t="str">
            <v>Paramaz Avedisian Building</v>
          </cell>
        </row>
      </sheetData>
      <sheetData sheetId="2154">
        <row r="8">
          <cell r="D8" t="str">
            <v>Paramaz Avedisian Building</v>
          </cell>
        </row>
      </sheetData>
      <sheetData sheetId="2155">
        <row r="8">
          <cell r="D8" t="str">
            <v>Paramaz Avedisian Building</v>
          </cell>
        </row>
      </sheetData>
      <sheetData sheetId="2156">
        <row r="8">
          <cell r="D8" t="str">
            <v>Paramaz Avedisian Building</v>
          </cell>
        </row>
      </sheetData>
      <sheetData sheetId="2157">
        <row r="8">
          <cell r="D8" t="str">
            <v>Paramaz Avedisian Building</v>
          </cell>
        </row>
      </sheetData>
      <sheetData sheetId="2158">
        <row r="8">
          <cell r="D8" t="str">
            <v>Paramaz Avedisian Building</v>
          </cell>
        </row>
      </sheetData>
      <sheetData sheetId="2159">
        <row r="8">
          <cell r="D8" t="str">
            <v>Paramaz Avedisian Building</v>
          </cell>
        </row>
      </sheetData>
      <sheetData sheetId="2160">
        <row r="8">
          <cell r="D8" t="str">
            <v>Paramaz Avedisian Building</v>
          </cell>
        </row>
      </sheetData>
      <sheetData sheetId="2161">
        <row r="8">
          <cell r="D8" t="str">
            <v>Paramaz Avedisian Building</v>
          </cell>
        </row>
      </sheetData>
      <sheetData sheetId="2162">
        <row r="8">
          <cell r="D8" t="str">
            <v>Paramaz Avedisian Building</v>
          </cell>
        </row>
      </sheetData>
      <sheetData sheetId="2163">
        <row r="8">
          <cell r="D8" t="str">
            <v>Paramaz Avedisian Building</v>
          </cell>
        </row>
      </sheetData>
      <sheetData sheetId="2164">
        <row r="8">
          <cell r="D8" t="str">
            <v>Paramaz Avedisian Building</v>
          </cell>
        </row>
      </sheetData>
      <sheetData sheetId="2165">
        <row r="8">
          <cell r="D8" t="str">
            <v>Paramaz Avedisian Building</v>
          </cell>
        </row>
      </sheetData>
      <sheetData sheetId="2166">
        <row r="8">
          <cell r="D8" t="str">
            <v>Paramaz Avedisian Building</v>
          </cell>
        </row>
      </sheetData>
      <sheetData sheetId="2167">
        <row r="8">
          <cell r="D8" t="str">
            <v>Paramaz Avedisian Building</v>
          </cell>
        </row>
      </sheetData>
      <sheetData sheetId="2168">
        <row r="8">
          <cell r="D8" t="str">
            <v>Paramaz Avedisian Building</v>
          </cell>
        </row>
      </sheetData>
      <sheetData sheetId="2169">
        <row r="8">
          <cell r="D8" t="str">
            <v>Paramaz Avedisian Building</v>
          </cell>
        </row>
      </sheetData>
      <sheetData sheetId="2170">
        <row r="8">
          <cell r="D8" t="str">
            <v>Paramaz Avedisian Building</v>
          </cell>
        </row>
      </sheetData>
      <sheetData sheetId="2171">
        <row r="8">
          <cell r="D8" t="str">
            <v>Paramaz Avedisian Building</v>
          </cell>
        </row>
      </sheetData>
      <sheetData sheetId="2172">
        <row r="8">
          <cell r="D8" t="str">
            <v>Paramaz Avedisian Building</v>
          </cell>
        </row>
      </sheetData>
      <sheetData sheetId="2173">
        <row r="8">
          <cell r="D8" t="str">
            <v>Paramaz Avedisian Building</v>
          </cell>
        </row>
      </sheetData>
      <sheetData sheetId="2174">
        <row r="8">
          <cell r="D8" t="str">
            <v>Paramaz Avedisian Building</v>
          </cell>
        </row>
      </sheetData>
      <sheetData sheetId="2175">
        <row r="8">
          <cell r="D8" t="str">
            <v>Paramaz Avedisian Building</v>
          </cell>
        </row>
      </sheetData>
      <sheetData sheetId="2176">
        <row r="8">
          <cell r="D8" t="str">
            <v>Paramaz Avedisian Building</v>
          </cell>
        </row>
      </sheetData>
      <sheetData sheetId="2177">
        <row r="8">
          <cell r="D8" t="str">
            <v>Paramaz Avedisian Building</v>
          </cell>
        </row>
      </sheetData>
      <sheetData sheetId="2178">
        <row r="8">
          <cell r="D8" t="str">
            <v>Paramaz Avedisian Building</v>
          </cell>
        </row>
      </sheetData>
      <sheetData sheetId="2179">
        <row r="8">
          <cell r="D8" t="str">
            <v>Paramaz Avedisian Building</v>
          </cell>
        </row>
      </sheetData>
      <sheetData sheetId="2180">
        <row r="8">
          <cell r="D8" t="str">
            <v>Paramaz Avedisian Building</v>
          </cell>
        </row>
      </sheetData>
      <sheetData sheetId="2181">
        <row r="8">
          <cell r="D8" t="str">
            <v>Paramaz Avedisian Building</v>
          </cell>
        </row>
      </sheetData>
      <sheetData sheetId="2182">
        <row r="8">
          <cell r="D8" t="str">
            <v>Paramaz Avedisian Building</v>
          </cell>
        </row>
      </sheetData>
      <sheetData sheetId="2183">
        <row r="8">
          <cell r="D8" t="str">
            <v>Paramaz Avedisian Building</v>
          </cell>
        </row>
      </sheetData>
      <sheetData sheetId="2184">
        <row r="8">
          <cell r="D8" t="str">
            <v>Paramaz Avedisian Building</v>
          </cell>
        </row>
      </sheetData>
      <sheetData sheetId="2185">
        <row r="8">
          <cell r="D8" t="str">
            <v>Paramaz Avedisian Building</v>
          </cell>
        </row>
      </sheetData>
      <sheetData sheetId="2186">
        <row r="8">
          <cell r="D8" t="str">
            <v>Paramaz Avedisian Building</v>
          </cell>
        </row>
      </sheetData>
      <sheetData sheetId="2187">
        <row r="8">
          <cell r="D8" t="str">
            <v>Paramaz Avedisian Building</v>
          </cell>
        </row>
      </sheetData>
      <sheetData sheetId="2188">
        <row r="8">
          <cell r="D8" t="str">
            <v>Paramaz Avedisian Building</v>
          </cell>
        </row>
      </sheetData>
      <sheetData sheetId="2189">
        <row r="8">
          <cell r="D8" t="str">
            <v>Paramaz Avedisian Building</v>
          </cell>
        </row>
      </sheetData>
      <sheetData sheetId="2190">
        <row r="8">
          <cell r="D8" t="str">
            <v>Paramaz Avedisian Building</v>
          </cell>
        </row>
      </sheetData>
      <sheetData sheetId="2191">
        <row r="8">
          <cell r="D8" t="str">
            <v>Paramaz Avedisian Building</v>
          </cell>
        </row>
      </sheetData>
      <sheetData sheetId="2192">
        <row r="8">
          <cell r="D8" t="str">
            <v>Paramaz Avedisian Building</v>
          </cell>
        </row>
      </sheetData>
      <sheetData sheetId="2193">
        <row r="8">
          <cell r="D8" t="str">
            <v>Paramaz Avedisian Building</v>
          </cell>
        </row>
      </sheetData>
      <sheetData sheetId="2194">
        <row r="8">
          <cell r="D8" t="str">
            <v>Paramaz Avedisian Building</v>
          </cell>
        </row>
      </sheetData>
      <sheetData sheetId="2195">
        <row r="8">
          <cell r="D8" t="str">
            <v>Paramaz Avedisian Building</v>
          </cell>
        </row>
      </sheetData>
      <sheetData sheetId="2196">
        <row r="8">
          <cell r="D8" t="str">
            <v>Paramaz Avedisian Building</v>
          </cell>
        </row>
      </sheetData>
      <sheetData sheetId="2197">
        <row r="8">
          <cell r="D8" t="str">
            <v>Paramaz Avedisian Building</v>
          </cell>
        </row>
      </sheetData>
      <sheetData sheetId="2198">
        <row r="8">
          <cell r="D8" t="str">
            <v>Paramaz Avedisian Building</v>
          </cell>
        </row>
      </sheetData>
      <sheetData sheetId="2199">
        <row r="8">
          <cell r="D8" t="str">
            <v>Paramaz Avedisian Building</v>
          </cell>
        </row>
      </sheetData>
      <sheetData sheetId="2200">
        <row r="8">
          <cell r="D8" t="str">
            <v>Paramaz Avedisian Building</v>
          </cell>
        </row>
      </sheetData>
      <sheetData sheetId="2201">
        <row r="8">
          <cell r="D8" t="str">
            <v>Paramaz Avedisian Building</v>
          </cell>
        </row>
      </sheetData>
      <sheetData sheetId="2202">
        <row r="8">
          <cell r="D8" t="str">
            <v>Paramaz Avedisian Building</v>
          </cell>
        </row>
      </sheetData>
      <sheetData sheetId="2203">
        <row r="8">
          <cell r="D8" t="str">
            <v>Paramaz Avedisian Building</v>
          </cell>
        </row>
      </sheetData>
      <sheetData sheetId="2204">
        <row r="8">
          <cell r="D8" t="str">
            <v>Paramaz Avedisian Building</v>
          </cell>
        </row>
      </sheetData>
      <sheetData sheetId="2205">
        <row r="8">
          <cell r="D8" t="str">
            <v>Paramaz Avedisian Building</v>
          </cell>
        </row>
      </sheetData>
      <sheetData sheetId="2206">
        <row r="8">
          <cell r="D8" t="str">
            <v>Paramaz Avedisian Building</v>
          </cell>
        </row>
      </sheetData>
      <sheetData sheetId="2207">
        <row r="8">
          <cell r="D8" t="str">
            <v>Paramaz Avedisian Building</v>
          </cell>
        </row>
      </sheetData>
      <sheetData sheetId="2208">
        <row r="8">
          <cell r="D8" t="str">
            <v>Paramaz Avedisian Building</v>
          </cell>
        </row>
      </sheetData>
      <sheetData sheetId="2209">
        <row r="8">
          <cell r="D8" t="str">
            <v>Paramaz Avedisian Building</v>
          </cell>
        </row>
      </sheetData>
      <sheetData sheetId="2210">
        <row r="8">
          <cell r="D8" t="str">
            <v>Paramaz Avedisian Building</v>
          </cell>
        </row>
      </sheetData>
      <sheetData sheetId="2211">
        <row r="8">
          <cell r="D8" t="str">
            <v>Paramaz Avedisian Building</v>
          </cell>
        </row>
      </sheetData>
      <sheetData sheetId="2212">
        <row r="8">
          <cell r="D8" t="str">
            <v>Paramaz Avedisian Building</v>
          </cell>
        </row>
      </sheetData>
      <sheetData sheetId="2213">
        <row r="8">
          <cell r="D8" t="str">
            <v>Paramaz Avedisian Building</v>
          </cell>
        </row>
      </sheetData>
      <sheetData sheetId="2214">
        <row r="8">
          <cell r="D8" t="str">
            <v>Paramaz Avedisian Building</v>
          </cell>
        </row>
      </sheetData>
      <sheetData sheetId="2215">
        <row r="8">
          <cell r="D8" t="str">
            <v>Paramaz Avedisian Building</v>
          </cell>
        </row>
      </sheetData>
      <sheetData sheetId="2216">
        <row r="8">
          <cell r="D8" t="str">
            <v>Paramaz Avedisian Building</v>
          </cell>
        </row>
      </sheetData>
      <sheetData sheetId="2217">
        <row r="8">
          <cell r="D8" t="str">
            <v>Paramaz Avedisian Building</v>
          </cell>
        </row>
      </sheetData>
      <sheetData sheetId="2218">
        <row r="8">
          <cell r="D8" t="str">
            <v>Paramaz Avedisian Building</v>
          </cell>
        </row>
      </sheetData>
      <sheetData sheetId="2219">
        <row r="8">
          <cell r="D8" t="str">
            <v>Paramaz Avedisian Building</v>
          </cell>
        </row>
      </sheetData>
      <sheetData sheetId="2220">
        <row r="8">
          <cell r="D8" t="str">
            <v>Paramaz Avedisian Building</v>
          </cell>
        </row>
      </sheetData>
      <sheetData sheetId="2221">
        <row r="8">
          <cell r="D8" t="str">
            <v>Paramaz Avedisian Building</v>
          </cell>
        </row>
      </sheetData>
      <sheetData sheetId="2222">
        <row r="8">
          <cell r="D8" t="str">
            <v>Paramaz Avedisian Building</v>
          </cell>
        </row>
      </sheetData>
      <sheetData sheetId="2223">
        <row r="8">
          <cell r="D8" t="str">
            <v>Paramaz Avedisian Building</v>
          </cell>
        </row>
      </sheetData>
      <sheetData sheetId="2224">
        <row r="8">
          <cell r="D8" t="str">
            <v>Paramaz Avedisian Building</v>
          </cell>
        </row>
      </sheetData>
      <sheetData sheetId="2225">
        <row r="8">
          <cell r="D8" t="str">
            <v>Paramaz Avedisian Building</v>
          </cell>
        </row>
      </sheetData>
      <sheetData sheetId="2226">
        <row r="8">
          <cell r="D8" t="str">
            <v>Paramaz Avedisian Building</v>
          </cell>
        </row>
      </sheetData>
      <sheetData sheetId="2227">
        <row r="8">
          <cell r="D8" t="str">
            <v>Paramaz Avedisian Building</v>
          </cell>
        </row>
      </sheetData>
      <sheetData sheetId="2228">
        <row r="8">
          <cell r="D8" t="str">
            <v>Paramaz Avedisian Building</v>
          </cell>
        </row>
      </sheetData>
      <sheetData sheetId="2229">
        <row r="8">
          <cell r="D8" t="str">
            <v>Paramaz Avedisian Building</v>
          </cell>
        </row>
      </sheetData>
      <sheetData sheetId="2230">
        <row r="8">
          <cell r="D8" t="str">
            <v>Paramaz Avedisian Building</v>
          </cell>
        </row>
      </sheetData>
      <sheetData sheetId="2231">
        <row r="8">
          <cell r="D8" t="str">
            <v>Paramaz Avedisian Building</v>
          </cell>
        </row>
      </sheetData>
      <sheetData sheetId="2232">
        <row r="8">
          <cell r="D8" t="str">
            <v>Paramaz Avedisian Building</v>
          </cell>
        </row>
      </sheetData>
      <sheetData sheetId="2233">
        <row r="8">
          <cell r="D8" t="str">
            <v>Paramaz Avedisian Building</v>
          </cell>
        </row>
      </sheetData>
      <sheetData sheetId="2234">
        <row r="8">
          <cell r="D8" t="str">
            <v>Paramaz Avedisian Building</v>
          </cell>
        </row>
      </sheetData>
      <sheetData sheetId="2235">
        <row r="8">
          <cell r="D8" t="str">
            <v>Paramaz Avedisian Building</v>
          </cell>
        </row>
      </sheetData>
      <sheetData sheetId="2236">
        <row r="8">
          <cell r="D8" t="str">
            <v>Paramaz Avedisian Building</v>
          </cell>
        </row>
      </sheetData>
      <sheetData sheetId="2237">
        <row r="8">
          <cell r="D8" t="str">
            <v>Paramaz Avedisian Building</v>
          </cell>
        </row>
      </sheetData>
      <sheetData sheetId="2238">
        <row r="8">
          <cell r="D8" t="str">
            <v>Paramaz Avedisian Building</v>
          </cell>
        </row>
      </sheetData>
      <sheetData sheetId="2239">
        <row r="8">
          <cell r="D8" t="str">
            <v>Paramaz Avedisian Building</v>
          </cell>
        </row>
      </sheetData>
      <sheetData sheetId="2240">
        <row r="8">
          <cell r="D8" t="str">
            <v>Paramaz Avedisian Building</v>
          </cell>
        </row>
      </sheetData>
      <sheetData sheetId="2241">
        <row r="8">
          <cell r="D8" t="str">
            <v>Paramaz Avedisian Building</v>
          </cell>
        </row>
      </sheetData>
      <sheetData sheetId="2242">
        <row r="8">
          <cell r="D8" t="str">
            <v>Paramaz Avedisian Building</v>
          </cell>
        </row>
      </sheetData>
      <sheetData sheetId="2243">
        <row r="8">
          <cell r="D8" t="str">
            <v>Paramaz Avedisian Building</v>
          </cell>
        </row>
      </sheetData>
      <sheetData sheetId="2244">
        <row r="8">
          <cell r="D8" t="str">
            <v>Paramaz Avedisian Building</v>
          </cell>
        </row>
      </sheetData>
      <sheetData sheetId="2245">
        <row r="8">
          <cell r="D8" t="str">
            <v>Paramaz Avedisian Building</v>
          </cell>
        </row>
      </sheetData>
      <sheetData sheetId="2246">
        <row r="8">
          <cell r="D8" t="str">
            <v>Paramaz Avedisian Building</v>
          </cell>
        </row>
      </sheetData>
      <sheetData sheetId="2247">
        <row r="8">
          <cell r="D8" t="str">
            <v>Paramaz Avedisian Building</v>
          </cell>
        </row>
      </sheetData>
      <sheetData sheetId="2248">
        <row r="8">
          <cell r="D8" t="str">
            <v>Paramaz Avedisian Building</v>
          </cell>
        </row>
      </sheetData>
      <sheetData sheetId="2249">
        <row r="8">
          <cell r="D8" t="str">
            <v>Paramaz Avedisian Building</v>
          </cell>
        </row>
      </sheetData>
      <sheetData sheetId="2250">
        <row r="8">
          <cell r="D8" t="str">
            <v>Paramaz Avedisian Building</v>
          </cell>
        </row>
      </sheetData>
      <sheetData sheetId="2251">
        <row r="8">
          <cell r="D8" t="str">
            <v>Paramaz Avedisian Building</v>
          </cell>
        </row>
      </sheetData>
      <sheetData sheetId="2252">
        <row r="8">
          <cell r="D8" t="str">
            <v>Paramaz Avedisian Building</v>
          </cell>
        </row>
      </sheetData>
      <sheetData sheetId="2253">
        <row r="8">
          <cell r="D8" t="str">
            <v>Paramaz Avedisian Building</v>
          </cell>
        </row>
      </sheetData>
      <sheetData sheetId="2254">
        <row r="8">
          <cell r="D8" t="str">
            <v>Paramaz Avedisian Building</v>
          </cell>
        </row>
      </sheetData>
      <sheetData sheetId="2255">
        <row r="8">
          <cell r="D8" t="str">
            <v>Paramaz Avedisian Building</v>
          </cell>
        </row>
      </sheetData>
      <sheetData sheetId="2256">
        <row r="8">
          <cell r="D8" t="str">
            <v>Paramaz Avedisian Building</v>
          </cell>
        </row>
      </sheetData>
      <sheetData sheetId="2257">
        <row r="8">
          <cell r="D8" t="str">
            <v>Paramaz Avedisian Building</v>
          </cell>
        </row>
      </sheetData>
      <sheetData sheetId="2258">
        <row r="8">
          <cell r="D8" t="str">
            <v>Paramaz Avedisian Building</v>
          </cell>
        </row>
      </sheetData>
      <sheetData sheetId="2259">
        <row r="8">
          <cell r="D8" t="str">
            <v>Paramaz Avedisian Building</v>
          </cell>
        </row>
      </sheetData>
      <sheetData sheetId="2260">
        <row r="8">
          <cell r="D8" t="str">
            <v>Paramaz Avedisian Building</v>
          </cell>
        </row>
      </sheetData>
      <sheetData sheetId="2261">
        <row r="8">
          <cell r="D8" t="str">
            <v>Paramaz Avedisian Building</v>
          </cell>
        </row>
      </sheetData>
      <sheetData sheetId="2262">
        <row r="8">
          <cell r="D8" t="str">
            <v>Paramaz Avedisian Building</v>
          </cell>
        </row>
      </sheetData>
      <sheetData sheetId="2263">
        <row r="8">
          <cell r="D8" t="str">
            <v>Paramaz Avedisian Building</v>
          </cell>
        </row>
      </sheetData>
      <sheetData sheetId="2264">
        <row r="8">
          <cell r="D8" t="str">
            <v>Paramaz Avedisian Building</v>
          </cell>
        </row>
      </sheetData>
      <sheetData sheetId="2265">
        <row r="8">
          <cell r="D8" t="str">
            <v>Paramaz Avedisian Building</v>
          </cell>
        </row>
      </sheetData>
      <sheetData sheetId="2266">
        <row r="8">
          <cell r="D8" t="str">
            <v>Paramaz Avedisian Building</v>
          </cell>
        </row>
      </sheetData>
      <sheetData sheetId="2267">
        <row r="8">
          <cell r="D8" t="str">
            <v>Paramaz Avedisian Building</v>
          </cell>
        </row>
      </sheetData>
      <sheetData sheetId="2268">
        <row r="8">
          <cell r="D8" t="str">
            <v>Paramaz Avedisian Building</v>
          </cell>
        </row>
      </sheetData>
      <sheetData sheetId="2269">
        <row r="8">
          <cell r="D8" t="str">
            <v>Paramaz Avedisian Building</v>
          </cell>
        </row>
      </sheetData>
      <sheetData sheetId="2270">
        <row r="8">
          <cell r="D8" t="str">
            <v>Paramaz Avedisian Building</v>
          </cell>
        </row>
      </sheetData>
      <sheetData sheetId="2271">
        <row r="8">
          <cell r="D8" t="str">
            <v>Paramaz Avedisian Building</v>
          </cell>
        </row>
      </sheetData>
      <sheetData sheetId="2272">
        <row r="8">
          <cell r="D8" t="str">
            <v>Paramaz Avedisian Building</v>
          </cell>
        </row>
      </sheetData>
      <sheetData sheetId="2273">
        <row r="8">
          <cell r="D8" t="str">
            <v>Paramaz Avedisian Building</v>
          </cell>
        </row>
      </sheetData>
      <sheetData sheetId="2274">
        <row r="8">
          <cell r="D8" t="str">
            <v>Paramaz Avedisian Building</v>
          </cell>
        </row>
      </sheetData>
      <sheetData sheetId="2275">
        <row r="8">
          <cell r="D8" t="str">
            <v>Paramaz Avedisian Building</v>
          </cell>
        </row>
      </sheetData>
      <sheetData sheetId="2276">
        <row r="8">
          <cell r="D8" t="str">
            <v>Paramaz Avedisian Building</v>
          </cell>
        </row>
      </sheetData>
      <sheetData sheetId="2277">
        <row r="8">
          <cell r="D8" t="str">
            <v>Paramaz Avedisian Building</v>
          </cell>
        </row>
      </sheetData>
      <sheetData sheetId="2278">
        <row r="8">
          <cell r="D8" t="str">
            <v>Paramaz Avedisian Building</v>
          </cell>
        </row>
      </sheetData>
      <sheetData sheetId="2279">
        <row r="8">
          <cell r="D8" t="str">
            <v>Paramaz Avedisian Building</v>
          </cell>
        </row>
      </sheetData>
      <sheetData sheetId="2280">
        <row r="8">
          <cell r="D8" t="str">
            <v>Paramaz Avedisian Building</v>
          </cell>
        </row>
      </sheetData>
      <sheetData sheetId="2281">
        <row r="8">
          <cell r="D8" t="str">
            <v>Paramaz Avedisian Building</v>
          </cell>
        </row>
      </sheetData>
      <sheetData sheetId="2282">
        <row r="8">
          <cell r="D8" t="str">
            <v>Paramaz Avedisian Building</v>
          </cell>
        </row>
      </sheetData>
      <sheetData sheetId="2283">
        <row r="8">
          <cell r="D8" t="str">
            <v>Paramaz Avedisian Building</v>
          </cell>
        </row>
      </sheetData>
      <sheetData sheetId="2284">
        <row r="8">
          <cell r="D8" t="str">
            <v>Paramaz Avedisian Building</v>
          </cell>
        </row>
      </sheetData>
      <sheetData sheetId="2285">
        <row r="8">
          <cell r="D8" t="str">
            <v>Paramaz Avedisian Building</v>
          </cell>
        </row>
      </sheetData>
      <sheetData sheetId="2286">
        <row r="8">
          <cell r="D8" t="str">
            <v>Paramaz Avedisian Building</v>
          </cell>
        </row>
      </sheetData>
      <sheetData sheetId="2287">
        <row r="8">
          <cell r="D8" t="str">
            <v>Paramaz Avedisian Building</v>
          </cell>
        </row>
      </sheetData>
      <sheetData sheetId="2288">
        <row r="8">
          <cell r="D8" t="str">
            <v>Paramaz Avedisian Building</v>
          </cell>
        </row>
      </sheetData>
      <sheetData sheetId="2289">
        <row r="8">
          <cell r="D8" t="str">
            <v>Paramaz Avedisian Building</v>
          </cell>
        </row>
      </sheetData>
      <sheetData sheetId="2290">
        <row r="8">
          <cell r="D8" t="str">
            <v>Paramaz Avedisian Building</v>
          </cell>
        </row>
      </sheetData>
      <sheetData sheetId="2291">
        <row r="8">
          <cell r="D8" t="str">
            <v>Paramaz Avedisian Building</v>
          </cell>
        </row>
      </sheetData>
      <sheetData sheetId="2292">
        <row r="8">
          <cell r="D8" t="str">
            <v>Paramaz Avedisian Building</v>
          </cell>
        </row>
      </sheetData>
      <sheetData sheetId="2293">
        <row r="8">
          <cell r="D8" t="str">
            <v>Paramaz Avedisian Building</v>
          </cell>
        </row>
      </sheetData>
      <sheetData sheetId="2294">
        <row r="8">
          <cell r="D8" t="str">
            <v>Paramaz Avedisian Building</v>
          </cell>
        </row>
      </sheetData>
      <sheetData sheetId="2295">
        <row r="8">
          <cell r="D8" t="str">
            <v>Paramaz Avedisian Building</v>
          </cell>
        </row>
      </sheetData>
      <sheetData sheetId="2296">
        <row r="8">
          <cell r="D8" t="str">
            <v>Paramaz Avedisian Building</v>
          </cell>
        </row>
      </sheetData>
      <sheetData sheetId="2297">
        <row r="8">
          <cell r="D8" t="str">
            <v>Paramaz Avedisian Building</v>
          </cell>
        </row>
      </sheetData>
      <sheetData sheetId="2298">
        <row r="8">
          <cell r="D8" t="str">
            <v>Paramaz Avedisian Building</v>
          </cell>
        </row>
      </sheetData>
      <sheetData sheetId="2299">
        <row r="8">
          <cell r="D8" t="str">
            <v>Paramaz Avedisian Building</v>
          </cell>
        </row>
      </sheetData>
      <sheetData sheetId="2300">
        <row r="8">
          <cell r="D8" t="str">
            <v>Paramaz Avedisian Building</v>
          </cell>
        </row>
      </sheetData>
      <sheetData sheetId="2301">
        <row r="8">
          <cell r="D8" t="str">
            <v>Paramaz Avedisian Building</v>
          </cell>
        </row>
      </sheetData>
      <sheetData sheetId="2302">
        <row r="8">
          <cell r="D8" t="str">
            <v>Paramaz Avedisian Building</v>
          </cell>
        </row>
      </sheetData>
      <sheetData sheetId="2303">
        <row r="8">
          <cell r="D8" t="str">
            <v>Paramaz Avedisian Building</v>
          </cell>
        </row>
      </sheetData>
      <sheetData sheetId="2304">
        <row r="8">
          <cell r="D8" t="str">
            <v>Paramaz Avedisian Building</v>
          </cell>
        </row>
      </sheetData>
      <sheetData sheetId="2305">
        <row r="8">
          <cell r="D8" t="str">
            <v>Paramaz Avedisian Building</v>
          </cell>
        </row>
      </sheetData>
      <sheetData sheetId="2306">
        <row r="8">
          <cell r="D8" t="str">
            <v>Paramaz Avedisian Building</v>
          </cell>
        </row>
      </sheetData>
      <sheetData sheetId="2307">
        <row r="8">
          <cell r="D8" t="str">
            <v>Paramaz Avedisian Building</v>
          </cell>
        </row>
      </sheetData>
      <sheetData sheetId="2308">
        <row r="8">
          <cell r="D8" t="str">
            <v>Paramaz Avedisian Building</v>
          </cell>
        </row>
      </sheetData>
      <sheetData sheetId="2309">
        <row r="8">
          <cell r="D8" t="str">
            <v>Paramaz Avedisian Building</v>
          </cell>
        </row>
      </sheetData>
      <sheetData sheetId="2310">
        <row r="8">
          <cell r="D8" t="str">
            <v>Paramaz Avedisian Building</v>
          </cell>
        </row>
      </sheetData>
      <sheetData sheetId="2311">
        <row r="8">
          <cell r="D8" t="str">
            <v>Paramaz Avedisian Building</v>
          </cell>
        </row>
      </sheetData>
      <sheetData sheetId="2312">
        <row r="8">
          <cell r="D8" t="str">
            <v>Paramaz Avedisian Building</v>
          </cell>
        </row>
      </sheetData>
      <sheetData sheetId="2313">
        <row r="8">
          <cell r="D8" t="str">
            <v>Paramaz Avedisian Building</v>
          </cell>
        </row>
      </sheetData>
      <sheetData sheetId="2314">
        <row r="8">
          <cell r="D8" t="str">
            <v>Paramaz Avedisian Building</v>
          </cell>
        </row>
      </sheetData>
      <sheetData sheetId="2315">
        <row r="8">
          <cell r="D8" t="str">
            <v>Paramaz Avedisian Building</v>
          </cell>
        </row>
      </sheetData>
      <sheetData sheetId="2316">
        <row r="8">
          <cell r="D8" t="str">
            <v>Paramaz Avedisian Building</v>
          </cell>
        </row>
      </sheetData>
      <sheetData sheetId="2317">
        <row r="8">
          <cell r="D8" t="str">
            <v>Paramaz Avedisian Building</v>
          </cell>
        </row>
      </sheetData>
      <sheetData sheetId="2318">
        <row r="8">
          <cell r="D8" t="str">
            <v>Paramaz Avedisian Building</v>
          </cell>
        </row>
      </sheetData>
      <sheetData sheetId="2319">
        <row r="8">
          <cell r="D8" t="str">
            <v>Paramaz Avedisian Building</v>
          </cell>
        </row>
      </sheetData>
      <sheetData sheetId="2320">
        <row r="8">
          <cell r="D8" t="str">
            <v>Paramaz Avedisian Building</v>
          </cell>
        </row>
      </sheetData>
      <sheetData sheetId="2321">
        <row r="8">
          <cell r="D8" t="str">
            <v>Paramaz Avedisian Building</v>
          </cell>
        </row>
      </sheetData>
      <sheetData sheetId="2322">
        <row r="8">
          <cell r="D8" t="str">
            <v>Paramaz Avedisian Building</v>
          </cell>
        </row>
      </sheetData>
      <sheetData sheetId="2323">
        <row r="8">
          <cell r="D8" t="str">
            <v>Paramaz Avedisian Building</v>
          </cell>
        </row>
      </sheetData>
      <sheetData sheetId="2324">
        <row r="8">
          <cell r="D8" t="str">
            <v>Paramaz Avedisian Building</v>
          </cell>
        </row>
      </sheetData>
      <sheetData sheetId="2325">
        <row r="8">
          <cell r="D8" t="str">
            <v>Paramaz Avedisian Building</v>
          </cell>
        </row>
      </sheetData>
      <sheetData sheetId="2326">
        <row r="8">
          <cell r="D8" t="str">
            <v>Paramaz Avedisian Building</v>
          </cell>
        </row>
      </sheetData>
      <sheetData sheetId="2327">
        <row r="8">
          <cell r="D8" t="str">
            <v>Paramaz Avedisian Building</v>
          </cell>
        </row>
      </sheetData>
      <sheetData sheetId="2328">
        <row r="8">
          <cell r="D8" t="str">
            <v>Paramaz Avedisian Building</v>
          </cell>
        </row>
      </sheetData>
      <sheetData sheetId="2329">
        <row r="8">
          <cell r="D8" t="str">
            <v>Paramaz Avedisian Building</v>
          </cell>
        </row>
      </sheetData>
      <sheetData sheetId="2330">
        <row r="8">
          <cell r="D8" t="str">
            <v>Paramaz Avedisian Building</v>
          </cell>
        </row>
      </sheetData>
      <sheetData sheetId="2331">
        <row r="8">
          <cell r="D8" t="str">
            <v>Paramaz Avedisian Building</v>
          </cell>
        </row>
      </sheetData>
      <sheetData sheetId="2332">
        <row r="8">
          <cell r="D8" t="str">
            <v>Paramaz Avedisian Building</v>
          </cell>
        </row>
      </sheetData>
      <sheetData sheetId="2333">
        <row r="8">
          <cell r="D8" t="str">
            <v>Paramaz Avedisian Building</v>
          </cell>
        </row>
      </sheetData>
      <sheetData sheetId="2334">
        <row r="8">
          <cell r="D8" t="str">
            <v>Paramaz Avedisian Building</v>
          </cell>
        </row>
      </sheetData>
      <sheetData sheetId="2335">
        <row r="8">
          <cell r="D8" t="str">
            <v>Paramaz Avedisian Building</v>
          </cell>
        </row>
      </sheetData>
      <sheetData sheetId="2336">
        <row r="8">
          <cell r="D8" t="str">
            <v>Paramaz Avedisian Building</v>
          </cell>
        </row>
      </sheetData>
      <sheetData sheetId="2337">
        <row r="8">
          <cell r="D8" t="str">
            <v>Paramaz Avedisian Building</v>
          </cell>
        </row>
      </sheetData>
      <sheetData sheetId="2338">
        <row r="8">
          <cell r="D8" t="str">
            <v>Paramaz Avedisian Building</v>
          </cell>
        </row>
      </sheetData>
      <sheetData sheetId="2339">
        <row r="8">
          <cell r="D8" t="str">
            <v>Paramaz Avedisian Building</v>
          </cell>
        </row>
      </sheetData>
      <sheetData sheetId="2340">
        <row r="8">
          <cell r="D8" t="str">
            <v>Paramaz Avedisian Building</v>
          </cell>
        </row>
      </sheetData>
      <sheetData sheetId="2341">
        <row r="8">
          <cell r="D8" t="str">
            <v>Paramaz Avedisian Building</v>
          </cell>
        </row>
      </sheetData>
      <sheetData sheetId="2342">
        <row r="8">
          <cell r="D8" t="str">
            <v>Paramaz Avedisian Building</v>
          </cell>
        </row>
      </sheetData>
      <sheetData sheetId="2343">
        <row r="8">
          <cell r="D8" t="str">
            <v>Paramaz Avedisian Building</v>
          </cell>
        </row>
      </sheetData>
      <sheetData sheetId="2344">
        <row r="8">
          <cell r="D8" t="str">
            <v>Paramaz Avedisian Building</v>
          </cell>
        </row>
      </sheetData>
      <sheetData sheetId="2345">
        <row r="8">
          <cell r="D8" t="str">
            <v>Paramaz Avedisian Building</v>
          </cell>
        </row>
      </sheetData>
      <sheetData sheetId="2346">
        <row r="8">
          <cell r="D8" t="str">
            <v>Paramaz Avedisian Building</v>
          </cell>
        </row>
      </sheetData>
      <sheetData sheetId="2347">
        <row r="8">
          <cell r="D8" t="str">
            <v>Paramaz Avedisian Building</v>
          </cell>
        </row>
      </sheetData>
      <sheetData sheetId="2348">
        <row r="8">
          <cell r="D8" t="str">
            <v>Paramaz Avedisian Building</v>
          </cell>
        </row>
      </sheetData>
      <sheetData sheetId="2349">
        <row r="8">
          <cell r="D8" t="str">
            <v>Paramaz Avedisian Building</v>
          </cell>
        </row>
      </sheetData>
      <sheetData sheetId="2350">
        <row r="8">
          <cell r="D8" t="str">
            <v>Paramaz Avedisian Building</v>
          </cell>
        </row>
      </sheetData>
      <sheetData sheetId="2351">
        <row r="8">
          <cell r="D8" t="str">
            <v>Paramaz Avedisian Building</v>
          </cell>
        </row>
      </sheetData>
      <sheetData sheetId="2352">
        <row r="8">
          <cell r="D8" t="str">
            <v>Paramaz Avedisian Building</v>
          </cell>
        </row>
      </sheetData>
      <sheetData sheetId="2353">
        <row r="8">
          <cell r="D8" t="str">
            <v>Paramaz Avedisian Building</v>
          </cell>
        </row>
      </sheetData>
      <sheetData sheetId="2354">
        <row r="8">
          <cell r="D8" t="str">
            <v>Paramaz Avedisian Building</v>
          </cell>
        </row>
      </sheetData>
      <sheetData sheetId="2355">
        <row r="8">
          <cell r="D8" t="str">
            <v>Paramaz Avedisian Building</v>
          </cell>
        </row>
      </sheetData>
      <sheetData sheetId="2356">
        <row r="8">
          <cell r="D8" t="str">
            <v>Paramaz Avedisian Building</v>
          </cell>
        </row>
      </sheetData>
      <sheetData sheetId="2357">
        <row r="8">
          <cell r="D8" t="str">
            <v>Paramaz Avedisian Building</v>
          </cell>
        </row>
      </sheetData>
      <sheetData sheetId="2358">
        <row r="8">
          <cell r="D8" t="str">
            <v>Paramaz Avedisian Building</v>
          </cell>
        </row>
      </sheetData>
      <sheetData sheetId="2359">
        <row r="8">
          <cell r="D8" t="str">
            <v>Paramaz Avedisian Building</v>
          </cell>
        </row>
      </sheetData>
      <sheetData sheetId="2360">
        <row r="8">
          <cell r="D8" t="str">
            <v>Paramaz Avedisian Building</v>
          </cell>
        </row>
      </sheetData>
      <sheetData sheetId="2361">
        <row r="8">
          <cell r="D8" t="str">
            <v>Paramaz Avedisian Building</v>
          </cell>
        </row>
      </sheetData>
      <sheetData sheetId="2362">
        <row r="8">
          <cell r="D8" t="str">
            <v>Paramaz Avedisian Building</v>
          </cell>
        </row>
      </sheetData>
      <sheetData sheetId="2363">
        <row r="8">
          <cell r="D8" t="str">
            <v>Paramaz Avedisian Building</v>
          </cell>
        </row>
      </sheetData>
      <sheetData sheetId="2364">
        <row r="8">
          <cell r="D8" t="str">
            <v>Paramaz Avedisian Building</v>
          </cell>
        </row>
      </sheetData>
      <sheetData sheetId="2365">
        <row r="8">
          <cell r="D8" t="str">
            <v>Paramaz Avedisian Building</v>
          </cell>
        </row>
      </sheetData>
      <sheetData sheetId="2366">
        <row r="8">
          <cell r="D8" t="str">
            <v>Paramaz Avedisian Building</v>
          </cell>
        </row>
      </sheetData>
      <sheetData sheetId="2367">
        <row r="8">
          <cell r="D8" t="str">
            <v>Paramaz Avedisian Building</v>
          </cell>
        </row>
      </sheetData>
      <sheetData sheetId="2368">
        <row r="8">
          <cell r="D8" t="str">
            <v>Paramaz Avedisian Building</v>
          </cell>
        </row>
      </sheetData>
      <sheetData sheetId="2369">
        <row r="8">
          <cell r="D8" t="str">
            <v>Paramaz Avedisian Building</v>
          </cell>
        </row>
      </sheetData>
      <sheetData sheetId="2370">
        <row r="8">
          <cell r="D8" t="str">
            <v>Paramaz Avedisian Building</v>
          </cell>
        </row>
      </sheetData>
      <sheetData sheetId="2371">
        <row r="8">
          <cell r="D8" t="str">
            <v>Paramaz Avedisian Building</v>
          </cell>
        </row>
      </sheetData>
      <sheetData sheetId="2372">
        <row r="8">
          <cell r="D8" t="str">
            <v>Paramaz Avedisian Building</v>
          </cell>
        </row>
      </sheetData>
      <sheetData sheetId="2373">
        <row r="8">
          <cell r="D8" t="str">
            <v>Paramaz Avedisian Building</v>
          </cell>
        </row>
      </sheetData>
      <sheetData sheetId="2374">
        <row r="8">
          <cell r="D8" t="str">
            <v>Paramaz Avedisian Building</v>
          </cell>
        </row>
      </sheetData>
      <sheetData sheetId="2375">
        <row r="8">
          <cell r="D8" t="str">
            <v>Paramaz Avedisian Building</v>
          </cell>
        </row>
      </sheetData>
      <sheetData sheetId="2376">
        <row r="8">
          <cell r="D8" t="str">
            <v>Paramaz Avedisian Building</v>
          </cell>
        </row>
      </sheetData>
      <sheetData sheetId="2377">
        <row r="8">
          <cell r="D8" t="str">
            <v>Paramaz Avedisian Building</v>
          </cell>
        </row>
      </sheetData>
      <sheetData sheetId="2378">
        <row r="8">
          <cell r="D8" t="str">
            <v>Paramaz Avedisian Building</v>
          </cell>
        </row>
      </sheetData>
      <sheetData sheetId="2379">
        <row r="8">
          <cell r="D8" t="str">
            <v>Paramaz Avedisian Building</v>
          </cell>
        </row>
      </sheetData>
      <sheetData sheetId="2380">
        <row r="8">
          <cell r="D8" t="str">
            <v>Paramaz Avedisian Building</v>
          </cell>
        </row>
      </sheetData>
      <sheetData sheetId="2381">
        <row r="8">
          <cell r="D8" t="str">
            <v>Paramaz Avedisian Building</v>
          </cell>
        </row>
      </sheetData>
      <sheetData sheetId="2382">
        <row r="8">
          <cell r="D8" t="str">
            <v>Paramaz Avedisian Building</v>
          </cell>
        </row>
      </sheetData>
      <sheetData sheetId="2383">
        <row r="8">
          <cell r="D8" t="str">
            <v>Paramaz Avedisian Building</v>
          </cell>
        </row>
      </sheetData>
      <sheetData sheetId="2384">
        <row r="8">
          <cell r="D8" t="str">
            <v>Paramaz Avedisian Building</v>
          </cell>
        </row>
      </sheetData>
      <sheetData sheetId="2385">
        <row r="8">
          <cell r="D8" t="str">
            <v>Paramaz Avedisian Building</v>
          </cell>
        </row>
      </sheetData>
      <sheetData sheetId="2386">
        <row r="8">
          <cell r="D8" t="str">
            <v>Paramaz Avedisian Building</v>
          </cell>
        </row>
      </sheetData>
      <sheetData sheetId="2387">
        <row r="8">
          <cell r="D8" t="str">
            <v>Paramaz Avedisian Building</v>
          </cell>
        </row>
      </sheetData>
      <sheetData sheetId="2388">
        <row r="8">
          <cell r="D8" t="str">
            <v>Paramaz Avedisian Building</v>
          </cell>
        </row>
      </sheetData>
      <sheetData sheetId="2389">
        <row r="8">
          <cell r="D8" t="str">
            <v>Paramaz Avedisian Building</v>
          </cell>
        </row>
      </sheetData>
      <sheetData sheetId="2390">
        <row r="8">
          <cell r="D8" t="str">
            <v>Paramaz Avedisian Building</v>
          </cell>
        </row>
      </sheetData>
      <sheetData sheetId="2391">
        <row r="8">
          <cell r="D8" t="str">
            <v>Paramaz Avedisian Building</v>
          </cell>
        </row>
      </sheetData>
      <sheetData sheetId="2392">
        <row r="8">
          <cell r="D8" t="str">
            <v>Paramaz Avedisian Building</v>
          </cell>
        </row>
      </sheetData>
      <sheetData sheetId="2393">
        <row r="8">
          <cell r="D8" t="str">
            <v>Paramaz Avedisian Building</v>
          </cell>
        </row>
      </sheetData>
      <sheetData sheetId="2394">
        <row r="8">
          <cell r="D8" t="str">
            <v>Paramaz Avedisian Building</v>
          </cell>
        </row>
      </sheetData>
      <sheetData sheetId="2395">
        <row r="8">
          <cell r="D8" t="str">
            <v>Paramaz Avedisian Building</v>
          </cell>
        </row>
      </sheetData>
      <sheetData sheetId="2396">
        <row r="8">
          <cell r="D8" t="str">
            <v>Paramaz Avedisian Building</v>
          </cell>
        </row>
      </sheetData>
      <sheetData sheetId="2397">
        <row r="8">
          <cell r="D8" t="str">
            <v>Paramaz Avedisian Building</v>
          </cell>
        </row>
      </sheetData>
      <sheetData sheetId="2398">
        <row r="8">
          <cell r="D8" t="str">
            <v>Paramaz Avedisian Building</v>
          </cell>
        </row>
      </sheetData>
      <sheetData sheetId="2399">
        <row r="8">
          <cell r="D8" t="str">
            <v>Paramaz Avedisian Building</v>
          </cell>
        </row>
      </sheetData>
      <sheetData sheetId="2400">
        <row r="8">
          <cell r="D8" t="str">
            <v>Paramaz Avedisian Building</v>
          </cell>
        </row>
      </sheetData>
      <sheetData sheetId="2401">
        <row r="8">
          <cell r="D8" t="str">
            <v>Paramaz Avedisian Building</v>
          </cell>
        </row>
      </sheetData>
      <sheetData sheetId="2402">
        <row r="8">
          <cell r="D8" t="str">
            <v>Paramaz Avedisian Building</v>
          </cell>
        </row>
      </sheetData>
      <sheetData sheetId="2403">
        <row r="8">
          <cell r="D8" t="str">
            <v>Paramaz Avedisian Building</v>
          </cell>
        </row>
      </sheetData>
      <sheetData sheetId="2404">
        <row r="8">
          <cell r="D8" t="str">
            <v>Paramaz Avedisian Building</v>
          </cell>
        </row>
      </sheetData>
      <sheetData sheetId="2405">
        <row r="8">
          <cell r="D8" t="str">
            <v>Paramaz Avedisian Building</v>
          </cell>
        </row>
      </sheetData>
      <sheetData sheetId="2406">
        <row r="8">
          <cell r="D8" t="str">
            <v>Paramaz Avedisian Building</v>
          </cell>
        </row>
      </sheetData>
      <sheetData sheetId="2407">
        <row r="8">
          <cell r="D8" t="str">
            <v>Paramaz Avedisian Building</v>
          </cell>
        </row>
      </sheetData>
      <sheetData sheetId="2408">
        <row r="8">
          <cell r="D8" t="str">
            <v>Paramaz Avedisian Building</v>
          </cell>
        </row>
      </sheetData>
      <sheetData sheetId="2409">
        <row r="8">
          <cell r="D8" t="str">
            <v>Paramaz Avedisian Building</v>
          </cell>
        </row>
      </sheetData>
      <sheetData sheetId="2410">
        <row r="8">
          <cell r="D8" t="str">
            <v>Paramaz Avedisian Building</v>
          </cell>
        </row>
      </sheetData>
      <sheetData sheetId="2411">
        <row r="8">
          <cell r="D8" t="str">
            <v>Paramaz Avedisian Building</v>
          </cell>
        </row>
      </sheetData>
      <sheetData sheetId="2412">
        <row r="8">
          <cell r="D8" t="str">
            <v>Paramaz Avedisian Building</v>
          </cell>
        </row>
      </sheetData>
      <sheetData sheetId="2413">
        <row r="8">
          <cell r="D8" t="str">
            <v>Paramaz Avedisian Building</v>
          </cell>
        </row>
      </sheetData>
      <sheetData sheetId="2414">
        <row r="8">
          <cell r="D8" t="str">
            <v>Paramaz Avedisian Building</v>
          </cell>
        </row>
      </sheetData>
      <sheetData sheetId="2415">
        <row r="8">
          <cell r="D8" t="str">
            <v>Paramaz Avedisian Building</v>
          </cell>
        </row>
      </sheetData>
      <sheetData sheetId="2416">
        <row r="8">
          <cell r="D8" t="str">
            <v>Paramaz Avedisian Building</v>
          </cell>
        </row>
      </sheetData>
      <sheetData sheetId="2417">
        <row r="8">
          <cell r="D8" t="str">
            <v>Paramaz Avedisian Building</v>
          </cell>
        </row>
      </sheetData>
      <sheetData sheetId="2418">
        <row r="8">
          <cell r="D8" t="str">
            <v>Paramaz Avedisian Building</v>
          </cell>
        </row>
      </sheetData>
      <sheetData sheetId="2419">
        <row r="8">
          <cell r="D8" t="str">
            <v>Paramaz Avedisian Building</v>
          </cell>
        </row>
      </sheetData>
      <sheetData sheetId="2420">
        <row r="8">
          <cell r="D8" t="str">
            <v>Paramaz Avedisian Building</v>
          </cell>
        </row>
      </sheetData>
      <sheetData sheetId="2421">
        <row r="8">
          <cell r="D8" t="str">
            <v>Paramaz Avedisian Building</v>
          </cell>
        </row>
      </sheetData>
      <sheetData sheetId="2422">
        <row r="8">
          <cell r="D8" t="str">
            <v>Paramaz Avedisian Building</v>
          </cell>
        </row>
      </sheetData>
      <sheetData sheetId="2423">
        <row r="8">
          <cell r="D8" t="str">
            <v>Paramaz Avedisian Building</v>
          </cell>
        </row>
      </sheetData>
      <sheetData sheetId="2424">
        <row r="8">
          <cell r="D8" t="str">
            <v>Paramaz Avedisian Building</v>
          </cell>
        </row>
      </sheetData>
      <sheetData sheetId="2425">
        <row r="8">
          <cell r="D8" t="str">
            <v>Paramaz Avedisian Building</v>
          </cell>
        </row>
      </sheetData>
      <sheetData sheetId="2426">
        <row r="8">
          <cell r="D8" t="str">
            <v>Paramaz Avedisian Building</v>
          </cell>
        </row>
      </sheetData>
      <sheetData sheetId="2427">
        <row r="8">
          <cell r="D8" t="str">
            <v>Paramaz Avedisian Building</v>
          </cell>
        </row>
      </sheetData>
      <sheetData sheetId="2428">
        <row r="8">
          <cell r="D8" t="str">
            <v>Paramaz Avedisian Building</v>
          </cell>
        </row>
      </sheetData>
      <sheetData sheetId="2429">
        <row r="8">
          <cell r="D8" t="str">
            <v>Paramaz Avedisian Building</v>
          </cell>
        </row>
      </sheetData>
      <sheetData sheetId="2430">
        <row r="8">
          <cell r="D8" t="str">
            <v>Paramaz Avedisian Building</v>
          </cell>
        </row>
      </sheetData>
      <sheetData sheetId="2431">
        <row r="8">
          <cell r="D8" t="str">
            <v>Paramaz Avedisian Building</v>
          </cell>
        </row>
      </sheetData>
      <sheetData sheetId="2432">
        <row r="8">
          <cell r="D8" t="str">
            <v>Paramaz Avedisian Building</v>
          </cell>
        </row>
      </sheetData>
      <sheetData sheetId="2433">
        <row r="8">
          <cell r="D8" t="str">
            <v>Paramaz Avedisian Building</v>
          </cell>
        </row>
      </sheetData>
      <sheetData sheetId="2434">
        <row r="8">
          <cell r="D8" t="str">
            <v>Paramaz Avedisian Building</v>
          </cell>
        </row>
      </sheetData>
      <sheetData sheetId="2435">
        <row r="8">
          <cell r="D8" t="str">
            <v>Paramaz Avedisian Building</v>
          </cell>
        </row>
      </sheetData>
      <sheetData sheetId="2436">
        <row r="8">
          <cell r="D8" t="str">
            <v>Paramaz Avedisian Building</v>
          </cell>
        </row>
      </sheetData>
      <sheetData sheetId="2437">
        <row r="8">
          <cell r="D8" t="str">
            <v>Paramaz Avedisian Building</v>
          </cell>
        </row>
      </sheetData>
      <sheetData sheetId="2438">
        <row r="8">
          <cell r="D8" t="str">
            <v>Paramaz Avedisian Building</v>
          </cell>
        </row>
      </sheetData>
      <sheetData sheetId="2439">
        <row r="8">
          <cell r="D8" t="str">
            <v>Paramaz Avedisian Building</v>
          </cell>
        </row>
      </sheetData>
      <sheetData sheetId="2440">
        <row r="8">
          <cell r="D8" t="str">
            <v>Paramaz Avedisian Building</v>
          </cell>
        </row>
      </sheetData>
      <sheetData sheetId="2441">
        <row r="8">
          <cell r="D8" t="str">
            <v>Paramaz Avedisian Building</v>
          </cell>
        </row>
      </sheetData>
      <sheetData sheetId="2442">
        <row r="8">
          <cell r="D8" t="str">
            <v>Paramaz Avedisian Building</v>
          </cell>
        </row>
      </sheetData>
      <sheetData sheetId="2443">
        <row r="8">
          <cell r="D8" t="str">
            <v>Paramaz Avedisian Building</v>
          </cell>
        </row>
      </sheetData>
      <sheetData sheetId="2444">
        <row r="8">
          <cell r="D8" t="str">
            <v>Paramaz Avedisian Building</v>
          </cell>
        </row>
      </sheetData>
      <sheetData sheetId="2445">
        <row r="8">
          <cell r="D8" t="str">
            <v>Paramaz Avedisian Building</v>
          </cell>
        </row>
      </sheetData>
      <sheetData sheetId="2446">
        <row r="8">
          <cell r="D8" t="str">
            <v>Paramaz Avedisian Building</v>
          </cell>
        </row>
      </sheetData>
      <sheetData sheetId="2447">
        <row r="8">
          <cell r="D8" t="str">
            <v>Paramaz Avedisian Building</v>
          </cell>
        </row>
      </sheetData>
      <sheetData sheetId="2448">
        <row r="8">
          <cell r="D8" t="str">
            <v>Paramaz Avedisian Building</v>
          </cell>
        </row>
      </sheetData>
      <sheetData sheetId="2449">
        <row r="8">
          <cell r="D8" t="str">
            <v>Paramaz Avedisian Building</v>
          </cell>
        </row>
      </sheetData>
      <sheetData sheetId="2450">
        <row r="8">
          <cell r="D8" t="str">
            <v>Paramaz Avedisian Building</v>
          </cell>
        </row>
      </sheetData>
      <sheetData sheetId="2451">
        <row r="8">
          <cell r="D8" t="str">
            <v>Paramaz Avedisian Building</v>
          </cell>
        </row>
      </sheetData>
      <sheetData sheetId="2452">
        <row r="8">
          <cell r="D8" t="str">
            <v>Paramaz Avedisian Building</v>
          </cell>
        </row>
      </sheetData>
      <sheetData sheetId="2453">
        <row r="8">
          <cell r="D8" t="str">
            <v>Paramaz Avedisian Building</v>
          </cell>
        </row>
      </sheetData>
      <sheetData sheetId="2454">
        <row r="8">
          <cell r="D8" t="str">
            <v>Paramaz Avedisian Building</v>
          </cell>
        </row>
      </sheetData>
      <sheetData sheetId="2455">
        <row r="8">
          <cell r="D8" t="str">
            <v>Paramaz Avedisian Building</v>
          </cell>
        </row>
      </sheetData>
      <sheetData sheetId="2456">
        <row r="8">
          <cell r="D8" t="str">
            <v>Paramaz Avedisian Building</v>
          </cell>
        </row>
      </sheetData>
      <sheetData sheetId="2457">
        <row r="8">
          <cell r="D8" t="str">
            <v>Paramaz Avedisian Building</v>
          </cell>
        </row>
      </sheetData>
      <sheetData sheetId="2458">
        <row r="8">
          <cell r="D8" t="str">
            <v>Paramaz Avedisian Building</v>
          </cell>
        </row>
      </sheetData>
      <sheetData sheetId="2459">
        <row r="8">
          <cell r="D8" t="str">
            <v>Paramaz Avedisian Building</v>
          </cell>
        </row>
      </sheetData>
      <sheetData sheetId="2460">
        <row r="8">
          <cell r="D8" t="str">
            <v>Paramaz Avedisian Building</v>
          </cell>
        </row>
      </sheetData>
      <sheetData sheetId="2461">
        <row r="8">
          <cell r="D8" t="str">
            <v>Paramaz Avedisian Building</v>
          </cell>
        </row>
      </sheetData>
      <sheetData sheetId="2462">
        <row r="8">
          <cell r="D8" t="str">
            <v>Paramaz Avedisian Building</v>
          </cell>
        </row>
      </sheetData>
      <sheetData sheetId="2463">
        <row r="8">
          <cell r="D8" t="str">
            <v>Paramaz Avedisian Building</v>
          </cell>
        </row>
      </sheetData>
      <sheetData sheetId="2464">
        <row r="8">
          <cell r="D8" t="str">
            <v>Paramaz Avedisian Building</v>
          </cell>
        </row>
      </sheetData>
      <sheetData sheetId="2465">
        <row r="8">
          <cell r="D8" t="str">
            <v>Paramaz Avedisian Building</v>
          </cell>
        </row>
      </sheetData>
      <sheetData sheetId="2466">
        <row r="8">
          <cell r="D8" t="str">
            <v>Paramaz Avedisian Building</v>
          </cell>
        </row>
      </sheetData>
      <sheetData sheetId="2467">
        <row r="8">
          <cell r="D8" t="str">
            <v>Paramaz Avedisian Building</v>
          </cell>
        </row>
      </sheetData>
      <sheetData sheetId="2468">
        <row r="8">
          <cell r="D8" t="str">
            <v>Paramaz Avedisian Building</v>
          </cell>
        </row>
      </sheetData>
      <sheetData sheetId="2469">
        <row r="8">
          <cell r="D8" t="str">
            <v>Paramaz Avedisian Building</v>
          </cell>
        </row>
      </sheetData>
      <sheetData sheetId="2470">
        <row r="8">
          <cell r="D8" t="str">
            <v>Paramaz Avedisian Building</v>
          </cell>
        </row>
      </sheetData>
      <sheetData sheetId="2471">
        <row r="8">
          <cell r="D8" t="str">
            <v>Paramaz Avedisian Building</v>
          </cell>
        </row>
      </sheetData>
      <sheetData sheetId="2472">
        <row r="8">
          <cell r="D8" t="str">
            <v>Paramaz Avedisian Building</v>
          </cell>
        </row>
      </sheetData>
      <sheetData sheetId="2473">
        <row r="8">
          <cell r="D8" t="str">
            <v>Paramaz Avedisian Building</v>
          </cell>
        </row>
      </sheetData>
      <sheetData sheetId="2474">
        <row r="8">
          <cell r="D8" t="str">
            <v>Paramaz Avedisian Building</v>
          </cell>
        </row>
      </sheetData>
      <sheetData sheetId="2475">
        <row r="8">
          <cell r="D8" t="str">
            <v>Paramaz Avedisian Building</v>
          </cell>
        </row>
      </sheetData>
      <sheetData sheetId="2476">
        <row r="8">
          <cell r="D8" t="str">
            <v>Paramaz Avedisian Building</v>
          </cell>
        </row>
      </sheetData>
      <sheetData sheetId="2477">
        <row r="8">
          <cell r="D8" t="str">
            <v>Paramaz Avedisian Building</v>
          </cell>
        </row>
      </sheetData>
      <sheetData sheetId="2478">
        <row r="8">
          <cell r="D8" t="str">
            <v>Paramaz Avedisian Building</v>
          </cell>
        </row>
      </sheetData>
      <sheetData sheetId="2479">
        <row r="8">
          <cell r="D8" t="str">
            <v>Paramaz Avedisian Building</v>
          </cell>
        </row>
      </sheetData>
      <sheetData sheetId="2480">
        <row r="8">
          <cell r="D8" t="str">
            <v>Paramaz Avedisian Building</v>
          </cell>
        </row>
      </sheetData>
      <sheetData sheetId="2481">
        <row r="8">
          <cell r="D8" t="str">
            <v>Paramaz Avedisian Building</v>
          </cell>
        </row>
      </sheetData>
      <sheetData sheetId="2482">
        <row r="8">
          <cell r="D8" t="str">
            <v>Paramaz Avedisian Building</v>
          </cell>
        </row>
      </sheetData>
      <sheetData sheetId="2483">
        <row r="8">
          <cell r="D8" t="str">
            <v>Paramaz Avedisian Building</v>
          </cell>
        </row>
      </sheetData>
      <sheetData sheetId="2484">
        <row r="8">
          <cell r="D8" t="str">
            <v>Paramaz Avedisian Building</v>
          </cell>
        </row>
      </sheetData>
      <sheetData sheetId="2485">
        <row r="8">
          <cell r="D8" t="str">
            <v>Paramaz Avedisian Building</v>
          </cell>
        </row>
      </sheetData>
      <sheetData sheetId="2486">
        <row r="8">
          <cell r="D8" t="str">
            <v>Paramaz Avedisian Building</v>
          </cell>
        </row>
      </sheetData>
      <sheetData sheetId="2487">
        <row r="8">
          <cell r="D8" t="str">
            <v>Paramaz Avedisian Building</v>
          </cell>
        </row>
      </sheetData>
      <sheetData sheetId="2488">
        <row r="8">
          <cell r="D8" t="str">
            <v>Paramaz Avedisian Building</v>
          </cell>
        </row>
      </sheetData>
      <sheetData sheetId="2489">
        <row r="8">
          <cell r="D8" t="str">
            <v>Paramaz Avedisian Building</v>
          </cell>
        </row>
      </sheetData>
      <sheetData sheetId="2490">
        <row r="8">
          <cell r="D8" t="str">
            <v>Paramaz Avedisian Building</v>
          </cell>
        </row>
      </sheetData>
      <sheetData sheetId="2491">
        <row r="8">
          <cell r="D8" t="str">
            <v>Paramaz Avedisian Building</v>
          </cell>
        </row>
      </sheetData>
      <sheetData sheetId="2492">
        <row r="8">
          <cell r="D8" t="str">
            <v>Paramaz Avedisian Building</v>
          </cell>
        </row>
      </sheetData>
      <sheetData sheetId="2493">
        <row r="8">
          <cell r="D8" t="str">
            <v>Paramaz Avedisian Building</v>
          </cell>
        </row>
      </sheetData>
      <sheetData sheetId="2494">
        <row r="8">
          <cell r="D8" t="str">
            <v>Paramaz Avedisian Building</v>
          </cell>
        </row>
      </sheetData>
      <sheetData sheetId="2495">
        <row r="8">
          <cell r="D8" t="str">
            <v>Paramaz Avedisian Building</v>
          </cell>
        </row>
      </sheetData>
      <sheetData sheetId="2496">
        <row r="8">
          <cell r="D8" t="str">
            <v>Paramaz Avedisian Building</v>
          </cell>
        </row>
      </sheetData>
      <sheetData sheetId="2497">
        <row r="8">
          <cell r="D8" t="str">
            <v>Paramaz Avedisian Building</v>
          </cell>
        </row>
      </sheetData>
      <sheetData sheetId="2498">
        <row r="8">
          <cell r="D8" t="str">
            <v>Paramaz Avedisian Building</v>
          </cell>
        </row>
      </sheetData>
      <sheetData sheetId="2499">
        <row r="8">
          <cell r="D8" t="str">
            <v>Paramaz Avedisian Building</v>
          </cell>
        </row>
      </sheetData>
      <sheetData sheetId="2500">
        <row r="8">
          <cell r="D8" t="str">
            <v>Paramaz Avedisian Building</v>
          </cell>
        </row>
      </sheetData>
      <sheetData sheetId="2501">
        <row r="8">
          <cell r="D8" t="str">
            <v>Paramaz Avedisian Building</v>
          </cell>
        </row>
      </sheetData>
      <sheetData sheetId="2502">
        <row r="8">
          <cell r="D8" t="str">
            <v>Paramaz Avedisian Building</v>
          </cell>
        </row>
      </sheetData>
      <sheetData sheetId="2503">
        <row r="8">
          <cell r="D8" t="str">
            <v>Paramaz Avedisian Building</v>
          </cell>
        </row>
      </sheetData>
      <sheetData sheetId="2504">
        <row r="8">
          <cell r="D8" t="str">
            <v>Paramaz Avedisian Building</v>
          </cell>
        </row>
      </sheetData>
      <sheetData sheetId="2505">
        <row r="8">
          <cell r="D8" t="str">
            <v>Paramaz Avedisian Building</v>
          </cell>
        </row>
      </sheetData>
      <sheetData sheetId="2506">
        <row r="8">
          <cell r="D8" t="str">
            <v>Paramaz Avedisian Building</v>
          </cell>
        </row>
      </sheetData>
      <sheetData sheetId="2507">
        <row r="8">
          <cell r="D8" t="str">
            <v>Paramaz Avedisian Building</v>
          </cell>
        </row>
      </sheetData>
      <sheetData sheetId="2508">
        <row r="8">
          <cell r="D8" t="str">
            <v>Paramaz Avedisian Building</v>
          </cell>
        </row>
      </sheetData>
      <sheetData sheetId="2509">
        <row r="8">
          <cell r="D8" t="str">
            <v>Paramaz Avedisian Building</v>
          </cell>
        </row>
      </sheetData>
      <sheetData sheetId="2510">
        <row r="8">
          <cell r="D8" t="str">
            <v>Paramaz Avedisian Building</v>
          </cell>
        </row>
      </sheetData>
      <sheetData sheetId="2511">
        <row r="8">
          <cell r="D8" t="str">
            <v>Paramaz Avedisian Building</v>
          </cell>
        </row>
      </sheetData>
      <sheetData sheetId="2512">
        <row r="8">
          <cell r="D8" t="str">
            <v>Paramaz Avedisian Building</v>
          </cell>
        </row>
      </sheetData>
      <sheetData sheetId="2513">
        <row r="8">
          <cell r="D8" t="str">
            <v>Paramaz Avedisian Building</v>
          </cell>
        </row>
      </sheetData>
      <sheetData sheetId="2514">
        <row r="8">
          <cell r="D8" t="str">
            <v>Paramaz Avedisian Building</v>
          </cell>
        </row>
      </sheetData>
      <sheetData sheetId="2515">
        <row r="8">
          <cell r="D8" t="str">
            <v>Paramaz Avedisian Building</v>
          </cell>
        </row>
      </sheetData>
      <sheetData sheetId="2516">
        <row r="8">
          <cell r="D8" t="str">
            <v>Paramaz Avedisian Building</v>
          </cell>
        </row>
      </sheetData>
      <sheetData sheetId="2517">
        <row r="8">
          <cell r="D8" t="str">
            <v>Paramaz Avedisian Building</v>
          </cell>
        </row>
      </sheetData>
      <sheetData sheetId="2518">
        <row r="8">
          <cell r="D8" t="str">
            <v>Paramaz Avedisian Building</v>
          </cell>
        </row>
      </sheetData>
      <sheetData sheetId="2519">
        <row r="8">
          <cell r="D8" t="str">
            <v>Paramaz Avedisian Building</v>
          </cell>
        </row>
      </sheetData>
      <sheetData sheetId="2520">
        <row r="8">
          <cell r="D8" t="str">
            <v>Paramaz Avedisian Building</v>
          </cell>
        </row>
      </sheetData>
      <sheetData sheetId="2521">
        <row r="8">
          <cell r="D8" t="str">
            <v>Paramaz Avedisian Building</v>
          </cell>
        </row>
      </sheetData>
      <sheetData sheetId="2522">
        <row r="8">
          <cell r="D8" t="str">
            <v>Paramaz Avedisian Building</v>
          </cell>
        </row>
      </sheetData>
      <sheetData sheetId="2523">
        <row r="8">
          <cell r="D8" t="str">
            <v>Paramaz Avedisian Building</v>
          </cell>
        </row>
      </sheetData>
      <sheetData sheetId="2524">
        <row r="8">
          <cell r="D8" t="str">
            <v>Paramaz Avedisian Building</v>
          </cell>
        </row>
      </sheetData>
      <sheetData sheetId="2525">
        <row r="8">
          <cell r="D8" t="str">
            <v>Paramaz Avedisian Building</v>
          </cell>
        </row>
      </sheetData>
      <sheetData sheetId="2526">
        <row r="8">
          <cell r="D8" t="str">
            <v>Paramaz Avedisian Building</v>
          </cell>
        </row>
      </sheetData>
      <sheetData sheetId="2527">
        <row r="8">
          <cell r="D8" t="str">
            <v>Paramaz Avedisian Building</v>
          </cell>
        </row>
      </sheetData>
      <sheetData sheetId="2528">
        <row r="8">
          <cell r="D8" t="str">
            <v>Paramaz Avedisian Building</v>
          </cell>
        </row>
      </sheetData>
      <sheetData sheetId="2529">
        <row r="8">
          <cell r="D8" t="str">
            <v>Paramaz Avedisian Building</v>
          </cell>
        </row>
      </sheetData>
      <sheetData sheetId="2530">
        <row r="8">
          <cell r="D8" t="str">
            <v>Paramaz Avedisian Building</v>
          </cell>
        </row>
      </sheetData>
      <sheetData sheetId="2531">
        <row r="8">
          <cell r="D8" t="str">
            <v>Paramaz Avedisian Building</v>
          </cell>
        </row>
      </sheetData>
      <sheetData sheetId="2532">
        <row r="8">
          <cell r="D8" t="str">
            <v>Paramaz Avedisian Building</v>
          </cell>
        </row>
      </sheetData>
      <sheetData sheetId="2533">
        <row r="8">
          <cell r="D8" t="str">
            <v>Paramaz Avedisian Building</v>
          </cell>
        </row>
      </sheetData>
      <sheetData sheetId="2534">
        <row r="8">
          <cell r="D8" t="str">
            <v>Paramaz Avedisian Building</v>
          </cell>
        </row>
      </sheetData>
      <sheetData sheetId="2535">
        <row r="8">
          <cell r="D8" t="str">
            <v>Paramaz Avedisian Building</v>
          </cell>
        </row>
      </sheetData>
      <sheetData sheetId="2536">
        <row r="8">
          <cell r="D8" t="str">
            <v>Paramaz Avedisian Building</v>
          </cell>
        </row>
      </sheetData>
      <sheetData sheetId="2537">
        <row r="8">
          <cell r="D8" t="str">
            <v>Paramaz Avedisian Building</v>
          </cell>
        </row>
      </sheetData>
      <sheetData sheetId="2538">
        <row r="8">
          <cell r="D8" t="str">
            <v>Paramaz Avedisian Building</v>
          </cell>
        </row>
      </sheetData>
      <sheetData sheetId="2539">
        <row r="8">
          <cell r="D8" t="str">
            <v>Paramaz Avedisian Building</v>
          </cell>
        </row>
      </sheetData>
      <sheetData sheetId="2540">
        <row r="8">
          <cell r="D8" t="str">
            <v>Paramaz Avedisian Building</v>
          </cell>
        </row>
      </sheetData>
      <sheetData sheetId="2541">
        <row r="8">
          <cell r="D8" t="str">
            <v>Paramaz Avedisian Building</v>
          </cell>
        </row>
      </sheetData>
      <sheetData sheetId="2542">
        <row r="8">
          <cell r="D8" t="str">
            <v>Paramaz Avedisian Building</v>
          </cell>
        </row>
      </sheetData>
      <sheetData sheetId="2543">
        <row r="8">
          <cell r="D8" t="str">
            <v>Paramaz Avedisian Building</v>
          </cell>
        </row>
      </sheetData>
      <sheetData sheetId="2544">
        <row r="8">
          <cell r="D8" t="str">
            <v>Paramaz Avedisian Building</v>
          </cell>
        </row>
      </sheetData>
      <sheetData sheetId="2545">
        <row r="8">
          <cell r="D8" t="str">
            <v>Paramaz Avedisian Building</v>
          </cell>
        </row>
      </sheetData>
      <sheetData sheetId="2546">
        <row r="8">
          <cell r="D8" t="str">
            <v>Paramaz Avedisian Building</v>
          </cell>
        </row>
      </sheetData>
      <sheetData sheetId="2547">
        <row r="8">
          <cell r="D8" t="str">
            <v>Paramaz Avedisian Building</v>
          </cell>
        </row>
      </sheetData>
      <sheetData sheetId="2548">
        <row r="8">
          <cell r="D8" t="str">
            <v>Paramaz Avedisian Building</v>
          </cell>
        </row>
      </sheetData>
      <sheetData sheetId="2549">
        <row r="8">
          <cell r="D8" t="str">
            <v>Paramaz Avedisian Building</v>
          </cell>
        </row>
      </sheetData>
      <sheetData sheetId="2550">
        <row r="8">
          <cell r="D8" t="str">
            <v>Paramaz Avedisian Building</v>
          </cell>
        </row>
      </sheetData>
      <sheetData sheetId="2551">
        <row r="8">
          <cell r="D8" t="str">
            <v>Paramaz Avedisian Building</v>
          </cell>
        </row>
      </sheetData>
      <sheetData sheetId="2552">
        <row r="8">
          <cell r="D8" t="str">
            <v>Paramaz Avedisian Building</v>
          </cell>
        </row>
      </sheetData>
      <sheetData sheetId="2553">
        <row r="8">
          <cell r="D8" t="str">
            <v>Paramaz Avedisian Building</v>
          </cell>
        </row>
      </sheetData>
      <sheetData sheetId="2554">
        <row r="8">
          <cell r="D8" t="str">
            <v>Paramaz Avedisian Building</v>
          </cell>
        </row>
      </sheetData>
      <sheetData sheetId="2555">
        <row r="8">
          <cell r="D8" t="str">
            <v>Paramaz Avedisian Building</v>
          </cell>
        </row>
      </sheetData>
      <sheetData sheetId="2556">
        <row r="8">
          <cell r="D8" t="str">
            <v>Paramaz Avedisian Building</v>
          </cell>
        </row>
      </sheetData>
      <sheetData sheetId="2557">
        <row r="8">
          <cell r="D8" t="str">
            <v>Paramaz Avedisian Building</v>
          </cell>
        </row>
      </sheetData>
      <sheetData sheetId="2558">
        <row r="8">
          <cell r="D8" t="str">
            <v>Paramaz Avedisian Building</v>
          </cell>
        </row>
      </sheetData>
      <sheetData sheetId="2559">
        <row r="8">
          <cell r="D8" t="str">
            <v>Paramaz Avedisian Building</v>
          </cell>
        </row>
      </sheetData>
      <sheetData sheetId="2560">
        <row r="8">
          <cell r="D8" t="str">
            <v>Paramaz Avedisian Building</v>
          </cell>
        </row>
      </sheetData>
      <sheetData sheetId="2561">
        <row r="8">
          <cell r="D8" t="str">
            <v>Paramaz Avedisian Building</v>
          </cell>
        </row>
      </sheetData>
      <sheetData sheetId="2562">
        <row r="8">
          <cell r="D8" t="str">
            <v>Paramaz Avedisian Building</v>
          </cell>
        </row>
      </sheetData>
      <sheetData sheetId="2563">
        <row r="8">
          <cell r="D8" t="str">
            <v>Paramaz Avedisian Building</v>
          </cell>
        </row>
      </sheetData>
      <sheetData sheetId="2564">
        <row r="8">
          <cell r="D8" t="str">
            <v>Paramaz Avedisian Building</v>
          </cell>
        </row>
      </sheetData>
      <sheetData sheetId="2565">
        <row r="8">
          <cell r="D8" t="str">
            <v>Paramaz Avedisian Building</v>
          </cell>
        </row>
      </sheetData>
      <sheetData sheetId="2566">
        <row r="8">
          <cell r="D8" t="str">
            <v>Paramaz Avedisian Building</v>
          </cell>
        </row>
      </sheetData>
      <sheetData sheetId="2567">
        <row r="8">
          <cell r="D8" t="str">
            <v>Paramaz Avedisian Building</v>
          </cell>
        </row>
      </sheetData>
      <sheetData sheetId="2568">
        <row r="8">
          <cell r="D8" t="str">
            <v>Paramaz Avedisian Building</v>
          </cell>
        </row>
      </sheetData>
      <sheetData sheetId="2569">
        <row r="8">
          <cell r="D8" t="str">
            <v>Paramaz Avedisian Building</v>
          </cell>
        </row>
      </sheetData>
      <sheetData sheetId="2570">
        <row r="8">
          <cell r="D8" t="str">
            <v>Paramaz Avedisian Building</v>
          </cell>
        </row>
      </sheetData>
      <sheetData sheetId="2571">
        <row r="8">
          <cell r="D8" t="str">
            <v>Paramaz Avedisian Building</v>
          </cell>
        </row>
      </sheetData>
      <sheetData sheetId="2572">
        <row r="8">
          <cell r="D8" t="str">
            <v>Paramaz Avedisian Building</v>
          </cell>
        </row>
      </sheetData>
      <sheetData sheetId="2573">
        <row r="8">
          <cell r="D8" t="str">
            <v>Paramaz Avedisian Building</v>
          </cell>
        </row>
      </sheetData>
      <sheetData sheetId="2574">
        <row r="8">
          <cell r="D8" t="str">
            <v>Paramaz Avedisian Building</v>
          </cell>
        </row>
      </sheetData>
      <sheetData sheetId="2575">
        <row r="8">
          <cell r="D8" t="str">
            <v>Paramaz Avedisian Building</v>
          </cell>
        </row>
      </sheetData>
      <sheetData sheetId="2576">
        <row r="8">
          <cell r="D8" t="str">
            <v>Paramaz Avedisian Building</v>
          </cell>
        </row>
      </sheetData>
      <sheetData sheetId="2577">
        <row r="8">
          <cell r="D8" t="str">
            <v>Paramaz Avedisian Building</v>
          </cell>
        </row>
      </sheetData>
      <sheetData sheetId="2578">
        <row r="8">
          <cell r="D8" t="str">
            <v>Paramaz Avedisian Building</v>
          </cell>
        </row>
      </sheetData>
      <sheetData sheetId="2579">
        <row r="8">
          <cell r="D8" t="str">
            <v>Paramaz Avedisian Building</v>
          </cell>
        </row>
      </sheetData>
      <sheetData sheetId="2580">
        <row r="8">
          <cell r="D8" t="str">
            <v>Paramaz Avedisian Building</v>
          </cell>
        </row>
      </sheetData>
      <sheetData sheetId="2581">
        <row r="8">
          <cell r="D8" t="str">
            <v>Paramaz Avedisian Building</v>
          </cell>
        </row>
      </sheetData>
      <sheetData sheetId="2582">
        <row r="8">
          <cell r="D8" t="str">
            <v>Paramaz Avedisian Building</v>
          </cell>
        </row>
      </sheetData>
      <sheetData sheetId="2583">
        <row r="8">
          <cell r="D8" t="str">
            <v>Paramaz Avedisian Building</v>
          </cell>
        </row>
      </sheetData>
      <sheetData sheetId="2584">
        <row r="8">
          <cell r="D8" t="str">
            <v>Paramaz Avedisian Building</v>
          </cell>
        </row>
      </sheetData>
      <sheetData sheetId="2585">
        <row r="8">
          <cell r="D8" t="str">
            <v>Paramaz Avedisian Building</v>
          </cell>
        </row>
      </sheetData>
      <sheetData sheetId="2586">
        <row r="8">
          <cell r="D8" t="str">
            <v>Paramaz Avedisian Building</v>
          </cell>
        </row>
      </sheetData>
      <sheetData sheetId="2587">
        <row r="8">
          <cell r="D8" t="str">
            <v>Paramaz Avedisian Building</v>
          </cell>
        </row>
      </sheetData>
      <sheetData sheetId="2588">
        <row r="8">
          <cell r="D8" t="str">
            <v>Paramaz Avedisian Building</v>
          </cell>
        </row>
      </sheetData>
      <sheetData sheetId="2589">
        <row r="8">
          <cell r="D8" t="str">
            <v>Paramaz Avedisian Building</v>
          </cell>
        </row>
      </sheetData>
      <sheetData sheetId="2590">
        <row r="8">
          <cell r="D8" t="str">
            <v>Paramaz Avedisian Building</v>
          </cell>
        </row>
      </sheetData>
      <sheetData sheetId="2591">
        <row r="8">
          <cell r="D8" t="str">
            <v>Paramaz Avedisian Building</v>
          </cell>
        </row>
      </sheetData>
      <sheetData sheetId="2592">
        <row r="8">
          <cell r="D8" t="str">
            <v>Paramaz Avedisian Building</v>
          </cell>
        </row>
      </sheetData>
      <sheetData sheetId="2593">
        <row r="8">
          <cell r="D8" t="str">
            <v>Paramaz Avedisian Building</v>
          </cell>
        </row>
      </sheetData>
      <sheetData sheetId="2594">
        <row r="8">
          <cell r="D8" t="str">
            <v>Paramaz Avedisian Building</v>
          </cell>
        </row>
      </sheetData>
      <sheetData sheetId="2595">
        <row r="8">
          <cell r="D8" t="str">
            <v>Paramaz Avedisian Building</v>
          </cell>
        </row>
      </sheetData>
      <sheetData sheetId="2596">
        <row r="8">
          <cell r="D8" t="str">
            <v>Paramaz Avedisian Building</v>
          </cell>
        </row>
      </sheetData>
      <sheetData sheetId="2597">
        <row r="8">
          <cell r="D8" t="str">
            <v>Paramaz Avedisian Building</v>
          </cell>
        </row>
      </sheetData>
      <sheetData sheetId="2598">
        <row r="8">
          <cell r="D8" t="str">
            <v>Paramaz Avedisian Building</v>
          </cell>
        </row>
      </sheetData>
      <sheetData sheetId="2599">
        <row r="8">
          <cell r="D8" t="str">
            <v>Paramaz Avedisian Building</v>
          </cell>
        </row>
      </sheetData>
      <sheetData sheetId="2600">
        <row r="8">
          <cell r="D8" t="str">
            <v>Paramaz Avedisian Building</v>
          </cell>
        </row>
      </sheetData>
      <sheetData sheetId="2601">
        <row r="8">
          <cell r="D8" t="str">
            <v>Paramaz Avedisian Building</v>
          </cell>
        </row>
      </sheetData>
      <sheetData sheetId="2602">
        <row r="8">
          <cell r="D8" t="str">
            <v>Paramaz Avedisian Building</v>
          </cell>
        </row>
      </sheetData>
      <sheetData sheetId="2603">
        <row r="8">
          <cell r="D8" t="str">
            <v>Paramaz Avedisian Building</v>
          </cell>
        </row>
      </sheetData>
      <sheetData sheetId="2604">
        <row r="8">
          <cell r="D8" t="str">
            <v>Paramaz Avedisian Building</v>
          </cell>
        </row>
      </sheetData>
      <sheetData sheetId="2605">
        <row r="8">
          <cell r="D8" t="str">
            <v>Paramaz Avedisian Building</v>
          </cell>
        </row>
      </sheetData>
      <sheetData sheetId="2606">
        <row r="8">
          <cell r="D8" t="str">
            <v>Paramaz Avedisian Building</v>
          </cell>
        </row>
      </sheetData>
      <sheetData sheetId="2607">
        <row r="8">
          <cell r="D8" t="str">
            <v>Paramaz Avedisian Building</v>
          </cell>
        </row>
      </sheetData>
      <sheetData sheetId="2608">
        <row r="8">
          <cell r="D8" t="str">
            <v>Paramaz Avedisian Building</v>
          </cell>
        </row>
      </sheetData>
      <sheetData sheetId="2609">
        <row r="8">
          <cell r="D8" t="str">
            <v>Paramaz Avedisian Building</v>
          </cell>
        </row>
      </sheetData>
      <sheetData sheetId="2610">
        <row r="8">
          <cell r="D8" t="str">
            <v>Paramaz Avedisian Building</v>
          </cell>
        </row>
      </sheetData>
      <sheetData sheetId="2611">
        <row r="8">
          <cell r="D8" t="str">
            <v>Paramaz Avedisian Building</v>
          </cell>
        </row>
      </sheetData>
      <sheetData sheetId="2612">
        <row r="8">
          <cell r="D8" t="str">
            <v>Paramaz Avedisian Building</v>
          </cell>
        </row>
      </sheetData>
      <sheetData sheetId="2613">
        <row r="8">
          <cell r="D8" t="str">
            <v>Paramaz Avedisian Building</v>
          </cell>
        </row>
      </sheetData>
      <sheetData sheetId="2614">
        <row r="8">
          <cell r="D8" t="str">
            <v>Paramaz Avedisian Building</v>
          </cell>
        </row>
      </sheetData>
      <sheetData sheetId="2615">
        <row r="8">
          <cell r="D8" t="str">
            <v>Paramaz Avedisian Building</v>
          </cell>
        </row>
      </sheetData>
      <sheetData sheetId="2616">
        <row r="8">
          <cell r="D8" t="str">
            <v>Paramaz Avedisian Building</v>
          </cell>
        </row>
      </sheetData>
      <sheetData sheetId="2617">
        <row r="8">
          <cell r="D8" t="str">
            <v>Paramaz Avedisian Building</v>
          </cell>
        </row>
      </sheetData>
      <sheetData sheetId="2618">
        <row r="8">
          <cell r="D8" t="str">
            <v>Paramaz Avedisian Building</v>
          </cell>
        </row>
      </sheetData>
      <sheetData sheetId="2619">
        <row r="8">
          <cell r="D8" t="str">
            <v>Paramaz Avedisian Building</v>
          </cell>
        </row>
      </sheetData>
      <sheetData sheetId="2620">
        <row r="8">
          <cell r="D8" t="str">
            <v>Paramaz Avedisian Building</v>
          </cell>
        </row>
      </sheetData>
      <sheetData sheetId="2621">
        <row r="8">
          <cell r="D8" t="str">
            <v>Paramaz Avedisian Building</v>
          </cell>
        </row>
      </sheetData>
      <sheetData sheetId="2622">
        <row r="8">
          <cell r="D8" t="str">
            <v>Paramaz Avedisian Building</v>
          </cell>
        </row>
      </sheetData>
      <sheetData sheetId="2623">
        <row r="8">
          <cell r="D8" t="str">
            <v>Paramaz Avedisian Building</v>
          </cell>
        </row>
      </sheetData>
      <sheetData sheetId="2624">
        <row r="8">
          <cell r="D8" t="str">
            <v>Paramaz Avedisian Building</v>
          </cell>
        </row>
      </sheetData>
      <sheetData sheetId="2625">
        <row r="8">
          <cell r="D8" t="str">
            <v>Paramaz Avedisian Building</v>
          </cell>
        </row>
      </sheetData>
      <sheetData sheetId="2626">
        <row r="8">
          <cell r="D8" t="str">
            <v>Paramaz Avedisian Building</v>
          </cell>
        </row>
      </sheetData>
      <sheetData sheetId="2627">
        <row r="8">
          <cell r="D8" t="str">
            <v>Paramaz Avedisian Building</v>
          </cell>
        </row>
      </sheetData>
      <sheetData sheetId="2628">
        <row r="8">
          <cell r="D8" t="str">
            <v>Paramaz Avedisian Building</v>
          </cell>
        </row>
      </sheetData>
      <sheetData sheetId="2629">
        <row r="8">
          <cell r="D8" t="str">
            <v>Paramaz Avedisian Building</v>
          </cell>
        </row>
      </sheetData>
      <sheetData sheetId="2630">
        <row r="8">
          <cell r="D8" t="str">
            <v>Paramaz Avedisian Building</v>
          </cell>
        </row>
      </sheetData>
      <sheetData sheetId="2631">
        <row r="8">
          <cell r="D8" t="str">
            <v>Paramaz Avedisian Building</v>
          </cell>
        </row>
      </sheetData>
      <sheetData sheetId="2632">
        <row r="8">
          <cell r="D8" t="str">
            <v>Paramaz Avedisian Building</v>
          </cell>
        </row>
      </sheetData>
      <sheetData sheetId="2633">
        <row r="8">
          <cell r="D8" t="str">
            <v>Paramaz Avedisian Building</v>
          </cell>
        </row>
      </sheetData>
      <sheetData sheetId="2634">
        <row r="8">
          <cell r="D8" t="str">
            <v>Paramaz Avedisian Building</v>
          </cell>
        </row>
      </sheetData>
      <sheetData sheetId="2635">
        <row r="8">
          <cell r="D8" t="str">
            <v>Paramaz Avedisian Building</v>
          </cell>
        </row>
      </sheetData>
      <sheetData sheetId="2636">
        <row r="8">
          <cell r="D8" t="str">
            <v>Paramaz Avedisian Building</v>
          </cell>
        </row>
      </sheetData>
      <sheetData sheetId="2637">
        <row r="8">
          <cell r="D8" t="str">
            <v>Paramaz Avedisian Building</v>
          </cell>
        </row>
      </sheetData>
      <sheetData sheetId="2638">
        <row r="8">
          <cell r="D8" t="str">
            <v>Paramaz Avedisian Building</v>
          </cell>
        </row>
      </sheetData>
      <sheetData sheetId="2639">
        <row r="8">
          <cell r="D8" t="str">
            <v>Paramaz Avedisian Building</v>
          </cell>
        </row>
      </sheetData>
      <sheetData sheetId="2640">
        <row r="8">
          <cell r="D8" t="str">
            <v>Paramaz Avedisian Building</v>
          </cell>
        </row>
      </sheetData>
      <sheetData sheetId="2641">
        <row r="8">
          <cell r="D8" t="str">
            <v>Paramaz Avedisian Building</v>
          </cell>
        </row>
      </sheetData>
      <sheetData sheetId="2642">
        <row r="8">
          <cell r="D8" t="str">
            <v>Paramaz Avedisian Building</v>
          </cell>
        </row>
      </sheetData>
      <sheetData sheetId="2643">
        <row r="8">
          <cell r="D8" t="str">
            <v>Paramaz Avedisian Building</v>
          </cell>
        </row>
      </sheetData>
      <sheetData sheetId="2644">
        <row r="8">
          <cell r="D8" t="str">
            <v>Paramaz Avedisian Building</v>
          </cell>
        </row>
      </sheetData>
      <sheetData sheetId="2645">
        <row r="8">
          <cell r="D8" t="str">
            <v>Paramaz Avedisian Building</v>
          </cell>
        </row>
      </sheetData>
      <sheetData sheetId="2646">
        <row r="8">
          <cell r="D8" t="str">
            <v>Paramaz Avedisian Building</v>
          </cell>
        </row>
      </sheetData>
      <sheetData sheetId="2647">
        <row r="8">
          <cell r="D8" t="str">
            <v>Paramaz Avedisian Building</v>
          </cell>
        </row>
      </sheetData>
      <sheetData sheetId="2648">
        <row r="8">
          <cell r="D8" t="str">
            <v>Paramaz Avedisian Building</v>
          </cell>
        </row>
      </sheetData>
      <sheetData sheetId="2649">
        <row r="8">
          <cell r="D8" t="str">
            <v>Paramaz Avedisian Building</v>
          </cell>
        </row>
      </sheetData>
      <sheetData sheetId="2650">
        <row r="8">
          <cell r="D8" t="str">
            <v>Paramaz Avedisian Building</v>
          </cell>
        </row>
      </sheetData>
      <sheetData sheetId="2651">
        <row r="8">
          <cell r="D8" t="str">
            <v>Paramaz Avedisian Building</v>
          </cell>
        </row>
      </sheetData>
      <sheetData sheetId="2652">
        <row r="8">
          <cell r="D8" t="str">
            <v>Paramaz Avedisian Building</v>
          </cell>
        </row>
      </sheetData>
      <sheetData sheetId="2653">
        <row r="8">
          <cell r="D8" t="str">
            <v>Paramaz Avedisian Building</v>
          </cell>
        </row>
      </sheetData>
      <sheetData sheetId="2654">
        <row r="8">
          <cell r="D8" t="str">
            <v>Paramaz Avedisian Building</v>
          </cell>
        </row>
      </sheetData>
      <sheetData sheetId="2655">
        <row r="8">
          <cell r="D8" t="str">
            <v>Paramaz Avedisian Building</v>
          </cell>
        </row>
      </sheetData>
      <sheetData sheetId="2656">
        <row r="8">
          <cell r="D8" t="str">
            <v>Paramaz Avedisian Building</v>
          </cell>
        </row>
      </sheetData>
      <sheetData sheetId="2657">
        <row r="8">
          <cell r="D8" t="str">
            <v>Paramaz Avedisian Building</v>
          </cell>
        </row>
      </sheetData>
      <sheetData sheetId="2658">
        <row r="8">
          <cell r="D8" t="str">
            <v>Paramaz Avedisian Building</v>
          </cell>
        </row>
      </sheetData>
      <sheetData sheetId="2659">
        <row r="8">
          <cell r="D8" t="str">
            <v>Paramaz Avedisian Building</v>
          </cell>
        </row>
      </sheetData>
      <sheetData sheetId="2660">
        <row r="8">
          <cell r="D8" t="str">
            <v>Paramaz Avedisian Building</v>
          </cell>
        </row>
      </sheetData>
      <sheetData sheetId="2661">
        <row r="8">
          <cell r="D8" t="str">
            <v>Paramaz Avedisian Building</v>
          </cell>
        </row>
      </sheetData>
      <sheetData sheetId="2662">
        <row r="8">
          <cell r="D8" t="str">
            <v>Paramaz Avedisian Building</v>
          </cell>
        </row>
      </sheetData>
      <sheetData sheetId="2663">
        <row r="8">
          <cell r="D8" t="str">
            <v>Paramaz Avedisian Building</v>
          </cell>
        </row>
      </sheetData>
      <sheetData sheetId="2664">
        <row r="8">
          <cell r="D8" t="str">
            <v>Paramaz Avedisian Building</v>
          </cell>
        </row>
      </sheetData>
      <sheetData sheetId="2665">
        <row r="8">
          <cell r="D8" t="str">
            <v>Paramaz Avedisian Building</v>
          </cell>
        </row>
      </sheetData>
      <sheetData sheetId="2666">
        <row r="8">
          <cell r="D8" t="str">
            <v>Paramaz Avedisian Building</v>
          </cell>
        </row>
      </sheetData>
      <sheetData sheetId="2667">
        <row r="8">
          <cell r="D8" t="str">
            <v>Paramaz Avedisian Building</v>
          </cell>
        </row>
      </sheetData>
      <sheetData sheetId="2668">
        <row r="8">
          <cell r="D8" t="str">
            <v>Paramaz Avedisian Building</v>
          </cell>
        </row>
      </sheetData>
      <sheetData sheetId="2669">
        <row r="8">
          <cell r="D8" t="str">
            <v>Paramaz Avedisian Building</v>
          </cell>
        </row>
      </sheetData>
      <sheetData sheetId="2670">
        <row r="8">
          <cell r="D8" t="str">
            <v>Paramaz Avedisian Building</v>
          </cell>
        </row>
      </sheetData>
      <sheetData sheetId="2671">
        <row r="8">
          <cell r="D8" t="str">
            <v>Paramaz Avedisian Building</v>
          </cell>
        </row>
      </sheetData>
      <sheetData sheetId="2672">
        <row r="8">
          <cell r="D8" t="str">
            <v>Paramaz Avedisian Building</v>
          </cell>
        </row>
      </sheetData>
      <sheetData sheetId="2673">
        <row r="8">
          <cell r="D8" t="str">
            <v>Paramaz Avedisian Building</v>
          </cell>
        </row>
      </sheetData>
      <sheetData sheetId="2674">
        <row r="8">
          <cell r="D8" t="str">
            <v>Paramaz Avedisian Building</v>
          </cell>
        </row>
      </sheetData>
      <sheetData sheetId="2675">
        <row r="8">
          <cell r="D8" t="str">
            <v>Paramaz Avedisian Building</v>
          </cell>
        </row>
      </sheetData>
      <sheetData sheetId="2676">
        <row r="8">
          <cell r="D8" t="str">
            <v>Paramaz Avedisian Building</v>
          </cell>
        </row>
      </sheetData>
      <sheetData sheetId="2677">
        <row r="8">
          <cell r="D8" t="str">
            <v>Paramaz Avedisian Building</v>
          </cell>
        </row>
      </sheetData>
      <sheetData sheetId="2678">
        <row r="8">
          <cell r="D8" t="str">
            <v>Paramaz Avedisian Building</v>
          </cell>
        </row>
      </sheetData>
      <sheetData sheetId="2679">
        <row r="8">
          <cell r="D8" t="str">
            <v>Paramaz Avedisian Building</v>
          </cell>
        </row>
      </sheetData>
      <sheetData sheetId="2680">
        <row r="8">
          <cell r="D8" t="str">
            <v>Paramaz Avedisian Building</v>
          </cell>
        </row>
      </sheetData>
      <sheetData sheetId="2681">
        <row r="8">
          <cell r="D8" t="str">
            <v>Paramaz Avedisian Building</v>
          </cell>
        </row>
      </sheetData>
      <sheetData sheetId="2682">
        <row r="8">
          <cell r="D8" t="str">
            <v>Paramaz Avedisian Building</v>
          </cell>
        </row>
      </sheetData>
      <sheetData sheetId="2683">
        <row r="8">
          <cell r="D8" t="str">
            <v>Paramaz Avedisian Building</v>
          </cell>
        </row>
      </sheetData>
      <sheetData sheetId="2684">
        <row r="8">
          <cell r="D8" t="str">
            <v>Paramaz Avedisian Building</v>
          </cell>
        </row>
      </sheetData>
      <sheetData sheetId="2685">
        <row r="8">
          <cell r="D8" t="str">
            <v>Paramaz Avedisian Building</v>
          </cell>
        </row>
      </sheetData>
      <sheetData sheetId="2686">
        <row r="8">
          <cell r="D8" t="str">
            <v>Paramaz Avedisian Building</v>
          </cell>
        </row>
      </sheetData>
      <sheetData sheetId="2687">
        <row r="8">
          <cell r="D8" t="str">
            <v>Paramaz Avedisian Building</v>
          </cell>
        </row>
      </sheetData>
      <sheetData sheetId="2688">
        <row r="8">
          <cell r="D8" t="str">
            <v>Paramaz Avedisian Building</v>
          </cell>
        </row>
      </sheetData>
      <sheetData sheetId="2689">
        <row r="8">
          <cell r="D8" t="str">
            <v>Paramaz Avedisian Building</v>
          </cell>
        </row>
      </sheetData>
      <sheetData sheetId="2690">
        <row r="8">
          <cell r="D8" t="str">
            <v>Paramaz Avedisian Building</v>
          </cell>
        </row>
      </sheetData>
      <sheetData sheetId="2691">
        <row r="8">
          <cell r="D8" t="str">
            <v>Paramaz Avedisian Building</v>
          </cell>
        </row>
      </sheetData>
      <sheetData sheetId="2692">
        <row r="8">
          <cell r="D8" t="str">
            <v>Paramaz Avedisian Building</v>
          </cell>
        </row>
      </sheetData>
      <sheetData sheetId="2693">
        <row r="8">
          <cell r="D8" t="str">
            <v>Paramaz Avedisian Building</v>
          </cell>
        </row>
      </sheetData>
      <sheetData sheetId="2694">
        <row r="8">
          <cell r="D8" t="str">
            <v>Paramaz Avedisian Building</v>
          </cell>
        </row>
      </sheetData>
      <sheetData sheetId="2695">
        <row r="8">
          <cell r="D8" t="str">
            <v>Paramaz Avedisian Building</v>
          </cell>
        </row>
      </sheetData>
      <sheetData sheetId="2696">
        <row r="8">
          <cell r="D8" t="str">
            <v>Paramaz Avedisian Building</v>
          </cell>
        </row>
      </sheetData>
      <sheetData sheetId="2697">
        <row r="8">
          <cell r="D8" t="str">
            <v>Paramaz Avedisian Building</v>
          </cell>
        </row>
      </sheetData>
      <sheetData sheetId="2698">
        <row r="8">
          <cell r="D8" t="str">
            <v>Paramaz Avedisian Building</v>
          </cell>
        </row>
      </sheetData>
      <sheetData sheetId="2699">
        <row r="8">
          <cell r="D8" t="str">
            <v>Paramaz Avedisian Building</v>
          </cell>
        </row>
      </sheetData>
      <sheetData sheetId="2700">
        <row r="8">
          <cell r="D8" t="str">
            <v>Paramaz Avedisian Building</v>
          </cell>
        </row>
      </sheetData>
      <sheetData sheetId="2701">
        <row r="8">
          <cell r="D8" t="str">
            <v>Paramaz Avedisian Building</v>
          </cell>
        </row>
      </sheetData>
      <sheetData sheetId="2702">
        <row r="8">
          <cell r="D8" t="str">
            <v>Paramaz Avedisian Building</v>
          </cell>
        </row>
      </sheetData>
      <sheetData sheetId="2703">
        <row r="8">
          <cell r="D8" t="str">
            <v>Paramaz Avedisian Building</v>
          </cell>
        </row>
      </sheetData>
      <sheetData sheetId="2704">
        <row r="8">
          <cell r="D8" t="str">
            <v>Paramaz Avedisian Building</v>
          </cell>
        </row>
      </sheetData>
      <sheetData sheetId="2705">
        <row r="8">
          <cell r="D8" t="str">
            <v>Paramaz Avedisian Building</v>
          </cell>
        </row>
      </sheetData>
      <sheetData sheetId="2706">
        <row r="8">
          <cell r="D8" t="str">
            <v>Paramaz Avedisian Building</v>
          </cell>
        </row>
      </sheetData>
      <sheetData sheetId="2707">
        <row r="8">
          <cell r="D8" t="str">
            <v>Paramaz Avedisian Building</v>
          </cell>
        </row>
      </sheetData>
      <sheetData sheetId="2708">
        <row r="8">
          <cell r="D8" t="str">
            <v>Paramaz Avedisian Building</v>
          </cell>
        </row>
      </sheetData>
      <sheetData sheetId="2709">
        <row r="8">
          <cell r="D8" t="str">
            <v>Paramaz Avedisian Building</v>
          </cell>
        </row>
      </sheetData>
      <sheetData sheetId="2710">
        <row r="8">
          <cell r="D8" t="str">
            <v>Paramaz Avedisian Building</v>
          </cell>
        </row>
      </sheetData>
      <sheetData sheetId="2711">
        <row r="8">
          <cell r="D8" t="str">
            <v>Paramaz Avedisian Building</v>
          </cell>
        </row>
      </sheetData>
      <sheetData sheetId="2712">
        <row r="8">
          <cell r="D8" t="str">
            <v>Paramaz Avedisian Building</v>
          </cell>
        </row>
      </sheetData>
      <sheetData sheetId="2713">
        <row r="8">
          <cell r="D8" t="str">
            <v>Paramaz Avedisian Building</v>
          </cell>
        </row>
      </sheetData>
      <sheetData sheetId="2714">
        <row r="8">
          <cell r="D8" t="str">
            <v>Paramaz Avedisian Building</v>
          </cell>
        </row>
      </sheetData>
      <sheetData sheetId="2715">
        <row r="8">
          <cell r="D8" t="str">
            <v>Paramaz Avedisian Building</v>
          </cell>
        </row>
      </sheetData>
      <sheetData sheetId="2716">
        <row r="8">
          <cell r="D8" t="str">
            <v>Paramaz Avedisian Building</v>
          </cell>
        </row>
      </sheetData>
      <sheetData sheetId="2717">
        <row r="8">
          <cell r="D8" t="str">
            <v>Paramaz Avedisian Building</v>
          </cell>
        </row>
      </sheetData>
      <sheetData sheetId="2718">
        <row r="8">
          <cell r="D8" t="str">
            <v>Paramaz Avedisian Building</v>
          </cell>
        </row>
      </sheetData>
      <sheetData sheetId="2719">
        <row r="8">
          <cell r="D8" t="str">
            <v>Paramaz Avedisian Building</v>
          </cell>
        </row>
      </sheetData>
      <sheetData sheetId="2720">
        <row r="8">
          <cell r="D8" t="str">
            <v>Paramaz Avedisian Building</v>
          </cell>
        </row>
      </sheetData>
      <sheetData sheetId="2721">
        <row r="8">
          <cell r="D8" t="str">
            <v>Paramaz Avedisian Building</v>
          </cell>
        </row>
      </sheetData>
      <sheetData sheetId="2722">
        <row r="8">
          <cell r="D8" t="str">
            <v>Paramaz Avedisian Building</v>
          </cell>
        </row>
      </sheetData>
      <sheetData sheetId="2723">
        <row r="8">
          <cell r="D8" t="str">
            <v>Paramaz Avedisian Building</v>
          </cell>
        </row>
      </sheetData>
      <sheetData sheetId="2724">
        <row r="8">
          <cell r="D8" t="str">
            <v>Paramaz Avedisian Building</v>
          </cell>
        </row>
      </sheetData>
      <sheetData sheetId="2725">
        <row r="8">
          <cell r="D8" t="str">
            <v>Paramaz Avedisian Building</v>
          </cell>
        </row>
      </sheetData>
      <sheetData sheetId="2726">
        <row r="8">
          <cell r="D8" t="str">
            <v>Paramaz Avedisian Building</v>
          </cell>
        </row>
      </sheetData>
      <sheetData sheetId="2727">
        <row r="8">
          <cell r="D8" t="str">
            <v>Paramaz Avedisian Building</v>
          </cell>
        </row>
      </sheetData>
      <sheetData sheetId="2728">
        <row r="8">
          <cell r="D8" t="str">
            <v>Paramaz Avedisian Building</v>
          </cell>
        </row>
      </sheetData>
      <sheetData sheetId="2729">
        <row r="8">
          <cell r="D8" t="str">
            <v>Paramaz Avedisian Building</v>
          </cell>
        </row>
      </sheetData>
      <sheetData sheetId="2730">
        <row r="8">
          <cell r="D8" t="str">
            <v>Paramaz Avedisian Building</v>
          </cell>
        </row>
      </sheetData>
      <sheetData sheetId="2731">
        <row r="8">
          <cell r="D8" t="str">
            <v>Paramaz Avedisian Building</v>
          </cell>
        </row>
      </sheetData>
      <sheetData sheetId="2732">
        <row r="8">
          <cell r="D8" t="str">
            <v>Paramaz Avedisian Building</v>
          </cell>
        </row>
      </sheetData>
      <sheetData sheetId="2733">
        <row r="8">
          <cell r="D8" t="str">
            <v>Paramaz Avedisian Building</v>
          </cell>
        </row>
      </sheetData>
      <sheetData sheetId="2734">
        <row r="8">
          <cell r="D8" t="str">
            <v>Paramaz Avedisian Building</v>
          </cell>
        </row>
      </sheetData>
      <sheetData sheetId="2735">
        <row r="8">
          <cell r="D8" t="str">
            <v>Paramaz Avedisian Building</v>
          </cell>
        </row>
      </sheetData>
      <sheetData sheetId="2736">
        <row r="8">
          <cell r="D8" t="str">
            <v>Paramaz Avedisian Building</v>
          </cell>
        </row>
      </sheetData>
      <sheetData sheetId="2737">
        <row r="8">
          <cell r="D8" t="str">
            <v>Paramaz Avedisian Building</v>
          </cell>
        </row>
      </sheetData>
      <sheetData sheetId="2738">
        <row r="8">
          <cell r="D8" t="str">
            <v>Paramaz Avedisian Building</v>
          </cell>
        </row>
      </sheetData>
      <sheetData sheetId="2739">
        <row r="8">
          <cell r="D8" t="str">
            <v>Paramaz Avedisian Building</v>
          </cell>
        </row>
      </sheetData>
      <sheetData sheetId="2740">
        <row r="8">
          <cell r="D8" t="str">
            <v>Paramaz Avedisian Building</v>
          </cell>
        </row>
      </sheetData>
      <sheetData sheetId="2741">
        <row r="8">
          <cell r="D8" t="str">
            <v>Paramaz Avedisian Building</v>
          </cell>
        </row>
      </sheetData>
      <sheetData sheetId="2742">
        <row r="8">
          <cell r="D8" t="str">
            <v>Paramaz Avedisian Building</v>
          </cell>
        </row>
      </sheetData>
      <sheetData sheetId="2743">
        <row r="8">
          <cell r="D8" t="str">
            <v>Paramaz Avedisian Building</v>
          </cell>
        </row>
      </sheetData>
      <sheetData sheetId="2744">
        <row r="8">
          <cell r="D8" t="str">
            <v>Paramaz Avedisian Building</v>
          </cell>
        </row>
      </sheetData>
      <sheetData sheetId="2745">
        <row r="8">
          <cell r="D8" t="str">
            <v>Paramaz Avedisian Building</v>
          </cell>
        </row>
      </sheetData>
      <sheetData sheetId="2746">
        <row r="8">
          <cell r="D8" t="str">
            <v>Paramaz Avedisian Building</v>
          </cell>
        </row>
      </sheetData>
      <sheetData sheetId="2747">
        <row r="8">
          <cell r="D8" t="str">
            <v>Paramaz Avedisian Building</v>
          </cell>
        </row>
      </sheetData>
      <sheetData sheetId="2748">
        <row r="8">
          <cell r="D8" t="str">
            <v>Paramaz Avedisian Building</v>
          </cell>
        </row>
      </sheetData>
      <sheetData sheetId="2749">
        <row r="8">
          <cell r="D8" t="str">
            <v>Paramaz Avedisian Building</v>
          </cell>
        </row>
      </sheetData>
      <sheetData sheetId="2750">
        <row r="8">
          <cell r="D8" t="str">
            <v>Paramaz Avedisian Building</v>
          </cell>
        </row>
      </sheetData>
      <sheetData sheetId="2751">
        <row r="8">
          <cell r="D8" t="str">
            <v>Paramaz Avedisian Building</v>
          </cell>
        </row>
      </sheetData>
      <sheetData sheetId="2752">
        <row r="8">
          <cell r="D8" t="str">
            <v>Paramaz Avedisian Building</v>
          </cell>
        </row>
      </sheetData>
      <sheetData sheetId="2753">
        <row r="8">
          <cell r="D8" t="str">
            <v>Paramaz Avedisian Building</v>
          </cell>
        </row>
      </sheetData>
      <sheetData sheetId="2754">
        <row r="8">
          <cell r="D8" t="str">
            <v>Paramaz Avedisian Building</v>
          </cell>
        </row>
      </sheetData>
      <sheetData sheetId="2755">
        <row r="8">
          <cell r="D8" t="str">
            <v>Paramaz Avedisian Building</v>
          </cell>
        </row>
      </sheetData>
      <sheetData sheetId="2756">
        <row r="8">
          <cell r="D8" t="str">
            <v>Paramaz Avedisian Building</v>
          </cell>
        </row>
      </sheetData>
      <sheetData sheetId="2757">
        <row r="8">
          <cell r="D8" t="str">
            <v>Paramaz Avedisian Building</v>
          </cell>
        </row>
      </sheetData>
      <sheetData sheetId="2758">
        <row r="8">
          <cell r="D8" t="str">
            <v>Paramaz Avedisian Building</v>
          </cell>
        </row>
      </sheetData>
      <sheetData sheetId="2759">
        <row r="8">
          <cell r="D8" t="str">
            <v>Paramaz Avedisian Building</v>
          </cell>
        </row>
      </sheetData>
      <sheetData sheetId="2760">
        <row r="8">
          <cell r="D8" t="str">
            <v>Paramaz Avedisian Building</v>
          </cell>
        </row>
      </sheetData>
      <sheetData sheetId="2761">
        <row r="8">
          <cell r="D8" t="str">
            <v>Paramaz Avedisian Building</v>
          </cell>
        </row>
      </sheetData>
      <sheetData sheetId="2762">
        <row r="8">
          <cell r="D8" t="str">
            <v>Paramaz Avedisian Building</v>
          </cell>
        </row>
      </sheetData>
      <sheetData sheetId="2763">
        <row r="8">
          <cell r="D8" t="str">
            <v>Paramaz Avedisian Building</v>
          </cell>
        </row>
      </sheetData>
      <sheetData sheetId="2764">
        <row r="8">
          <cell r="D8" t="str">
            <v>Paramaz Avedisian Building</v>
          </cell>
        </row>
      </sheetData>
      <sheetData sheetId="2765">
        <row r="8">
          <cell r="D8" t="str">
            <v>Paramaz Avedisian Building</v>
          </cell>
        </row>
      </sheetData>
      <sheetData sheetId="2766">
        <row r="8">
          <cell r="D8" t="str">
            <v>Paramaz Avedisian Building</v>
          </cell>
        </row>
      </sheetData>
      <sheetData sheetId="2767">
        <row r="8">
          <cell r="D8" t="str">
            <v>Paramaz Avedisian Building</v>
          </cell>
        </row>
      </sheetData>
      <sheetData sheetId="2768">
        <row r="8">
          <cell r="D8" t="str">
            <v>Paramaz Avedisian Building</v>
          </cell>
        </row>
      </sheetData>
      <sheetData sheetId="2769">
        <row r="8">
          <cell r="D8" t="str">
            <v>Paramaz Avedisian Building</v>
          </cell>
        </row>
      </sheetData>
      <sheetData sheetId="2770">
        <row r="8">
          <cell r="D8" t="str">
            <v>Paramaz Avedisian Building</v>
          </cell>
        </row>
      </sheetData>
      <sheetData sheetId="2771">
        <row r="8">
          <cell r="D8" t="str">
            <v>Paramaz Avedisian Building</v>
          </cell>
        </row>
      </sheetData>
      <sheetData sheetId="2772">
        <row r="8">
          <cell r="D8" t="str">
            <v>Paramaz Avedisian Building</v>
          </cell>
        </row>
      </sheetData>
      <sheetData sheetId="2773">
        <row r="8">
          <cell r="D8" t="str">
            <v>Paramaz Avedisian Building</v>
          </cell>
        </row>
      </sheetData>
      <sheetData sheetId="2774">
        <row r="8">
          <cell r="D8" t="str">
            <v>Paramaz Avedisian Building</v>
          </cell>
        </row>
      </sheetData>
      <sheetData sheetId="2775">
        <row r="8">
          <cell r="D8" t="str">
            <v>Paramaz Avedisian Building</v>
          </cell>
        </row>
      </sheetData>
      <sheetData sheetId="2776">
        <row r="8">
          <cell r="D8" t="str">
            <v>Paramaz Avedisian Building</v>
          </cell>
        </row>
      </sheetData>
      <sheetData sheetId="2777">
        <row r="8">
          <cell r="D8" t="str">
            <v>Paramaz Avedisian Building</v>
          </cell>
        </row>
      </sheetData>
      <sheetData sheetId="2778">
        <row r="8">
          <cell r="D8" t="str">
            <v>Paramaz Avedisian Building</v>
          </cell>
        </row>
      </sheetData>
      <sheetData sheetId="2779">
        <row r="8">
          <cell r="D8" t="str">
            <v>Paramaz Avedisian Building</v>
          </cell>
        </row>
      </sheetData>
      <sheetData sheetId="2780">
        <row r="8">
          <cell r="D8" t="str">
            <v>Paramaz Avedisian Building</v>
          </cell>
        </row>
      </sheetData>
      <sheetData sheetId="2781">
        <row r="8">
          <cell r="D8" t="str">
            <v>Paramaz Avedisian Building</v>
          </cell>
        </row>
      </sheetData>
      <sheetData sheetId="2782">
        <row r="8">
          <cell r="D8" t="str">
            <v>Paramaz Avedisian Building</v>
          </cell>
        </row>
      </sheetData>
      <sheetData sheetId="2783">
        <row r="8">
          <cell r="D8" t="str">
            <v>Paramaz Avedisian Building</v>
          </cell>
        </row>
      </sheetData>
      <sheetData sheetId="2784">
        <row r="8">
          <cell r="D8" t="str">
            <v>Paramaz Avedisian Building</v>
          </cell>
        </row>
      </sheetData>
      <sheetData sheetId="2785">
        <row r="8">
          <cell r="D8" t="str">
            <v>Paramaz Avedisian Building</v>
          </cell>
        </row>
      </sheetData>
      <sheetData sheetId="2786">
        <row r="8">
          <cell r="D8" t="str">
            <v>Paramaz Avedisian Building</v>
          </cell>
        </row>
      </sheetData>
      <sheetData sheetId="2787">
        <row r="8">
          <cell r="D8" t="str">
            <v>Paramaz Avedisian Building</v>
          </cell>
        </row>
      </sheetData>
      <sheetData sheetId="2788">
        <row r="8">
          <cell r="D8" t="str">
            <v>Paramaz Avedisian Building</v>
          </cell>
        </row>
      </sheetData>
      <sheetData sheetId="2789">
        <row r="8">
          <cell r="D8" t="str">
            <v>Paramaz Avedisian Building</v>
          </cell>
        </row>
      </sheetData>
      <sheetData sheetId="2790">
        <row r="8">
          <cell r="D8" t="str">
            <v>Paramaz Avedisian Building</v>
          </cell>
        </row>
      </sheetData>
      <sheetData sheetId="2791">
        <row r="8">
          <cell r="D8" t="str">
            <v>Paramaz Avedisian Building</v>
          </cell>
        </row>
      </sheetData>
      <sheetData sheetId="2792">
        <row r="8">
          <cell r="D8" t="str">
            <v>Paramaz Avedisian Building</v>
          </cell>
        </row>
      </sheetData>
      <sheetData sheetId="2793">
        <row r="8">
          <cell r="D8" t="str">
            <v>Paramaz Avedisian Building</v>
          </cell>
        </row>
      </sheetData>
      <sheetData sheetId="2794">
        <row r="8">
          <cell r="D8" t="str">
            <v>Paramaz Avedisian Building</v>
          </cell>
        </row>
      </sheetData>
      <sheetData sheetId="2795">
        <row r="8">
          <cell r="D8" t="str">
            <v>Paramaz Avedisian Building</v>
          </cell>
        </row>
      </sheetData>
      <sheetData sheetId="2796">
        <row r="8">
          <cell r="D8" t="str">
            <v>Paramaz Avedisian Building</v>
          </cell>
        </row>
      </sheetData>
      <sheetData sheetId="2797">
        <row r="8">
          <cell r="D8" t="str">
            <v>Paramaz Avedisian Building</v>
          </cell>
        </row>
      </sheetData>
      <sheetData sheetId="2798">
        <row r="8">
          <cell r="D8" t="str">
            <v>Paramaz Avedisian Building</v>
          </cell>
        </row>
      </sheetData>
      <sheetData sheetId="2799">
        <row r="8">
          <cell r="D8" t="str">
            <v>Paramaz Avedisian Building</v>
          </cell>
        </row>
      </sheetData>
      <sheetData sheetId="2800">
        <row r="8">
          <cell r="D8" t="str">
            <v>Paramaz Avedisian Building</v>
          </cell>
        </row>
      </sheetData>
      <sheetData sheetId="2801">
        <row r="8">
          <cell r="D8" t="str">
            <v>Paramaz Avedisian Building</v>
          </cell>
        </row>
      </sheetData>
      <sheetData sheetId="2802">
        <row r="8">
          <cell r="D8" t="str">
            <v>Paramaz Avedisian Building</v>
          </cell>
        </row>
      </sheetData>
      <sheetData sheetId="2803">
        <row r="8">
          <cell r="D8" t="str">
            <v>Paramaz Avedisian Building</v>
          </cell>
        </row>
      </sheetData>
      <sheetData sheetId="2804">
        <row r="8">
          <cell r="D8" t="str">
            <v>Paramaz Avedisian Building</v>
          </cell>
        </row>
      </sheetData>
      <sheetData sheetId="2805">
        <row r="8">
          <cell r="D8" t="str">
            <v>Paramaz Avedisian Building</v>
          </cell>
        </row>
      </sheetData>
      <sheetData sheetId="2806">
        <row r="8">
          <cell r="D8" t="str">
            <v>Paramaz Avedisian Building</v>
          </cell>
        </row>
      </sheetData>
      <sheetData sheetId="2807">
        <row r="8">
          <cell r="D8" t="str">
            <v>Paramaz Avedisian Building</v>
          </cell>
        </row>
      </sheetData>
      <sheetData sheetId="2808">
        <row r="8">
          <cell r="D8" t="str">
            <v>Paramaz Avedisian Building</v>
          </cell>
        </row>
      </sheetData>
      <sheetData sheetId="2809">
        <row r="8">
          <cell r="D8" t="str">
            <v>Paramaz Avedisian Building</v>
          </cell>
        </row>
      </sheetData>
      <sheetData sheetId="2810">
        <row r="8">
          <cell r="D8" t="str">
            <v>Paramaz Avedisian Building</v>
          </cell>
        </row>
      </sheetData>
      <sheetData sheetId="2811">
        <row r="8">
          <cell r="D8" t="str">
            <v>Paramaz Avedisian Building</v>
          </cell>
        </row>
      </sheetData>
      <sheetData sheetId="2812">
        <row r="8">
          <cell r="D8" t="str">
            <v>Paramaz Avedisian Building</v>
          </cell>
        </row>
      </sheetData>
      <sheetData sheetId="2813">
        <row r="8">
          <cell r="D8" t="str">
            <v>Paramaz Avedisian Building</v>
          </cell>
        </row>
      </sheetData>
      <sheetData sheetId="2814">
        <row r="8">
          <cell r="D8" t="str">
            <v>Paramaz Avedisian Building</v>
          </cell>
        </row>
      </sheetData>
      <sheetData sheetId="2815">
        <row r="8">
          <cell r="D8" t="str">
            <v>Paramaz Avedisian Building</v>
          </cell>
        </row>
      </sheetData>
      <sheetData sheetId="2816">
        <row r="8">
          <cell r="D8" t="str">
            <v>Paramaz Avedisian Building</v>
          </cell>
        </row>
      </sheetData>
      <sheetData sheetId="2817">
        <row r="8">
          <cell r="D8" t="str">
            <v>Paramaz Avedisian Building</v>
          </cell>
        </row>
      </sheetData>
      <sheetData sheetId="2818">
        <row r="8">
          <cell r="D8" t="str">
            <v>Paramaz Avedisian Building</v>
          </cell>
        </row>
      </sheetData>
      <sheetData sheetId="2819">
        <row r="8">
          <cell r="D8" t="str">
            <v>Paramaz Avedisian Building</v>
          </cell>
        </row>
      </sheetData>
      <sheetData sheetId="2820">
        <row r="8">
          <cell r="D8" t="str">
            <v>Paramaz Avedisian Building</v>
          </cell>
        </row>
      </sheetData>
      <sheetData sheetId="2821">
        <row r="8">
          <cell r="D8" t="str">
            <v>Paramaz Avedisian Building</v>
          </cell>
        </row>
      </sheetData>
      <sheetData sheetId="2822">
        <row r="8">
          <cell r="D8" t="str">
            <v>Paramaz Avedisian Building</v>
          </cell>
        </row>
      </sheetData>
      <sheetData sheetId="2823" refreshError="1"/>
      <sheetData sheetId="2824">
        <row r="8">
          <cell r="D8" t="str">
            <v>Paramaz Avedisian Building</v>
          </cell>
        </row>
      </sheetData>
      <sheetData sheetId="2825">
        <row r="8">
          <cell r="D8" t="str">
            <v>Paramaz Avedisian Building</v>
          </cell>
        </row>
      </sheetData>
      <sheetData sheetId="2826">
        <row r="8">
          <cell r="D8" t="str">
            <v>Paramaz Avedisian Building</v>
          </cell>
        </row>
      </sheetData>
      <sheetData sheetId="2827">
        <row r="8">
          <cell r="D8" t="str">
            <v>Paramaz Avedisian Building</v>
          </cell>
        </row>
      </sheetData>
      <sheetData sheetId="2828">
        <row r="8">
          <cell r="D8" t="str">
            <v>Paramaz Avedisian Building</v>
          </cell>
        </row>
      </sheetData>
      <sheetData sheetId="2829">
        <row r="8">
          <cell r="D8" t="str">
            <v>Paramaz Avedisian Building</v>
          </cell>
        </row>
      </sheetData>
      <sheetData sheetId="2830">
        <row r="8">
          <cell r="D8" t="str">
            <v>Paramaz Avedisian Building</v>
          </cell>
        </row>
      </sheetData>
      <sheetData sheetId="2831">
        <row r="8">
          <cell r="D8" t="str">
            <v>Paramaz Avedisian Building</v>
          </cell>
        </row>
      </sheetData>
      <sheetData sheetId="2832">
        <row r="8">
          <cell r="D8" t="str">
            <v>Paramaz Avedisian Building</v>
          </cell>
        </row>
      </sheetData>
      <sheetData sheetId="2833">
        <row r="8">
          <cell r="D8" t="str">
            <v>Paramaz Avedisian Building</v>
          </cell>
        </row>
      </sheetData>
      <sheetData sheetId="2834">
        <row r="8">
          <cell r="D8" t="str">
            <v>Paramaz Avedisian Building</v>
          </cell>
        </row>
      </sheetData>
      <sheetData sheetId="2835">
        <row r="8">
          <cell r="D8" t="str">
            <v>Paramaz Avedisian Building</v>
          </cell>
        </row>
      </sheetData>
      <sheetData sheetId="2836">
        <row r="8">
          <cell r="D8" t="str">
            <v>Paramaz Avedisian Building</v>
          </cell>
        </row>
      </sheetData>
      <sheetData sheetId="2837">
        <row r="8">
          <cell r="D8" t="str">
            <v>Paramaz Avedisian Building</v>
          </cell>
        </row>
      </sheetData>
      <sheetData sheetId="2838">
        <row r="8">
          <cell r="D8" t="str">
            <v>Paramaz Avedisian Building</v>
          </cell>
        </row>
      </sheetData>
      <sheetData sheetId="2839">
        <row r="8">
          <cell r="D8" t="str">
            <v>Paramaz Avedisian Building</v>
          </cell>
        </row>
      </sheetData>
      <sheetData sheetId="2840">
        <row r="8">
          <cell r="D8" t="str">
            <v>Paramaz Avedisian Building</v>
          </cell>
        </row>
      </sheetData>
      <sheetData sheetId="2841">
        <row r="8">
          <cell r="D8" t="str">
            <v>Paramaz Avedisian Building</v>
          </cell>
        </row>
      </sheetData>
      <sheetData sheetId="2842">
        <row r="8">
          <cell r="D8" t="str">
            <v>Paramaz Avedisian Building</v>
          </cell>
        </row>
      </sheetData>
      <sheetData sheetId="2843">
        <row r="8">
          <cell r="D8" t="str">
            <v>Paramaz Avedisian Building</v>
          </cell>
        </row>
      </sheetData>
      <sheetData sheetId="2844">
        <row r="8">
          <cell r="D8" t="str">
            <v>Paramaz Avedisian Building</v>
          </cell>
        </row>
      </sheetData>
      <sheetData sheetId="2845">
        <row r="8">
          <cell r="D8" t="str">
            <v>Paramaz Avedisian Building</v>
          </cell>
        </row>
      </sheetData>
      <sheetData sheetId="2846">
        <row r="8">
          <cell r="D8" t="str">
            <v>Paramaz Avedisian Building</v>
          </cell>
        </row>
      </sheetData>
      <sheetData sheetId="2847">
        <row r="8">
          <cell r="D8" t="str">
            <v>Paramaz Avedisian Building</v>
          </cell>
        </row>
      </sheetData>
      <sheetData sheetId="2848">
        <row r="8">
          <cell r="D8" t="str">
            <v>Paramaz Avedisian Building</v>
          </cell>
        </row>
      </sheetData>
      <sheetData sheetId="2849">
        <row r="8">
          <cell r="D8" t="str">
            <v>Paramaz Avedisian Building</v>
          </cell>
        </row>
      </sheetData>
      <sheetData sheetId="2850">
        <row r="8">
          <cell r="D8" t="str">
            <v>Paramaz Avedisian Building</v>
          </cell>
        </row>
      </sheetData>
      <sheetData sheetId="2851">
        <row r="8">
          <cell r="D8" t="str">
            <v>Paramaz Avedisian Building</v>
          </cell>
        </row>
      </sheetData>
      <sheetData sheetId="2852">
        <row r="8">
          <cell r="D8" t="str">
            <v>Paramaz Avedisian Building</v>
          </cell>
        </row>
      </sheetData>
      <sheetData sheetId="2853">
        <row r="8">
          <cell r="D8" t="str">
            <v>Paramaz Avedisian Building</v>
          </cell>
        </row>
      </sheetData>
      <sheetData sheetId="2854">
        <row r="8">
          <cell r="D8" t="str">
            <v>Paramaz Avedisian Building</v>
          </cell>
        </row>
      </sheetData>
      <sheetData sheetId="2855">
        <row r="8">
          <cell r="D8" t="str">
            <v>Paramaz Avedisian Building</v>
          </cell>
        </row>
      </sheetData>
      <sheetData sheetId="2856">
        <row r="8">
          <cell r="D8" t="str">
            <v>Paramaz Avedisian Building</v>
          </cell>
        </row>
      </sheetData>
      <sheetData sheetId="2857">
        <row r="8">
          <cell r="D8" t="str">
            <v>Paramaz Avedisian Building</v>
          </cell>
        </row>
      </sheetData>
      <sheetData sheetId="2858">
        <row r="8">
          <cell r="D8" t="str">
            <v>Paramaz Avedisian Building</v>
          </cell>
        </row>
      </sheetData>
      <sheetData sheetId="2859">
        <row r="8">
          <cell r="D8" t="str">
            <v>Paramaz Avedisian Building</v>
          </cell>
        </row>
      </sheetData>
      <sheetData sheetId="2860">
        <row r="8">
          <cell r="D8" t="str">
            <v>Paramaz Avedisian Building</v>
          </cell>
        </row>
      </sheetData>
      <sheetData sheetId="2861">
        <row r="8">
          <cell r="D8" t="str">
            <v>Paramaz Avedisian Building</v>
          </cell>
        </row>
      </sheetData>
      <sheetData sheetId="2862">
        <row r="8">
          <cell r="D8" t="str">
            <v>Paramaz Avedisian Building</v>
          </cell>
        </row>
      </sheetData>
      <sheetData sheetId="2863">
        <row r="8">
          <cell r="D8" t="str">
            <v>Paramaz Avedisian Building</v>
          </cell>
        </row>
      </sheetData>
      <sheetData sheetId="2864">
        <row r="8">
          <cell r="D8" t="str">
            <v>Paramaz Avedisian Building</v>
          </cell>
        </row>
      </sheetData>
      <sheetData sheetId="2865">
        <row r="8">
          <cell r="D8" t="str">
            <v>Paramaz Avedisian Building</v>
          </cell>
        </row>
      </sheetData>
      <sheetData sheetId="2866">
        <row r="8">
          <cell r="D8" t="str">
            <v>Paramaz Avedisian Building</v>
          </cell>
        </row>
      </sheetData>
      <sheetData sheetId="2867">
        <row r="8">
          <cell r="D8" t="str">
            <v>Paramaz Avedisian Building</v>
          </cell>
        </row>
      </sheetData>
      <sheetData sheetId="2868">
        <row r="8">
          <cell r="D8" t="str">
            <v>Paramaz Avedisian Building</v>
          </cell>
        </row>
      </sheetData>
      <sheetData sheetId="2869">
        <row r="8">
          <cell r="D8" t="str">
            <v>Paramaz Avedisian Building</v>
          </cell>
        </row>
      </sheetData>
      <sheetData sheetId="2870">
        <row r="8">
          <cell r="D8" t="str">
            <v>Paramaz Avedisian Building</v>
          </cell>
        </row>
      </sheetData>
      <sheetData sheetId="2871">
        <row r="8">
          <cell r="D8" t="str">
            <v>Paramaz Avedisian Building</v>
          </cell>
        </row>
      </sheetData>
      <sheetData sheetId="2872">
        <row r="8">
          <cell r="D8" t="str">
            <v>Paramaz Avedisian Building</v>
          </cell>
        </row>
      </sheetData>
      <sheetData sheetId="2873">
        <row r="8">
          <cell r="D8" t="str">
            <v>Paramaz Avedisian Building</v>
          </cell>
        </row>
      </sheetData>
      <sheetData sheetId="2874">
        <row r="8">
          <cell r="D8" t="str">
            <v>Paramaz Avedisian Building</v>
          </cell>
        </row>
      </sheetData>
      <sheetData sheetId="2875">
        <row r="8">
          <cell r="D8" t="str">
            <v>Paramaz Avedisian Building</v>
          </cell>
        </row>
      </sheetData>
      <sheetData sheetId="2876">
        <row r="8">
          <cell r="D8" t="str">
            <v>Paramaz Avedisian Building</v>
          </cell>
        </row>
      </sheetData>
      <sheetData sheetId="2877">
        <row r="8">
          <cell r="D8" t="str">
            <v>Paramaz Avedisian Building</v>
          </cell>
        </row>
      </sheetData>
      <sheetData sheetId="2878">
        <row r="8">
          <cell r="D8" t="str">
            <v>Paramaz Avedisian Building</v>
          </cell>
        </row>
      </sheetData>
      <sheetData sheetId="2879">
        <row r="8">
          <cell r="D8" t="str">
            <v>Paramaz Avedisian Building</v>
          </cell>
        </row>
      </sheetData>
      <sheetData sheetId="2880">
        <row r="8">
          <cell r="D8" t="str">
            <v>Paramaz Avedisian Building</v>
          </cell>
        </row>
      </sheetData>
      <sheetData sheetId="2881">
        <row r="8">
          <cell r="D8" t="str">
            <v>Paramaz Avedisian Building</v>
          </cell>
        </row>
      </sheetData>
      <sheetData sheetId="2882">
        <row r="8">
          <cell r="D8" t="str">
            <v>Paramaz Avedisian Building</v>
          </cell>
        </row>
      </sheetData>
      <sheetData sheetId="2883">
        <row r="8">
          <cell r="D8" t="str">
            <v>Paramaz Avedisian Building</v>
          </cell>
        </row>
      </sheetData>
      <sheetData sheetId="2884">
        <row r="8">
          <cell r="D8" t="str">
            <v>Paramaz Avedisian Building</v>
          </cell>
        </row>
      </sheetData>
      <sheetData sheetId="2885">
        <row r="8">
          <cell r="D8" t="str">
            <v>Paramaz Avedisian Building</v>
          </cell>
        </row>
      </sheetData>
      <sheetData sheetId="2886">
        <row r="8">
          <cell r="D8" t="str">
            <v>Paramaz Avedisian Building</v>
          </cell>
        </row>
      </sheetData>
      <sheetData sheetId="2887">
        <row r="8">
          <cell r="D8" t="str">
            <v>Paramaz Avedisian Building</v>
          </cell>
        </row>
      </sheetData>
      <sheetData sheetId="2888">
        <row r="8">
          <cell r="D8" t="str">
            <v>Paramaz Avedisian Building</v>
          </cell>
        </row>
      </sheetData>
      <sheetData sheetId="2889">
        <row r="8">
          <cell r="D8" t="str">
            <v>Paramaz Avedisian Building</v>
          </cell>
        </row>
      </sheetData>
      <sheetData sheetId="2890">
        <row r="8">
          <cell r="D8" t="str">
            <v>Paramaz Avedisian Building</v>
          </cell>
        </row>
      </sheetData>
      <sheetData sheetId="2891">
        <row r="8">
          <cell r="D8" t="str">
            <v>Paramaz Avedisian Building</v>
          </cell>
        </row>
      </sheetData>
      <sheetData sheetId="2892">
        <row r="8">
          <cell r="D8" t="str">
            <v>Paramaz Avedisian Building</v>
          </cell>
        </row>
      </sheetData>
      <sheetData sheetId="2893">
        <row r="8">
          <cell r="D8" t="str">
            <v>Paramaz Avedisian Building</v>
          </cell>
        </row>
      </sheetData>
      <sheetData sheetId="2894">
        <row r="8">
          <cell r="D8" t="str">
            <v>Paramaz Avedisian Building</v>
          </cell>
        </row>
      </sheetData>
      <sheetData sheetId="2895">
        <row r="8">
          <cell r="D8" t="str">
            <v>Paramaz Avedisian Building</v>
          </cell>
        </row>
      </sheetData>
      <sheetData sheetId="2896">
        <row r="8">
          <cell r="D8" t="str">
            <v>Paramaz Avedisian Building</v>
          </cell>
        </row>
      </sheetData>
      <sheetData sheetId="2897">
        <row r="8">
          <cell r="D8" t="str">
            <v>Paramaz Avedisian Building</v>
          </cell>
        </row>
      </sheetData>
      <sheetData sheetId="2898">
        <row r="8">
          <cell r="D8" t="str">
            <v>Paramaz Avedisian Building</v>
          </cell>
        </row>
      </sheetData>
      <sheetData sheetId="2899">
        <row r="8">
          <cell r="D8" t="str">
            <v>Paramaz Avedisian Building</v>
          </cell>
        </row>
      </sheetData>
      <sheetData sheetId="2900">
        <row r="8">
          <cell r="D8" t="str">
            <v>Paramaz Avedisian Building</v>
          </cell>
        </row>
      </sheetData>
      <sheetData sheetId="2901">
        <row r="8">
          <cell r="D8" t="str">
            <v>Paramaz Avedisian Building</v>
          </cell>
        </row>
      </sheetData>
      <sheetData sheetId="2902">
        <row r="8">
          <cell r="D8" t="str">
            <v>Paramaz Avedisian Building</v>
          </cell>
        </row>
      </sheetData>
      <sheetData sheetId="2903">
        <row r="8">
          <cell r="D8" t="str">
            <v>Paramaz Avedisian Building</v>
          </cell>
        </row>
      </sheetData>
      <sheetData sheetId="2904">
        <row r="8">
          <cell r="D8" t="str">
            <v>Paramaz Avedisian Building</v>
          </cell>
        </row>
      </sheetData>
      <sheetData sheetId="2905">
        <row r="8">
          <cell r="D8" t="str">
            <v>Paramaz Avedisian Building</v>
          </cell>
        </row>
      </sheetData>
      <sheetData sheetId="2906">
        <row r="8">
          <cell r="D8" t="str">
            <v>Paramaz Avedisian Building</v>
          </cell>
        </row>
      </sheetData>
      <sheetData sheetId="2907">
        <row r="8">
          <cell r="D8" t="str">
            <v>Paramaz Avedisian Building</v>
          </cell>
        </row>
      </sheetData>
      <sheetData sheetId="2908">
        <row r="8">
          <cell r="D8" t="str">
            <v>Paramaz Avedisian Building</v>
          </cell>
        </row>
      </sheetData>
      <sheetData sheetId="2909">
        <row r="8">
          <cell r="D8" t="str">
            <v>Paramaz Avedisian Building</v>
          </cell>
        </row>
      </sheetData>
      <sheetData sheetId="2910">
        <row r="8">
          <cell r="D8" t="str">
            <v>Paramaz Avedisian Building</v>
          </cell>
        </row>
      </sheetData>
      <sheetData sheetId="2911">
        <row r="8">
          <cell r="D8" t="str">
            <v>Paramaz Avedisian Building</v>
          </cell>
        </row>
      </sheetData>
      <sheetData sheetId="2912">
        <row r="8">
          <cell r="D8" t="str">
            <v>Paramaz Avedisian Building</v>
          </cell>
        </row>
      </sheetData>
      <sheetData sheetId="2913">
        <row r="8">
          <cell r="D8" t="str">
            <v>Paramaz Avedisian Building</v>
          </cell>
        </row>
      </sheetData>
      <sheetData sheetId="2914">
        <row r="8">
          <cell r="D8" t="str">
            <v>Paramaz Avedisian Building</v>
          </cell>
        </row>
      </sheetData>
      <sheetData sheetId="2915">
        <row r="8">
          <cell r="D8" t="str">
            <v>Paramaz Avedisian Building</v>
          </cell>
        </row>
      </sheetData>
      <sheetData sheetId="2916">
        <row r="8">
          <cell r="D8" t="str">
            <v>Paramaz Avedisian Building</v>
          </cell>
        </row>
      </sheetData>
      <sheetData sheetId="2917">
        <row r="8">
          <cell r="D8" t="str">
            <v>Paramaz Avedisian Building</v>
          </cell>
        </row>
      </sheetData>
      <sheetData sheetId="2918">
        <row r="8">
          <cell r="D8" t="str">
            <v>Paramaz Avedisian Building</v>
          </cell>
        </row>
      </sheetData>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ow r="8">
          <cell r="D8" t="str">
            <v>Paramaz Avedisian Building</v>
          </cell>
        </row>
      </sheetData>
      <sheetData sheetId="2971">
        <row r="8">
          <cell r="D8" t="str">
            <v>Paramaz Avedisian Building</v>
          </cell>
        </row>
      </sheetData>
      <sheetData sheetId="2972">
        <row r="8">
          <cell r="D8" t="str">
            <v>Paramaz Avedisian Building</v>
          </cell>
        </row>
      </sheetData>
      <sheetData sheetId="2973">
        <row r="8">
          <cell r="D8" t="str">
            <v>Paramaz Avedisian Building</v>
          </cell>
        </row>
      </sheetData>
      <sheetData sheetId="2974">
        <row r="8">
          <cell r="D8" t="str">
            <v>Paramaz Avedisian Building</v>
          </cell>
        </row>
      </sheetData>
      <sheetData sheetId="2975">
        <row r="8">
          <cell r="D8" t="str">
            <v>Paramaz Avedisian Building</v>
          </cell>
        </row>
      </sheetData>
      <sheetData sheetId="2976">
        <row r="8">
          <cell r="D8" t="str">
            <v>Paramaz Avedisian Building</v>
          </cell>
        </row>
      </sheetData>
      <sheetData sheetId="2977">
        <row r="8">
          <cell r="D8" t="str">
            <v>Paramaz Avedisian Building</v>
          </cell>
        </row>
      </sheetData>
      <sheetData sheetId="2978">
        <row r="8">
          <cell r="D8" t="str">
            <v>Paramaz Avedisian Building</v>
          </cell>
        </row>
      </sheetData>
      <sheetData sheetId="2979">
        <row r="8">
          <cell r="D8" t="str">
            <v>Paramaz Avedisian Building</v>
          </cell>
        </row>
      </sheetData>
      <sheetData sheetId="2980">
        <row r="8">
          <cell r="D8" t="str">
            <v>Paramaz Avedisian Building</v>
          </cell>
        </row>
      </sheetData>
      <sheetData sheetId="2981">
        <row r="8">
          <cell r="D8" t="str">
            <v>Paramaz Avedisian Building</v>
          </cell>
        </row>
      </sheetData>
      <sheetData sheetId="2982">
        <row r="8">
          <cell r="D8" t="str">
            <v>Paramaz Avedisian Building</v>
          </cell>
        </row>
      </sheetData>
      <sheetData sheetId="2983">
        <row r="8">
          <cell r="D8" t="str">
            <v>Paramaz Avedisian Building</v>
          </cell>
        </row>
      </sheetData>
      <sheetData sheetId="2984">
        <row r="8">
          <cell r="D8" t="str">
            <v>Paramaz Avedisian Building</v>
          </cell>
        </row>
      </sheetData>
      <sheetData sheetId="2985">
        <row r="8">
          <cell r="D8" t="str">
            <v>Paramaz Avedisian Building</v>
          </cell>
        </row>
      </sheetData>
      <sheetData sheetId="2986">
        <row r="8">
          <cell r="D8" t="str">
            <v>Paramaz Avedisian Building</v>
          </cell>
        </row>
      </sheetData>
      <sheetData sheetId="2987">
        <row r="8">
          <cell r="D8" t="str">
            <v>Paramaz Avedisian Building</v>
          </cell>
        </row>
      </sheetData>
      <sheetData sheetId="2988">
        <row r="8">
          <cell r="D8" t="str">
            <v>Paramaz Avedisian Building</v>
          </cell>
        </row>
      </sheetData>
      <sheetData sheetId="2989">
        <row r="8">
          <cell r="D8" t="str">
            <v>Paramaz Avedisian Building</v>
          </cell>
        </row>
      </sheetData>
      <sheetData sheetId="2990">
        <row r="8">
          <cell r="D8" t="str">
            <v>Paramaz Avedisian Building</v>
          </cell>
        </row>
      </sheetData>
      <sheetData sheetId="2991">
        <row r="8">
          <cell r="D8" t="str">
            <v>Paramaz Avedisian Building</v>
          </cell>
        </row>
      </sheetData>
      <sheetData sheetId="2992">
        <row r="8">
          <cell r="D8" t="str">
            <v>Paramaz Avedisian Building</v>
          </cell>
        </row>
      </sheetData>
      <sheetData sheetId="2993">
        <row r="8">
          <cell r="D8" t="str">
            <v>Paramaz Avedisian Building</v>
          </cell>
        </row>
      </sheetData>
      <sheetData sheetId="2994">
        <row r="8">
          <cell r="D8" t="str">
            <v>Paramaz Avedisian Building</v>
          </cell>
        </row>
      </sheetData>
      <sheetData sheetId="2995">
        <row r="8">
          <cell r="D8" t="str">
            <v>Paramaz Avedisian Building</v>
          </cell>
        </row>
      </sheetData>
      <sheetData sheetId="2996">
        <row r="8">
          <cell r="D8" t="str">
            <v>Paramaz Avedisian Building</v>
          </cell>
        </row>
      </sheetData>
      <sheetData sheetId="2997">
        <row r="8">
          <cell r="D8" t="str">
            <v>Paramaz Avedisian Building</v>
          </cell>
        </row>
      </sheetData>
      <sheetData sheetId="2998">
        <row r="8">
          <cell r="D8" t="str">
            <v>Paramaz Avedisian Building</v>
          </cell>
        </row>
      </sheetData>
      <sheetData sheetId="2999">
        <row r="8">
          <cell r="D8" t="str">
            <v>Paramaz Avedisian Building</v>
          </cell>
        </row>
      </sheetData>
      <sheetData sheetId="3000">
        <row r="8">
          <cell r="D8" t="str">
            <v>Paramaz Avedisian Building</v>
          </cell>
        </row>
      </sheetData>
      <sheetData sheetId="3001">
        <row r="8">
          <cell r="D8" t="str">
            <v>Paramaz Avedisian Building</v>
          </cell>
        </row>
      </sheetData>
      <sheetData sheetId="3002">
        <row r="8">
          <cell r="D8" t="str">
            <v>Paramaz Avedisian Building</v>
          </cell>
        </row>
      </sheetData>
      <sheetData sheetId="3003">
        <row r="8">
          <cell r="D8" t="str">
            <v>Paramaz Avedisian Building</v>
          </cell>
        </row>
      </sheetData>
      <sheetData sheetId="3004">
        <row r="8">
          <cell r="D8" t="str">
            <v>Paramaz Avedisian Building</v>
          </cell>
        </row>
      </sheetData>
      <sheetData sheetId="3005">
        <row r="8">
          <cell r="D8" t="str">
            <v>Paramaz Avedisian Building</v>
          </cell>
        </row>
      </sheetData>
      <sheetData sheetId="3006">
        <row r="8">
          <cell r="D8" t="str">
            <v>Paramaz Avedisian Building</v>
          </cell>
        </row>
      </sheetData>
      <sheetData sheetId="3007">
        <row r="8">
          <cell r="D8" t="str">
            <v>Paramaz Avedisian Building</v>
          </cell>
        </row>
      </sheetData>
      <sheetData sheetId="3008">
        <row r="8">
          <cell r="D8" t="str">
            <v>Paramaz Avedisian Building</v>
          </cell>
        </row>
      </sheetData>
      <sheetData sheetId="3009">
        <row r="8">
          <cell r="D8" t="str">
            <v>Paramaz Avedisian Building</v>
          </cell>
        </row>
      </sheetData>
      <sheetData sheetId="3010">
        <row r="8">
          <cell r="D8" t="str">
            <v>Paramaz Avedisian Building</v>
          </cell>
        </row>
      </sheetData>
      <sheetData sheetId="3011">
        <row r="8">
          <cell r="D8" t="str">
            <v>Paramaz Avedisian Building</v>
          </cell>
        </row>
      </sheetData>
      <sheetData sheetId="3012">
        <row r="8">
          <cell r="D8" t="str">
            <v>Paramaz Avedisian Building</v>
          </cell>
        </row>
      </sheetData>
      <sheetData sheetId="3013">
        <row r="8">
          <cell r="D8" t="str">
            <v>Paramaz Avedisian Building</v>
          </cell>
        </row>
      </sheetData>
      <sheetData sheetId="3014">
        <row r="8">
          <cell r="D8" t="str">
            <v>Paramaz Avedisian Building</v>
          </cell>
        </row>
      </sheetData>
      <sheetData sheetId="3015">
        <row r="8">
          <cell r="D8" t="str">
            <v>Paramaz Avedisian Building</v>
          </cell>
        </row>
      </sheetData>
      <sheetData sheetId="3016">
        <row r="8">
          <cell r="D8" t="str">
            <v>Paramaz Avedisian Building</v>
          </cell>
        </row>
      </sheetData>
      <sheetData sheetId="3017">
        <row r="8">
          <cell r="D8" t="str">
            <v>Paramaz Avedisian Building</v>
          </cell>
        </row>
      </sheetData>
      <sheetData sheetId="3018">
        <row r="8">
          <cell r="D8" t="str">
            <v>Paramaz Avedisian Building</v>
          </cell>
        </row>
      </sheetData>
      <sheetData sheetId="3019">
        <row r="8">
          <cell r="D8" t="str">
            <v>Paramaz Avedisian Building</v>
          </cell>
        </row>
      </sheetData>
      <sheetData sheetId="3020">
        <row r="8">
          <cell r="D8" t="str">
            <v>Paramaz Avedisian Building</v>
          </cell>
        </row>
      </sheetData>
      <sheetData sheetId="3021">
        <row r="8">
          <cell r="D8" t="str">
            <v>Paramaz Avedisian Building</v>
          </cell>
        </row>
      </sheetData>
      <sheetData sheetId="3022">
        <row r="8">
          <cell r="D8" t="str">
            <v>Paramaz Avedisian Building</v>
          </cell>
        </row>
      </sheetData>
      <sheetData sheetId="3023">
        <row r="8">
          <cell r="D8" t="str">
            <v>Paramaz Avedisian Building</v>
          </cell>
        </row>
      </sheetData>
      <sheetData sheetId="3024">
        <row r="8">
          <cell r="D8" t="str">
            <v>Paramaz Avedisian Building</v>
          </cell>
        </row>
      </sheetData>
      <sheetData sheetId="3025">
        <row r="8">
          <cell r="D8" t="str">
            <v>Paramaz Avedisian Building</v>
          </cell>
        </row>
      </sheetData>
      <sheetData sheetId="3026">
        <row r="8">
          <cell r="D8" t="str">
            <v>Paramaz Avedisian Building</v>
          </cell>
        </row>
      </sheetData>
      <sheetData sheetId="3027">
        <row r="8">
          <cell r="D8" t="str">
            <v>Paramaz Avedisian Building</v>
          </cell>
        </row>
      </sheetData>
      <sheetData sheetId="3028">
        <row r="8">
          <cell r="D8" t="str">
            <v>Paramaz Avedisian Building</v>
          </cell>
        </row>
      </sheetData>
      <sheetData sheetId="3029">
        <row r="8">
          <cell r="D8" t="str">
            <v>Paramaz Avedisian Building</v>
          </cell>
        </row>
      </sheetData>
      <sheetData sheetId="3030">
        <row r="8">
          <cell r="D8" t="str">
            <v>Paramaz Avedisian Building</v>
          </cell>
        </row>
      </sheetData>
      <sheetData sheetId="3031">
        <row r="8">
          <cell r="D8" t="str">
            <v>Paramaz Avedisian Building</v>
          </cell>
        </row>
      </sheetData>
      <sheetData sheetId="3032">
        <row r="8">
          <cell r="D8" t="str">
            <v>Paramaz Avedisian Building</v>
          </cell>
        </row>
      </sheetData>
      <sheetData sheetId="3033">
        <row r="8">
          <cell r="D8" t="str">
            <v>Paramaz Avedisian Building</v>
          </cell>
        </row>
      </sheetData>
      <sheetData sheetId="3034">
        <row r="8">
          <cell r="D8" t="str">
            <v>Paramaz Avedisian Building</v>
          </cell>
        </row>
      </sheetData>
      <sheetData sheetId="3035">
        <row r="8">
          <cell r="D8" t="str">
            <v>Paramaz Avedisian Building</v>
          </cell>
        </row>
      </sheetData>
      <sheetData sheetId="3036">
        <row r="8">
          <cell r="D8" t="str">
            <v>Paramaz Avedisian Building</v>
          </cell>
        </row>
      </sheetData>
      <sheetData sheetId="3037">
        <row r="8">
          <cell r="D8" t="str">
            <v>Paramaz Avedisian Building</v>
          </cell>
        </row>
      </sheetData>
      <sheetData sheetId="3038">
        <row r="8">
          <cell r="D8" t="str">
            <v>Paramaz Avedisian Building</v>
          </cell>
        </row>
      </sheetData>
      <sheetData sheetId="3039">
        <row r="8">
          <cell r="D8" t="str">
            <v>Paramaz Avedisian Building</v>
          </cell>
        </row>
      </sheetData>
      <sheetData sheetId="3040">
        <row r="8">
          <cell r="D8" t="str">
            <v>Paramaz Avedisian Building</v>
          </cell>
        </row>
      </sheetData>
      <sheetData sheetId="3041">
        <row r="8">
          <cell r="D8" t="str">
            <v>Paramaz Avedisian Building</v>
          </cell>
        </row>
      </sheetData>
      <sheetData sheetId="3042">
        <row r="8">
          <cell r="D8" t="str">
            <v>Paramaz Avedisian Building</v>
          </cell>
        </row>
      </sheetData>
      <sheetData sheetId="3043">
        <row r="8">
          <cell r="D8" t="str">
            <v>Paramaz Avedisian Building</v>
          </cell>
        </row>
      </sheetData>
      <sheetData sheetId="3044">
        <row r="8">
          <cell r="D8" t="str">
            <v>Paramaz Avedisian Building</v>
          </cell>
        </row>
      </sheetData>
      <sheetData sheetId="3045">
        <row r="8">
          <cell r="D8" t="str">
            <v>Paramaz Avedisian Building</v>
          </cell>
        </row>
      </sheetData>
      <sheetData sheetId="3046">
        <row r="8">
          <cell r="D8" t="str">
            <v>Paramaz Avedisian Building</v>
          </cell>
        </row>
      </sheetData>
      <sheetData sheetId="3047">
        <row r="8">
          <cell r="D8" t="str">
            <v>Paramaz Avedisian Building</v>
          </cell>
        </row>
      </sheetData>
      <sheetData sheetId="3048">
        <row r="8">
          <cell r="D8" t="str">
            <v>Paramaz Avedisian Building</v>
          </cell>
        </row>
      </sheetData>
      <sheetData sheetId="3049">
        <row r="8">
          <cell r="D8" t="str">
            <v>Paramaz Avedisian Building</v>
          </cell>
        </row>
      </sheetData>
      <sheetData sheetId="3050">
        <row r="8">
          <cell r="D8" t="str">
            <v>Paramaz Avedisian Building</v>
          </cell>
        </row>
      </sheetData>
      <sheetData sheetId="3051">
        <row r="8">
          <cell r="D8" t="str">
            <v>Paramaz Avedisian Building</v>
          </cell>
        </row>
      </sheetData>
      <sheetData sheetId="3052">
        <row r="8">
          <cell r="D8" t="str">
            <v>Paramaz Avedisian Building</v>
          </cell>
        </row>
      </sheetData>
      <sheetData sheetId="3053">
        <row r="8">
          <cell r="D8" t="str">
            <v>Paramaz Avedisian Building</v>
          </cell>
        </row>
      </sheetData>
      <sheetData sheetId="3054">
        <row r="8">
          <cell r="D8" t="str">
            <v>Paramaz Avedisian Building</v>
          </cell>
        </row>
      </sheetData>
      <sheetData sheetId="3055">
        <row r="8">
          <cell r="D8" t="str">
            <v>Paramaz Avedisian Building</v>
          </cell>
        </row>
      </sheetData>
      <sheetData sheetId="3056">
        <row r="8">
          <cell r="D8" t="str">
            <v>Paramaz Avedisian Building</v>
          </cell>
        </row>
      </sheetData>
      <sheetData sheetId="3057">
        <row r="8">
          <cell r="D8" t="str">
            <v>Paramaz Avedisian Building</v>
          </cell>
        </row>
      </sheetData>
      <sheetData sheetId="3058">
        <row r="8">
          <cell r="D8" t="str">
            <v>Paramaz Avedisian Building</v>
          </cell>
        </row>
      </sheetData>
      <sheetData sheetId="3059">
        <row r="8">
          <cell r="D8" t="str">
            <v>Paramaz Avedisian Building</v>
          </cell>
        </row>
      </sheetData>
      <sheetData sheetId="3060">
        <row r="8">
          <cell r="D8" t="str">
            <v>Paramaz Avedisian Building</v>
          </cell>
        </row>
      </sheetData>
      <sheetData sheetId="3061">
        <row r="8">
          <cell r="D8" t="str">
            <v>Paramaz Avedisian Building</v>
          </cell>
        </row>
      </sheetData>
      <sheetData sheetId="3062">
        <row r="8">
          <cell r="D8" t="str">
            <v>Paramaz Avedisian Building</v>
          </cell>
        </row>
      </sheetData>
      <sheetData sheetId="3063">
        <row r="8">
          <cell r="D8" t="str">
            <v>Paramaz Avedisian Building</v>
          </cell>
        </row>
      </sheetData>
      <sheetData sheetId="3064">
        <row r="8">
          <cell r="D8" t="str">
            <v>Paramaz Avedisian Building</v>
          </cell>
        </row>
      </sheetData>
      <sheetData sheetId="3065">
        <row r="8">
          <cell r="D8" t="str">
            <v>Paramaz Avedisian Building</v>
          </cell>
        </row>
      </sheetData>
      <sheetData sheetId="3066">
        <row r="8">
          <cell r="D8" t="str">
            <v>Paramaz Avedisian Building</v>
          </cell>
        </row>
      </sheetData>
      <sheetData sheetId="3067">
        <row r="8">
          <cell r="D8" t="str">
            <v>Paramaz Avedisian Building</v>
          </cell>
        </row>
      </sheetData>
      <sheetData sheetId="3068">
        <row r="8">
          <cell r="D8" t="str">
            <v>Paramaz Avedisian Building</v>
          </cell>
        </row>
      </sheetData>
      <sheetData sheetId="3069">
        <row r="8">
          <cell r="D8" t="str">
            <v>Paramaz Avedisian Building</v>
          </cell>
        </row>
      </sheetData>
      <sheetData sheetId="3070">
        <row r="8">
          <cell r="D8" t="str">
            <v>Paramaz Avedisian Building</v>
          </cell>
        </row>
      </sheetData>
      <sheetData sheetId="3071">
        <row r="8">
          <cell r="D8" t="str">
            <v>Paramaz Avedisian Building</v>
          </cell>
        </row>
      </sheetData>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row r="8">
          <cell r="D8" t="str">
            <v>Paramaz Avedisian Building</v>
          </cell>
        </row>
      </sheetData>
      <sheetData sheetId="3098"/>
      <sheetData sheetId="3099"/>
      <sheetData sheetId="3100">
        <row r="8">
          <cell r="D8" t="str">
            <v>Paramaz Avedisian Building</v>
          </cell>
        </row>
      </sheetData>
      <sheetData sheetId="3101">
        <row r="8">
          <cell r="D8" t="str">
            <v>Paramaz Avedisian Building</v>
          </cell>
        </row>
      </sheetData>
      <sheetData sheetId="3102">
        <row r="8">
          <cell r="D8" t="str">
            <v>Paramaz Avedisian Building</v>
          </cell>
        </row>
      </sheetData>
      <sheetData sheetId="3103"/>
      <sheetData sheetId="3104"/>
      <sheetData sheetId="3105">
        <row r="8">
          <cell r="D8" t="str">
            <v>Paramaz Avedisian Building</v>
          </cell>
        </row>
      </sheetData>
      <sheetData sheetId="3106">
        <row r="8">
          <cell r="D8" t="str">
            <v>Paramaz Avedisian Building</v>
          </cell>
        </row>
      </sheetData>
      <sheetData sheetId="3107">
        <row r="8">
          <cell r="D8" t="str">
            <v>Paramaz Avedisian Building</v>
          </cell>
        </row>
      </sheetData>
      <sheetData sheetId="3108"/>
      <sheetData sheetId="3109"/>
      <sheetData sheetId="3110"/>
      <sheetData sheetId="3111"/>
      <sheetData sheetId="3112"/>
      <sheetData sheetId="3113"/>
      <sheetData sheetId="3114">
        <row r="8">
          <cell r="D8" t="str">
            <v>Paramaz Avedisian Building</v>
          </cell>
        </row>
      </sheetData>
      <sheetData sheetId="3115">
        <row r="8">
          <cell r="D8" t="str">
            <v>Paramaz Avedisian Building</v>
          </cell>
        </row>
      </sheetData>
      <sheetData sheetId="3116">
        <row r="8">
          <cell r="D8" t="str">
            <v>Paramaz Avedisian Building</v>
          </cell>
        </row>
      </sheetData>
      <sheetData sheetId="3117">
        <row r="8">
          <cell r="D8" t="str">
            <v>Paramaz Avedisian Building</v>
          </cell>
        </row>
      </sheetData>
      <sheetData sheetId="3118"/>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ow r="8">
          <cell r="D8">
            <v>281.44000000000005</v>
          </cell>
        </row>
      </sheetData>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ow r="8">
          <cell r="D8" t="str">
            <v>Paramaz Avedisian Building</v>
          </cell>
        </row>
      </sheetData>
      <sheetData sheetId="3332">
        <row r="8">
          <cell r="D8" t="str">
            <v>Paramaz Avedisian Building</v>
          </cell>
        </row>
      </sheetData>
      <sheetData sheetId="3333">
        <row r="8">
          <cell r="D8" t="str">
            <v>Paramaz Avedisian Building</v>
          </cell>
        </row>
      </sheetData>
      <sheetData sheetId="3334">
        <row r="8">
          <cell r="D8" t="str">
            <v>Paramaz Avedisian Building</v>
          </cell>
        </row>
      </sheetData>
      <sheetData sheetId="3335">
        <row r="8">
          <cell r="D8" t="str">
            <v>Paramaz Avedisian Building</v>
          </cell>
        </row>
      </sheetData>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efreshError="1"/>
      <sheetData sheetId="3357" refreshError="1"/>
      <sheetData sheetId="3358" refreshError="1"/>
      <sheetData sheetId="3359" refreshError="1"/>
      <sheetData sheetId="3360" refreshError="1"/>
      <sheetData sheetId="3361" refreshError="1"/>
      <sheetData sheetId="3362">
        <row r="8">
          <cell r="D8" t="str">
            <v>Paramaz Avedisian Building</v>
          </cell>
        </row>
      </sheetData>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efreshError="1"/>
      <sheetData sheetId="3619" refreshError="1"/>
      <sheetData sheetId="3620" refreshError="1"/>
      <sheetData sheetId="3621" refreshError="1"/>
      <sheetData sheetId="3622" refreshError="1"/>
      <sheetData sheetId="3623" refreshError="1"/>
      <sheetData sheetId="3624" refreshError="1"/>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ow r="8">
          <cell r="D8" t="str">
            <v>Paramaz Avedisian Building</v>
          </cell>
        </row>
      </sheetData>
      <sheetData sheetId="3638">
        <row r="8">
          <cell r="D8" t="str">
            <v>Paramaz Avedisian Building</v>
          </cell>
        </row>
      </sheetData>
      <sheetData sheetId="3639">
        <row r="8">
          <cell r="D8" t="str">
            <v>Paramaz Avedisian Building</v>
          </cell>
        </row>
      </sheetData>
      <sheetData sheetId="3640">
        <row r="8">
          <cell r="D8" t="str">
            <v>Paramaz Avedisian Building</v>
          </cell>
        </row>
      </sheetData>
      <sheetData sheetId="3641">
        <row r="8">
          <cell r="D8" t="str">
            <v>Paramaz Avedisian Building</v>
          </cell>
        </row>
      </sheetData>
      <sheetData sheetId="3642">
        <row r="8">
          <cell r="D8" t="str">
            <v>Paramaz Avedisian Building</v>
          </cell>
        </row>
      </sheetData>
      <sheetData sheetId="3643">
        <row r="8">
          <cell r="D8" t="str">
            <v>Paramaz Avedisian Building</v>
          </cell>
        </row>
      </sheetData>
      <sheetData sheetId="3644">
        <row r="8">
          <cell r="D8" t="str">
            <v>Paramaz Avedisian Building</v>
          </cell>
        </row>
      </sheetData>
      <sheetData sheetId="3645">
        <row r="8">
          <cell r="D8" t="str">
            <v>Paramaz Avedisian Building</v>
          </cell>
        </row>
      </sheetData>
      <sheetData sheetId="3646">
        <row r="8">
          <cell r="D8" t="str">
            <v>Paramaz Avedisian Building</v>
          </cell>
        </row>
      </sheetData>
      <sheetData sheetId="3647">
        <row r="8">
          <cell r="D8" t="str">
            <v>Paramaz Avedisian Building</v>
          </cell>
        </row>
      </sheetData>
      <sheetData sheetId="3648">
        <row r="8">
          <cell r="D8" t="str">
            <v>Paramaz Avedisian Building</v>
          </cell>
        </row>
      </sheetData>
      <sheetData sheetId="3649">
        <row r="8">
          <cell r="D8" t="str">
            <v>Paramaz Avedisian Building</v>
          </cell>
        </row>
      </sheetData>
      <sheetData sheetId="3650">
        <row r="8">
          <cell r="D8" t="str">
            <v>Paramaz Avedisian Building</v>
          </cell>
        </row>
      </sheetData>
      <sheetData sheetId="3651">
        <row r="8">
          <cell r="D8" t="str">
            <v>Paramaz Avedisian Building</v>
          </cell>
        </row>
      </sheetData>
      <sheetData sheetId="3652">
        <row r="8">
          <cell r="D8" t="str">
            <v>Paramaz Avedisian Building</v>
          </cell>
        </row>
      </sheetData>
      <sheetData sheetId="3653">
        <row r="8">
          <cell r="D8" t="str">
            <v>Paramaz Avedisian Building</v>
          </cell>
        </row>
      </sheetData>
      <sheetData sheetId="3654">
        <row r="8">
          <cell r="D8" t="str">
            <v>Paramaz Avedisian Building</v>
          </cell>
        </row>
      </sheetData>
      <sheetData sheetId="3655">
        <row r="8">
          <cell r="D8" t="str">
            <v>Paramaz Avedisian Building</v>
          </cell>
        </row>
      </sheetData>
      <sheetData sheetId="3656">
        <row r="8">
          <cell r="D8" t="str">
            <v>Paramaz Avedisian Building</v>
          </cell>
        </row>
      </sheetData>
      <sheetData sheetId="3657">
        <row r="8">
          <cell r="D8" t="str">
            <v>Paramaz Avedisian Building</v>
          </cell>
        </row>
      </sheetData>
      <sheetData sheetId="3658">
        <row r="8">
          <cell r="D8" t="str">
            <v>Paramaz Avedisian Building</v>
          </cell>
        </row>
      </sheetData>
      <sheetData sheetId="3659">
        <row r="8">
          <cell r="D8" t="str">
            <v>Paramaz Avedisian Building</v>
          </cell>
        </row>
      </sheetData>
      <sheetData sheetId="3660">
        <row r="8">
          <cell r="D8" t="str">
            <v>Paramaz Avedisian Building</v>
          </cell>
        </row>
      </sheetData>
      <sheetData sheetId="3661">
        <row r="8">
          <cell r="D8" t="str">
            <v>Paramaz Avedisian Building</v>
          </cell>
        </row>
      </sheetData>
      <sheetData sheetId="3662">
        <row r="8">
          <cell r="D8" t="str">
            <v>Paramaz Avedisian Building</v>
          </cell>
        </row>
      </sheetData>
      <sheetData sheetId="3663">
        <row r="8">
          <cell r="D8" t="str">
            <v>Paramaz Avedisian Building</v>
          </cell>
        </row>
      </sheetData>
      <sheetData sheetId="3664">
        <row r="8">
          <cell r="D8" t="str">
            <v>Paramaz Avedisian Building</v>
          </cell>
        </row>
      </sheetData>
      <sheetData sheetId="3665">
        <row r="8">
          <cell r="D8" t="str">
            <v>Paramaz Avedisian Building</v>
          </cell>
        </row>
      </sheetData>
      <sheetData sheetId="3666">
        <row r="8">
          <cell r="D8" t="str">
            <v>Paramaz Avedisian Building</v>
          </cell>
        </row>
      </sheetData>
      <sheetData sheetId="3667">
        <row r="8">
          <cell r="D8" t="str">
            <v>Paramaz Avedisian Building</v>
          </cell>
        </row>
      </sheetData>
      <sheetData sheetId="3668">
        <row r="8">
          <cell r="D8" t="str">
            <v>Paramaz Avedisian Building</v>
          </cell>
        </row>
      </sheetData>
      <sheetData sheetId="3669">
        <row r="8">
          <cell r="D8" t="str">
            <v>Paramaz Avedisian Building</v>
          </cell>
        </row>
      </sheetData>
      <sheetData sheetId="3670">
        <row r="8">
          <cell r="D8" t="str">
            <v>Paramaz Avedisian Building</v>
          </cell>
        </row>
      </sheetData>
      <sheetData sheetId="3671">
        <row r="8">
          <cell r="D8" t="str">
            <v>Paramaz Avedisian Building</v>
          </cell>
        </row>
      </sheetData>
      <sheetData sheetId="3672">
        <row r="8">
          <cell r="D8" t="str">
            <v>Paramaz Avedisian Building</v>
          </cell>
        </row>
      </sheetData>
      <sheetData sheetId="3673">
        <row r="8">
          <cell r="D8" t="str">
            <v>Paramaz Avedisian Building</v>
          </cell>
        </row>
      </sheetData>
      <sheetData sheetId="3674">
        <row r="8">
          <cell r="D8" t="str">
            <v>Paramaz Avedisian Building</v>
          </cell>
        </row>
      </sheetData>
      <sheetData sheetId="3675">
        <row r="8">
          <cell r="D8" t="str">
            <v>Paramaz Avedisian Building</v>
          </cell>
        </row>
      </sheetData>
      <sheetData sheetId="3676">
        <row r="8">
          <cell r="D8" t="str">
            <v>Paramaz Avedisian Building</v>
          </cell>
        </row>
      </sheetData>
      <sheetData sheetId="3677">
        <row r="8">
          <cell r="D8" t="str">
            <v>Paramaz Avedisian Building</v>
          </cell>
        </row>
      </sheetData>
      <sheetData sheetId="3678">
        <row r="8">
          <cell r="D8" t="str">
            <v>Paramaz Avedisian Building</v>
          </cell>
        </row>
      </sheetData>
      <sheetData sheetId="3679">
        <row r="8">
          <cell r="D8" t="str">
            <v>Paramaz Avedisian Building</v>
          </cell>
        </row>
      </sheetData>
      <sheetData sheetId="3680">
        <row r="8">
          <cell r="D8" t="str">
            <v>Paramaz Avedisian Building</v>
          </cell>
        </row>
      </sheetData>
      <sheetData sheetId="3681">
        <row r="8">
          <cell r="D8" t="str">
            <v>Paramaz Avedisian Building</v>
          </cell>
        </row>
      </sheetData>
      <sheetData sheetId="3682">
        <row r="8">
          <cell r="D8" t="str">
            <v>Paramaz Avedisian Building</v>
          </cell>
        </row>
      </sheetData>
      <sheetData sheetId="3683">
        <row r="8">
          <cell r="D8" t="str">
            <v>Paramaz Avedisian Building</v>
          </cell>
        </row>
      </sheetData>
      <sheetData sheetId="3684">
        <row r="8">
          <cell r="D8" t="str">
            <v>Paramaz Avedisian Building</v>
          </cell>
        </row>
      </sheetData>
      <sheetData sheetId="3685">
        <row r="8">
          <cell r="D8" t="str">
            <v>Paramaz Avedisian Building</v>
          </cell>
        </row>
      </sheetData>
      <sheetData sheetId="3686">
        <row r="8">
          <cell r="D8" t="str">
            <v>Paramaz Avedisian Building</v>
          </cell>
        </row>
      </sheetData>
      <sheetData sheetId="3687">
        <row r="8">
          <cell r="D8" t="str">
            <v>Paramaz Avedisian Building</v>
          </cell>
        </row>
      </sheetData>
      <sheetData sheetId="3688">
        <row r="8">
          <cell r="D8" t="str">
            <v>Paramaz Avedisian Building</v>
          </cell>
        </row>
      </sheetData>
      <sheetData sheetId="3689">
        <row r="8">
          <cell r="D8" t="str">
            <v>Paramaz Avedisian Building</v>
          </cell>
        </row>
      </sheetData>
      <sheetData sheetId="3690">
        <row r="8">
          <cell r="D8" t="str">
            <v>Paramaz Avedisian Building</v>
          </cell>
        </row>
      </sheetData>
      <sheetData sheetId="3691">
        <row r="8">
          <cell r="D8" t="str">
            <v>Paramaz Avedisian Building</v>
          </cell>
        </row>
      </sheetData>
      <sheetData sheetId="3692">
        <row r="8">
          <cell r="D8" t="str">
            <v>Paramaz Avedisian Building</v>
          </cell>
        </row>
      </sheetData>
      <sheetData sheetId="3693">
        <row r="8">
          <cell r="D8" t="str">
            <v>Paramaz Avedisian Building</v>
          </cell>
        </row>
      </sheetData>
      <sheetData sheetId="3694">
        <row r="8">
          <cell r="D8" t="str">
            <v>Paramaz Avedisian Building</v>
          </cell>
        </row>
      </sheetData>
      <sheetData sheetId="3695">
        <row r="8">
          <cell r="D8" t="str">
            <v>Paramaz Avedisian Building</v>
          </cell>
        </row>
      </sheetData>
      <sheetData sheetId="3696">
        <row r="8">
          <cell r="D8" t="str">
            <v>Paramaz Avedisian Building</v>
          </cell>
        </row>
      </sheetData>
      <sheetData sheetId="3697">
        <row r="8">
          <cell r="D8" t="str">
            <v>Paramaz Avedisian Building</v>
          </cell>
        </row>
      </sheetData>
      <sheetData sheetId="3698">
        <row r="8">
          <cell r="D8" t="str">
            <v>Paramaz Avedisian Building</v>
          </cell>
        </row>
      </sheetData>
      <sheetData sheetId="3699">
        <row r="8">
          <cell r="D8" t="str">
            <v>Paramaz Avedisian Building</v>
          </cell>
        </row>
      </sheetData>
      <sheetData sheetId="3700">
        <row r="8">
          <cell r="D8" t="str">
            <v>Paramaz Avedisian Building</v>
          </cell>
        </row>
      </sheetData>
      <sheetData sheetId="3701">
        <row r="8">
          <cell r="D8" t="str">
            <v>Paramaz Avedisian Building</v>
          </cell>
        </row>
      </sheetData>
      <sheetData sheetId="3702">
        <row r="8">
          <cell r="D8" t="str">
            <v>Paramaz Avedisian Building</v>
          </cell>
        </row>
      </sheetData>
      <sheetData sheetId="3703">
        <row r="8">
          <cell r="D8" t="str">
            <v>Paramaz Avedisian Building</v>
          </cell>
        </row>
      </sheetData>
      <sheetData sheetId="3704">
        <row r="8">
          <cell r="D8" t="str">
            <v>Paramaz Avedisian Building</v>
          </cell>
        </row>
      </sheetData>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row r="8">
          <cell r="D8" t="str">
            <v>Paramaz Avedisian Building</v>
          </cell>
        </row>
      </sheetData>
      <sheetData sheetId="3709">
        <row r="8">
          <cell r="D8" t="str">
            <v>Paramaz Avedisian Building</v>
          </cell>
        </row>
      </sheetData>
      <sheetData sheetId="3710">
        <row r="8">
          <cell r="D8" t="str">
            <v>Paramaz Avedisian Building</v>
          </cell>
        </row>
      </sheetData>
      <sheetData sheetId="3711">
        <row r="8">
          <cell r="D8" t="str">
            <v>Paramaz Avedisian Building</v>
          </cell>
        </row>
      </sheetData>
      <sheetData sheetId="3712">
        <row r="8">
          <cell r="D8" t="str">
            <v>Paramaz Avedisian Building</v>
          </cell>
        </row>
      </sheetData>
      <sheetData sheetId="3713">
        <row r="8">
          <cell r="D8" t="str">
            <v>Paramaz Avedisian Building</v>
          </cell>
        </row>
      </sheetData>
      <sheetData sheetId="3714">
        <row r="8">
          <cell r="D8" t="str">
            <v>Paramaz Avedisian Building</v>
          </cell>
        </row>
      </sheetData>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row r="8">
          <cell r="D8" t="str">
            <v>Paramaz Avedisian Building</v>
          </cell>
        </row>
      </sheetData>
      <sheetData sheetId="3726">
        <row r="8">
          <cell r="D8" t="str">
            <v>Paramaz Avedisian Building</v>
          </cell>
        </row>
      </sheetData>
      <sheetData sheetId="3727">
        <row r="8">
          <cell r="D8" t="str">
            <v>Paramaz Avedisian Building</v>
          </cell>
        </row>
      </sheetData>
      <sheetData sheetId="3728">
        <row r="8">
          <cell r="D8" t="str">
            <v>Paramaz Avedisian Building</v>
          </cell>
        </row>
      </sheetData>
      <sheetData sheetId="3729">
        <row r="8">
          <cell r="D8" t="str">
            <v>Paramaz Avedisian Building</v>
          </cell>
        </row>
      </sheetData>
      <sheetData sheetId="3730">
        <row r="8">
          <cell r="D8" t="str">
            <v>Paramaz Avedisian Building</v>
          </cell>
        </row>
      </sheetData>
      <sheetData sheetId="3731">
        <row r="8">
          <cell r="D8" t="str">
            <v>Paramaz Avedisian Building</v>
          </cell>
        </row>
      </sheetData>
      <sheetData sheetId="3732">
        <row r="8">
          <cell r="D8" t="str">
            <v>Paramaz Avedisian Building</v>
          </cell>
        </row>
      </sheetData>
      <sheetData sheetId="3733">
        <row r="8">
          <cell r="D8" t="str">
            <v>Paramaz Avedisian Building</v>
          </cell>
        </row>
      </sheetData>
      <sheetData sheetId="3734">
        <row r="8">
          <cell r="D8" t="str">
            <v>Paramaz Avedisian Building</v>
          </cell>
        </row>
      </sheetData>
      <sheetData sheetId="3735">
        <row r="8">
          <cell r="D8" t="str">
            <v>Paramaz Avedisian Building</v>
          </cell>
        </row>
      </sheetData>
      <sheetData sheetId="3736">
        <row r="8">
          <cell r="D8" t="str">
            <v>Paramaz Avedisian Building</v>
          </cell>
        </row>
      </sheetData>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row r="8">
          <cell r="D8" t="str">
            <v>Paramaz Avedisian Building</v>
          </cell>
        </row>
      </sheetData>
      <sheetData sheetId="3758">
        <row r="8">
          <cell r="D8" t="str">
            <v>Paramaz Avedisian Building</v>
          </cell>
        </row>
      </sheetData>
      <sheetData sheetId="3759">
        <row r="8">
          <cell r="D8" t="str">
            <v>Paramaz Avedisian Building</v>
          </cell>
        </row>
      </sheetData>
      <sheetData sheetId="3760">
        <row r="8">
          <cell r="D8" t="str">
            <v>Paramaz Avedisian Building</v>
          </cell>
        </row>
      </sheetData>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row r="8">
          <cell r="D8" t="str">
            <v>Paramaz Avedisian Building</v>
          </cell>
        </row>
      </sheetData>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row r="8">
          <cell r="D8" t="str">
            <v>Paramaz Avedisian Building</v>
          </cell>
        </row>
      </sheetData>
      <sheetData sheetId="3794">
        <row r="8">
          <cell r="D8" t="str">
            <v>Paramaz Avedisian Building</v>
          </cell>
        </row>
      </sheetData>
      <sheetData sheetId="3795">
        <row r="8">
          <cell r="D8" t="str">
            <v>Paramaz Avedisian Building</v>
          </cell>
        </row>
      </sheetData>
      <sheetData sheetId="3796">
        <row r="8">
          <cell r="D8" t="str">
            <v>Paramaz Avedisian Building</v>
          </cell>
        </row>
      </sheetData>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row r="8">
          <cell r="D8" t="str">
            <v>Paramaz Avedisian Building</v>
          </cell>
        </row>
      </sheetData>
      <sheetData sheetId="3812">
        <row r="8">
          <cell r="D8" t="str">
            <v>Paramaz Avedisian Building</v>
          </cell>
        </row>
      </sheetData>
      <sheetData sheetId="3813">
        <row r="8">
          <cell r="D8" t="str">
            <v>Paramaz Avedisian Building</v>
          </cell>
        </row>
      </sheetData>
      <sheetData sheetId="3814">
        <row r="8">
          <cell r="D8" t="str">
            <v>Paramaz Avedisian Building</v>
          </cell>
        </row>
      </sheetData>
      <sheetData sheetId="3815">
        <row r="8">
          <cell r="D8" t="str">
            <v>Paramaz Avedisian Building</v>
          </cell>
        </row>
      </sheetData>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row r="8">
          <cell r="D8" t="str">
            <v>Paramaz Avedisian Building</v>
          </cell>
        </row>
      </sheetData>
      <sheetData sheetId="3830">
        <row r="8">
          <cell r="D8" t="str">
            <v>Paramaz Avedisian Building</v>
          </cell>
        </row>
      </sheetData>
      <sheetData sheetId="3831">
        <row r="8">
          <cell r="D8" t="str">
            <v>Paramaz Avedisian Building</v>
          </cell>
        </row>
      </sheetData>
      <sheetData sheetId="3832">
        <row r="8">
          <cell r="D8" t="str">
            <v>Paramaz Avedisian Building</v>
          </cell>
        </row>
      </sheetData>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row r="8">
          <cell r="D8" t="str">
            <v>Paramaz Avedisian Building</v>
          </cell>
        </row>
      </sheetData>
      <sheetData sheetId="3844">
        <row r="8">
          <cell r="D8" t="str">
            <v>Paramaz Avedisian Building</v>
          </cell>
        </row>
      </sheetData>
      <sheetData sheetId="3845">
        <row r="8">
          <cell r="D8" t="str">
            <v>Paramaz Avedisian Building</v>
          </cell>
        </row>
      </sheetData>
      <sheetData sheetId="3846">
        <row r="8">
          <cell r="D8" t="str">
            <v>Paramaz Avedisian Building</v>
          </cell>
        </row>
      </sheetData>
      <sheetData sheetId="3847">
        <row r="8">
          <cell r="D8" t="str">
            <v>Paramaz Avedisian Building</v>
          </cell>
        </row>
      </sheetData>
      <sheetData sheetId="3848">
        <row r="8">
          <cell r="D8" t="str">
            <v>Paramaz Avedisian Building</v>
          </cell>
        </row>
      </sheetData>
      <sheetData sheetId="3849">
        <row r="8">
          <cell r="D8" t="str">
            <v>Paramaz Avedisian Building</v>
          </cell>
        </row>
      </sheetData>
      <sheetData sheetId="3850">
        <row r="8">
          <cell r="D8" t="str">
            <v>Paramaz Avedisian Building</v>
          </cell>
        </row>
      </sheetData>
      <sheetData sheetId="3851">
        <row r="8">
          <cell r="D8" t="str">
            <v>Paramaz Avedisian Building</v>
          </cell>
        </row>
      </sheetData>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ow r="8">
          <cell r="D8">
            <v>281.44000000000005</v>
          </cell>
        </row>
      </sheetData>
      <sheetData sheetId="3877" refreshError="1"/>
      <sheetData sheetId="3878" refreshError="1"/>
      <sheetData sheetId="3879" refreshError="1"/>
      <sheetData sheetId="3880">
        <row r="8">
          <cell r="D8">
            <v>281.44000000000005</v>
          </cell>
        </row>
      </sheetData>
      <sheetData sheetId="3881">
        <row r="8">
          <cell r="D8" t="str">
            <v>Paramaz Avedisian Building</v>
          </cell>
        </row>
      </sheetData>
      <sheetData sheetId="3882">
        <row r="8">
          <cell r="D8" t="str">
            <v>Paramaz Avedisian Building</v>
          </cell>
        </row>
      </sheetData>
      <sheetData sheetId="3883">
        <row r="8">
          <cell r="D8" t="str">
            <v>Paramaz Avedisian Building</v>
          </cell>
        </row>
      </sheetData>
      <sheetData sheetId="3884">
        <row r="8">
          <cell r="D8" t="str">
            <v>Paramaz Avedisian Building</v>
          </cell>
        </row>
      </sheetData>
      <sheetData sheetId="3885">
        <row r="8">
          <cell r="D8" t="str">
            <v>Paramaz Avedisian Building</v>
          </cell>
        </row>
      </sheetData>
      <sheetData sheetId="3886">
        <row r="8">
          <cell r="D8" t="str">
            <v>Paramaz Avedisian Building</v>
          </cell>
        </row>
      </sheetData>
      <sheetData sheetId="3887">
        <row r="8">
          <cell r="D8" t="str">
            <v>Paramaz Avedisian Building</v>
          </cell>
        </row>
      </sheetData>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sheetData sheetId="3901"/>
      <sheetData sheetId="3902">
        <row r="8">
          <cell r="D8" t="str">
            <v>Paramaz Avedisian Building</v>
          </cell>
        </row>
      </sheetData>
      <sheetData sheetId="3903">
        <row r="8">
          <cell r="D8" t="str">
            <v>Paramaz Avedisian Building</v>
          </cell>
        </row>
      </sheetData>
      <sheetData sheetId="3904">
        <row r="8">
          <cell r="D8" t="str">
            <v>Paramaz Avedisian Building</v>
          </cell>
        </row>
      </sheetData>
      <sheetData sheetId="3905">
        <row r="8">
          <cell r="D8" t="str">
            <v>Paramaz Avedisian Building</v>
          </cell>
        </row>
      </sheetData>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row r="8">
          <cell r="D8">
            <v>281.44000000000005</v>
          </cell>
        </row>
      </sheetData>
      <sheetData sheetId="3921">
        <row r="8">
          <cell r="D8" t="str">
            <v>Paramaz Avedisian Building</v>
          </cell>
        </row>
      </sheetData>
      <sheetData sheetId="3922">
        <row r="8">
          <cell r="D8" t="str">
            <v>Paramaz Avedisian Building</v>
          </cell>
        </row>
      </sheetData>
      <sheetData sheetId="3923">
        <row r="8">
          <cell r="D8" t="str">
            <v>Paramaz Avedisian Building</v>
          </cell>
        </row>
      </sheetData>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row r="8">
          <cell r="D8" t="str">
            <v>Paramaz Avedisian Building</v>
          </cell>
        </row>
      </sheetData>
      <sheetData sheetId="3940">
        <row r="8">
          <cell r="D8" t="str">
            <v>Paramaz Avedisian Building</v>
          </cell>
        </row>
      </sheetData>
      <sheetData sheetId="3941">
        <row r="8">
          <cell r="D8" t="str">
            <v>Paramaz Avedisian Building</v>
          </cell>
        </row>
      </sheetData>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row r="8">
          <cell r="D8" t="str">
            <v>Paramaz Avedisian Building</v>
          </cell>
        </row>
      </sheetData>
      <sheetData sheetId="3957">
        <row r="8">
          <cell r="D8" t="str">
            <v>Paramaz Avedisian Building</v>
          </cell>
        </row>
      </sheetData>
      <sheetData sheetId="3958">
        <row r="8">
          <cell r="D8" t="str">
            <v>Paramaz Avedisian Building</v>
          </cell>
        </row>
      </sheetData>
      <sheetData sheetId="3959">
        <row r="8">
          <cell r="D8" t="str">
            <v>Paramaz Avedisian Building</v>
          </cell>
        </row>
      </sheetData>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v>281.44000000000005</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row r="8">
          <cell r="D8" t="str">
            <v>Paramaz Avedisian Building</v>
          </cell>
        </row>
      </sheetData>
      <sheetData sheetId="3976">
        <row r="8">
          <cell r="D8" t="str">
            <v>Paramaz Avedisian Building</v>
          </cell>
        </row>
      </sheetData>
      <sheetData sheetId="3977">
        <row r="8">
          <cell r="D8" t="str">
            <v>Paramaz Avedisian Building</v>
          </cell>
        </row>
      </sheetData>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row r="8">
          <cell r="D8" t="str">
            <v>Paramaz Avedisian Building</v>
          </cell>
        </row>
      </sheetData>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v>281.44000000000005</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row r="8">
          <cell r="D8" t="str">
            <v>Paramaz Avedisian Building</v>
          </cell>
        </row>
      </sheetData>
      <sheetData sheetId="4011">
        <row r="8">
          <cell r="D8" t="str">
            <v>Paramaz Avedisian Building</v>
          </cell>
        </row>
      </sheetData>
      <sheetData sheetId="4012">
        <row r="8">
          <cell r="D8" t="str">
            <v>Paramaz Avedisian Building</v>
          </cell>
        </row>
      </sheetData>
      <sheetData sheetId="4013">
        <row r="8">
          <cell r="D8" t="str">
            <v>Paramaz Avedisian Building</v>
          </cell>
        </row>
      </sheetData>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row r="8">
          <cell r="D8" t="str">
            <v>Paramaz Avedisian Building</v>
          </cell>
        </row>
      </sheetData>
      <sheetData sheetId="4029">
        <row r="8">
          <cell r="D8" t="str">
            <v>Paramaz Avedisian Building</v>
          </cell>
        </row>
      </sheetData>
      <sheetData sheetId="4030">
        <row r="8">
          <cell r="D8" t="str">
            <v>Paramaz Avedisian Building</v>
          </cell>
        </row>
      </sheetData>
      <sheetData sheetId="4031">
        <row r="8">
          <cell r="D8" t="str">
            <v>Paramaz Avedisian Building</v>
          </cell>
        </row>
      </sheetData>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row r="8">
          <cell r="D8" t="str">
            <v>Paramaz Avedisian Building</v>
          </cell>
        </row>
      </sheetData>
      <sheetData sheetId="4047">
        <row r="8">
          <cell r="D8" t="str">
            <v>Paramaz Avedisian Building</v>
          </cell>
        </row>
      </sheetData>
      <sheetData sheetId="4048">
        <row r="8">
          <cell r="D8" t="str">
            <v>Paramaz Avedisian Building</v>
          </cell>
        </row>
      </sheetData>
      <sheetData sheetId="4049">
        <row r="8">
          <cell r="D8" t="str">
            <v>Paramaz Avedisian Building</v>
          </cell>
        </row>
      </sheetData>
      <sheetData sheetId="4050">
        <row r="8">
          <cell r="D8" t="str">
            <v>Paramaz Avedisian Building</v>
          </cell>
        </row>
      </sheetData>
      <sheetData sheetId="4051">
        <row r="8">
          <cell r="D8" t="str">
            <v>Paramaz Avedisian Building</v>
          </cell>
        </row>
      </sheetData>
      <sheetData sheetId="4052">
        <row r="8">
          <cell r="D8" t="str">
            <v>Paramaz Avedisian Building</v>
          </cell>
        </row>
      </sheetData>
      <sheetData sheetId="4053">
        <row r="8">
          <cell r="D8">
            <v>281.44000000000005</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row r="8">
          <cell r="D8" t="str">
            <v>Paramaz Avedisian Building</v>
          </cell>
        </row>
      </sheetData>
      <sheetData sheetId="4061">
        <row r="8">
          <cell r="D8" t="str">
            <v>Paramaz Avedisian Building</v>
          </cell>
        </row>
      </sheetData>
      <sheetData sheetId="4062">
        <row r="8">
          <cell r="D8" t="str">
            <v>Paramaz Avedisian Building</v>
          </cell>
        </row>
      </sheetData>
      <sheetData sheetId="4063">
        <row r="8">
          <cell r="D8" t="str">
            <v>Paramaz Avedisian Building</v>
          </cell>
        </row>
      </sheetData>
      <sheetData sheetId="4064">
        <row r="8">
          <cell r="D8" t="str">
            <v>Paramaz Avedisian Building</v>
          </cell>
        </row>
      </sheetData>
      <sheetData sheetId="4065">
        <row r="8">
          <cell r="D8" t="str">
            <v>Paramaz Avedisian Building</v>
          </cell>
        </row>
      </sheetData>
      <sheetData sheetId="4066">
        <row r="8">
          <cell r="D8" t="str">
            <v>Paramaz Avedisian Building</v>
          </cell>
        </row>
      </sheetData>
      <sheetData sheetId="4067">
        <row r="8">
          <cell r="D8" t="str">
            <v>Paramaz Avedisian Building</v>
          </cell>
        </row>
      </sheetData>
      <sheetData sheetId="4068">
        <row r="8">
          <cell r="D8" t="str">
            <v>Paramaz Avedisian Building</v>
          </cell>
        </row>
      </sheetData>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row r="8">
          <cell r="D8" t="str">
            <v>Paramaz Avedisian Building</v>
          </cell>
        </row>
      </sheetData>
      <sheetData sheetId="4079">
        <row r="8">
          <cell r="D8" t="str">
            <v>Paramaz Avedisian Building</v>
          </cell>
        </row>
      </sheetData>
      <sheetData sheetId="4080">
        <row r="8">
          <cell r="D8" t="str">
            <v>Paramaz Avedisian Building</v>
          </cell>
        </row>
      </sheetData>
      <sheetData sheetId="4081">
        <row r="8">
          <cell r="D8" t="str">
            <v>Paramaz Avedisian Building</v>
          </cell>
        </row>
      </sheetData>
      <sheetData sheetId="4082">
        <row r="8">
          <cell r="D8" t="str">
            <v>Paramaz Avedisian Building</v>
          </cell>
        </row>
      </sheetData>
      <sheetData sheetId="4083">
        <row r="8">
          <cell r="D8">
            <v>281.44000000000005</v>
          </cell>
        </row>
      </sheetData>
      <sheetData sheetId="4084">
        <row r="8">
          <cell r="D8" t="str">
            <v>Paramaz Avedisian Building</v>
          </cell>
        </row>
      </sheetData>
      <sheetData sheetId="4085">
        <row r="8">
          <cell r="D8" t="str">
            <v>Paramaz Avedisian Building</v>
          </cell>
        </row>
      </sheetData>
      <sheetData sheetId="4086">
        <row r="8">
          <cell r="D8" t="str">
            <v>Paramaz Avedisian Building</v>
          </cell>
        </row>
      </sheetData>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row r="8">
          <cell r="D8" t="str">
            <v>Paramaz Avedisian Building</v>
          </cell>
        </row>
      </sheetData>
      <sheetData sheetId="4099">
        <row r="8">
          <cell r="D8" t="str">
            <v>Paramaz Avedisian Building</v>
          </cell>
        </row>
      </sheetData>
      <sheetData sheetId="4100">
        <row r="8">
          <cell r="D8" t="str">
            <v>Paramaz Avedisian Building</v>
          </cell>
        </row>
      </sheetData>
      <sheetData sheetId="4101">
        <row r="8">
          <cell r="D8" t="str">
            <v>Paramaz Avedisian Building</v>
          </cell>
        </row>
      </sheetData>
      <sheetData sheetId="4102">
        <row r="8">
          <cell r="D8" t="str">
            <v>Paramaz Avedisian Building</v>
          </cell>
        </row>
      </sheetData>
      <sheetData sheetId="4103">
        <row r="8">
          <cell r="D8" t="str">
            <v>Paramaz Avedisian Building</v>
          </cell>
        </row>
      </sheetData>
      <sheetData sheetId="4104">
        <row r="8">
          <cell r="D8" t="str">
            <v>Paramaz Avedisian Building</v>
          </cell>
        </row>
      </sheetData>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row r="8">
          <cell r="D8" t="str">
            <v>Paramaz Avedisian Building</v>
          </cell>
        </row>
      </sheetData>
      <sheetData sheetId="4117">
        <row r="8">
          <cell r="D8" t="str">
            <v>Paramaz Avedisian Building</v>
          </cell>
        </row>
      </sheetData>
      <sheetData sheetId="4118">
        <row r="8">
          <cell r="D8" t="str">
            <v>Paramaz Avedisian Building</v>
          </cell>
        </row>
      </sheetData>
      <sheetData sheetId="4119">
        <row r="8">
          <cell r="D8" t="str">
            <v>Paramaz Avedisian Building</v>
          </cell>
        </row>
      </sheetData>
      <sheetData sheetId="4120">
        <row r="8">
          <cell r="D8" t="str">
            <v>Paramaz Avedisian Building</v>
          </cell>
        </row>
      </sheetData>
      <sheetData sheetId="4121">
        <row r="8">
          <cell r="D8" t="str">
            <v>Paramaz Avedisian Building</v>
          </cell>
        </row>
      </sheetData>
      <sheetData sheetId="4122">
        <row r="8">
          <cell r="D8" t="str">
            <v>Paramaz Avedisian Building</v>
          </cell>
        </row>
      </sheetData>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row r="8">
          <cell r="D8" t="str">
            <v>Paramaz Avedisian Building</v>
          </cell>
        </row>
      </sheetData>
      <sheetData sheetId="4139">
        <row r="8">
          <cell r="D8" t="str">
            <v>Paramaz Avedisian Building</v>
          </cell>
        </row>
      </sheetData>
      <sheetData sheetId="4140">
        <row r="8">
          <cell r="D8" t="str">
            <v>Paramaz Avedisian Building</v>
          </cell>
        </row>
      </sheetData>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row r="8">
          <cell r="D8" t="str">
            <v>Paramaz Avedisian Building</v>
          </cell>
        </row>
      </sheetData>
      <sheetData sheetId="4157">
        <row r="8">
          <cell r="D8" t="str">
            <v>Paramaz Avedisian Building</v>
          </cell>
        </row>
      </sheetData>
      <sheetData sheetId="4158">
        <row r="8">
          <cell r="D8" t="str">
            <v>Paramaz Avedisian Building</v>
          </cell>
        </row>
      </sheetData>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row r="8">
          <cell r="D8" t="str">
            <v>Paramaz Avedisian Building</v>
          </cell>
        </row>
      </sheetData>
      <sheetData sheetId="4175">
        <row r="8">
          <cell r="D8" t="str">
            <v>Paramaz Avedisian Building</v>
          </cell>
        </row>
      </sheetData>
      <sheetData sheetId="4176">
        <row r="8">
          <cell r="D8" t="str">
            <v>Paramaz Avedisian Building</v>
          </cell>
        </row>
      </sheetData>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row r="8">
          <cell r="D8" t="str">
            <v>Paramaz Avedisian Building</v>
          </cell>
        </row>
      </sheetData>
      <sheetData sheetId="4192">
        <row r="8">
          <cell r="D8" t="str">
            <v>Paramaz Avedisian Building</v>
          </cell>
        </row>
      </sheetData>
      <sheetData sheetId="4193">
        <row r="8">
          <cell r="D8" t="str">
            <v>Paramaz Avedisian Building</v>
          </cell>
        </row>
      </sheetData>
      <sheetData sheetId="4194">
        <row r="8">
          <cell r="D8" t="str">
            <v>Paramaz Avedisian Building</v>
          </cell>
        </row>
      </sheetData>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row r="8">
          <cell r="D8" t="str">
            <v>Paramaz Avedisian Building</v>
          </cell>
        </row>
      </sheetData>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row r="8">
          <cell r="D8" t="str">
            <v>Paramaz Avedisian Building</v>
          </cell>
        </row>
      </sheetData>
      <sheetData sheetId="4228">
        <row r="8">
          <cell r="D8" t="str">
            <v>Paramaz Avedisian Building</v>
          </cell>
        </row>
      </sheetData>
      <sheetData sheetId="4229">
        <row r="8">
          <cell r="D8" t="str">
            <v>Paramaz Avedisian Building</v>
          </cell>
        </row>
      </sheetData>
      <sheetData sheetId="4230">
        <row r="8">
          <cell r="D8" t="str">
            <v>Paramaz Avedisian Building</v>
          </cell>
        </row>
      </sheetData>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row r="8">
          <cell r="D8" t="str">
            <v>Paramaz Avedisian Building</v>
          </cell>
        </row>
      </sheetData>
      <sheetData sheetId="4246">
        <row r="8">
          <cell r="D8" t="str">
            <v>Paramaz Avedisian Building</v>
          </cell>
        </row>
      </sheetData>
      <sheetData sheetId="4247">
        <row r="8">
          <cell r="D8" t="str">
            <v>Paramaz Avedisian Building</v>
          </cell>
        </row>
      </sheetData>
      <sheetData sheetId="4248">
        <row r="8">
          <cell r="D8" t="str">
            <v>Paramaz Avedisian Building</v>
          </cell>
        </row>
      </sheetData>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row r="8">
          <cell r="D8" t="str">
            <v>Paramaz Avedisian Building</v>
          </cell>
        </row>
      </sheetData>
      <sheetData sheetId="4264">
        <row r="8">
          <cell r="D8" t="str">
            <v>Paramaz Avedisian Building</v>
          </cell>
        </row>
      </sheetData>
      <sheetData sheetId="4265">
        <row r="8">
          <cell r="D8" t="str">
            <v>Paramaz Avedisian Building</v>
          </cell>
        </row>
      </sheetData>
      <sheetData sheetId="4266">
        <row r="8">
          <cell r="D8" t="str">
            <v>Paramaz Avedisian Building</v>
          </cell>
        </row>
      </sheetData>
      <sheetData sheetId="4267">
        <row r="8">
          <cell r="D8" t="str">
            <v>Paramaz Avedisian Building</v>
          </cell>
        </row>
      </sheetData>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row r="8">
          <cell r="D8" t="str">
            <v>Paramaz Avedisian Building</v>
          </cell>
        </row>
      </sheetData>
      <sheetData sheetId="4279">
        <row r="8">
          <cell r="D8" t="str">
            <v>Paramaz Avedisian Building</v>
          </cell>
        </row>
      </sheetData>
      <sheetData sheetId="4280">
        <row r="8">
          <cell r="D8" t="str">
            <v>Paramaz Avedisian Building</v>
          </cell>
        </row>
      </sheetData>
      <sheetData sheetId="4281">
        <row r="8">
          <cell r="D8" t="str">
            <v>Paramaz Avedisian Building</v>
          </cell>
        </row>
      </sheetData>
      <sheetData sheetId="4282">
        <row r="8">
          <cell r="D8" t="str">
            <v>Paramaz Avedisian Building</v>
          </cell>
        </row>
      </sheetData>
      <sheetData sheetId="4283">
        <row r="8">
          <cell r="D8" t="str">
            <v>Paramaz Avedisian Building</v>
          </cell>
        </row>
      </sheetData>
      <sheetData sheetId="4284">
        <row r="8">
          <cell r="D8" t="str">
            <v>Paramaz Avedisian Building</v>
          </cell>
        </row>
      </sheetData>
      <sheetData sheetId="4285">
        <row r="8">
          <cell r="D8" t="str">
            <v>Paramaz Avedisian Building</v>
          </cell>
        </row>
      </sheetData>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row r="8">
          <cell r="D8" t="str">
            <v>Paramaz Avedisian Building</v>
          </cell>
        </row>
      </sheetData>
      <sheetData sheetId="4298">
        <row r="8">
          <cell r="D8" t="str">
            <v>Paramaz Avedisian Building</v>
          </cell>
        </row>
      </sheetData>
      <sheetData sheetId="4299">
        <row r="8">
          <cell r="D8" t="str">
            <v>Paramaz Avedisian Building</v>
          </cell>
        </row>
      </sheetData>
      <sheetData sheetId="4300">
        <row r="8">
          <cell r="D8" t="str">
            <v>Paramaz Avedisian Building</v>
          </cell>
        </row>
      </sheetData>
      <sheetData sheetId="4301">
        <row r="8">
          <cell r="D8" t="str">
            <v>Paramaz Avedisian Building</v>
          </cell>
        </row>
      </sheetData>
      <sheetData sheetId="4302">
        <row r="8">
          <cell r="D8" t="str">
            <v>Paramaz Avedisian Building</v>
          </cell>
        </row>
      </sheetData>
      <sheetData sheetId="4303">
        <row r="8">
          <cell r="D8" t="str">
            <v>Paramaz Avedisian Building</v>
          </cell>
        </row>
      </sheetData>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row r="8">
          <cell r="D8" t="str">
            <v>Paramaz Avedisian Building</v>
          </cell>
        </row>
      </sheetData>
      <sheetData sheetId="4316">
        <row r="8">
          <cell r="D8" t="str">
            <v>Paramaz Avedisian Building</v>
          </cell>
        </row>
      </sheetData>
      <sheetData sheetId="4317">
        <row r="8">
          <cell r="D8" t="str">
            <v>Paramaz Avedisian Building</v>
          </cell>
        </row>
      </sheetData>
      <sheetData sheetId="4318">
        <row r="8">
          <cell r="D8" t="str">
            <v>Paramaz Avedisian Building</v>
          </cell>
        </row>
      </sheetData>
      <sheetData sheetId="4319">
        <row r="8">
          <cell r="D8" t="str">
            <v>Paramaz Avedisian Building</v>
          </cell>
        </row>
      </sheetData>
      <sheetData sheetId="4320">
        <row r="8">
          <cell r="D8" t="str">
            <v>Paramaz Avedisian Building</v>
          </cell>
        </row>
      </sheetData>
      <sheetData sheetId="4321">
        <row r="8">
          <cell r="D8" t="str">
            <v>Paramaz Avedisian Building</v>
          </cell>
        </row>
      </sheetData>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row r="8">
          <cell r="D8" t="str">
            <v>Paramaz Avedisian Building</v>
          </cell>
        </row>
      </sheetData>
      <sheetData sheetId="4334">
        <row r="8">
          <cell r="D8" t="str">
            <v>Paramaz Avedisian Building</v>
          </cell>
        </row>
      </sheetData>
      <sheetData sheetId="4335">
        <row r="8">
          <cell r="D8" t="str">
            <v>Paramaz Avedisian Building</v>
          </cell>
        </row>
      </sheetData>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row r="8">
          <cell r="D8" t="str">
            <v>Paramaz Avedisian Building</v>
          </cell>
        </row>
      </sheetData>
      <sheetData sheetId="4352">
        <row r="8">
          <cell r="D8" t="str">
            <v>Paramaz Avedisian Building</v>
          </cell>
        </row>
      </sheetData>
      <sheetData sheetId="4353">
        <row r="8">
          <cell r="D8" t="str">
            <v>Paramaz Avedisian Building</v>
          </cell>
        </row>
      </sheetData>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row r="8">
          <cell r="D8" t="str">
            <v>Paramaz Avedisian Building</v>
          </cell>
        </row>
      </sheetData>
      <sheetData sheetId="4370">
        <row r="8">
          <cell r="D8" t="str">
            <v>Paramaz Avedisian Building</v>
          </cell>
        </row>
      </sheetData>
      <sheetData sheetId="4371">
        <row r="8">
          <cell r="D8" t="str">
            <v>Paramaz Avedisian Building</v>
          </cell>
        </row>
      </sheetData>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sheetData sheetId="4391"/>
      <sheetData sheetId="4392"/>
      <sheetData sheetId="4393"/>
      <sheetData sheetId="4394"/>
      <sheetData sheetId="4395"/>
      <sheetData sheetId="4396"/>
      <sheetData sheetId="4397"/>
      <sheetData sheetId="4398"/>
      <sheetData sheetId="4399"/>
      <sheetData sheetId="4400">
        <row r="8">
          <cell r="D8" t="str">
            <v>Paramaz Avedisian Building</v>
          </cell>
        </row>
      </sheetData>
      <sheetData sheetId="4401">
        <row r="8">
          <cell r="D8" t="str">
            <v>Paramaz Avedisian Building</v>
          </cell>
        </row>
      </sheetData>
      <sheetData sheetId="4402">
        <row r="8">
          <cell r="D8" t="str">
            <v>Paramaz Avedisian Building</v>
          </cell>
        </row>
      </sheetData>
      <sheetData sheetId="4403">
        <row r="8">
          <cell r="D8" t="str">
            <v>Paramaz Avedisian Building</v>
          </cell>
        </row>
      </sheetData>
      <sheetData sheetId="4404"/>
      <sheetData sheetId="4405"/>
      <sheetData sheetId="4406"/>
      <sheetData sheetId="4407"/>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row r="8">
          <cell r="D8" t="str">
            <v>Paramaz Avedisian Building</v>
          </cell>
        </row>
      </sheetData>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row r="8">
          <cell r="D8" t="str">
            <v>Paramaz Avedisian Building</v>
          </cell>
        </row>
      </sheetData>
      <sheetData sheetId="4438">
        <row r="8">
          <cell r="D8" t="str">
            <v>Paramaz Avedisian Building</v>
          </cell>
        </row>
      </sheetData>
      <sheetData sheetId="4439">
        <row r="8">
          <cell r="D8" t="str">
            <v>Paramaz Avedisian Building</v>
          </cell>
        </row>
      </sheetData>
      <sheetData sheetId="4440">
        <row r="8">
          <cell r="D8" t="str">
            <v>Paramaz Avedisian Building</v>
          </cell>
        </row>
      </sheetData>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row r="8">
          <cell r="D8" t="str">
            <v>Paramaz Avedisian Building</v>
          </cell>
        </row>
      </sheetData>
      <sheetData sheetId="4456">
        <row r="8">
          <cell r="D8" t="str">
            <v>Paramaz Avedisian Building</v>
          </cell>
        </row>
      </sheetData>
      <sheetData sheetId="4457">
        <row r="8">
          <cell r="D8" t="str">
            <v>Paramaz Avedisian Building</v>
          </cell>
        </row>
      </sheetData>
      <sheetData sheetId="4458">
        <row r="8">
          <cell r="D8" t="str">
            <v>Paramaz Avedisian Building</v>
          </cell>
        </row>
      </sheetData>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row r="8">
          <cell r="D8" t="str">
            <v>Paramaz Avedisian Building</v>
          </cell>
        </row>
      </sheetData>
      <sheetData sheetId="4474">
        <row r="8">
          <cell r="D8" t="str">
            <v>Paramaz Avedisian Building</v>
          </cell>
        </row>
      </sheetData>
      <sheetData sheetId="4475">
        <row r="8">
          <cell r="D8" t="str">
            <v>Paramaz Avedisian Building</v>
          </cell>
        </row>
      </sheetData>
      <sheetData sheetId="4476">
        <row r="8">
          <cell r="D8" t="str">
            <v>Paramaz Avedisian Building</v>
          </cell>
        </row>
      </sheetData>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row r="8">
          <cell r="D8" t="str">
            <v>Paramaz Avedisian Building</v>
          </cell>
        </row>
      </sheetData>
      <sheetData sheetId="4489">
        <row r="8">
          <cell r="D8" t="str">
            <v>Paramaz Avedisian Building</v>
          </cell>
        </row>
      </sheetData>
      <sheetData sheetId="4490">
        <row r="8">
          <cell r="D8" t="str">
            <v>Paramaz Avedisian Building</v>
          </cell>
        </row>
      </sheetData>
      <sheetData sheetId="4491">
        <row r="8">
          <cell r="D8" t="str">
            <v>Paramaz Avedisian Building</v>
          </cell>
        </row>
      </sheetData>
      <sheetData sheetId="4492">
        <row r="8">
          <cell r="D8" t="str">
            <v>Paramaz Avedisian Building</v>
          </cell>
        </row>
      </sheetData>
      <sheetData sheetId="4493">
        <row r="8">
          <cell r="D8" t="str">
            <v>Paramaz Avedisian Building</v>
          </cell>
        </row>
      </sheetData>
      <sheetData sheetId="4494">
        <row r="8">
          <cell r="D8" t="str">
            <v>Paramaz Avedisian Building</v>
          </cell>
        </row>
      </sheetData>
      <sheetData sheetId="4495">
        <row r="8">
          <cell r="D8" t="str">
            <v>Paramaz Avedisian Building</v>
          </cell>
        </row>
      </sheetData>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row r="8">
          <cell r="D8" t="str">
            <v>Paramaz Avedisian Building</v>
          </cell>
        </row>
      </sheetData>
      <sheetData sheetId="4506">
        <row r="8">
          <cell r="D8" t="str">
            <v>Paramaz Avedisian Building</v>
          </cell>
        </row>
      </sheetData>
      <sheetData sheetId="4507">
        <row r="8">
          <cell r="D8" t="str">
            <v>Paramaz Avedisian Building</v>
          </cell>
        </row>
      </sheetData>
      <sheetData sheetId="4508">
        <row r="8">
          <cell r="D8" t="str">
            <v>Paramaz Avedisian Building</v>
          </cell>
        </row>
      </sheetData>
      <sheetData sheetId="4509">
        <row r="8">
          <cell r="D8" t="str">
            <v>Paramaz Avedisian Building</v>
          </cell>
        </row>
      </sheetData>
      <sheetData sheetId="4510">
        <row r="8">
          <cell r="D8" t="str">
            <v>Paramaz Avedisian Building</v>
          </cell>
        </row>
      </sheetData>
      <sheetData sheetId="4511">
        <row r="8">
          <cell r="D8" t="str">
            <v>Paramaz Avedisian Building</v>
          </cell>
        </row>
      </sheetData>
      <sheetData sheetId="4512">
        <row r="8">
          <cell r="D8" t="str">
            <v>Paramaz Avedisian Building</v>
          </cell>
        </row>
      </sheetData>
      <sheetData sheetId="4513">
        <row r="8">
          <cell r="D8" t="str">
            <v>Paramaz Avedisian Building</v>
          </cell>
        </row>
      </sheetData>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row r="8">
          <cell r="D8" t="str">
            <v>Paramaz Avedisian Building</v>
          </cell>
        </row>
      </sheetData>
      <sheetData sheetId="4530">
        <row r="8">
          <cell r="D8" t="str">
            <v>Paramaz Avedisian Building</v>
          </cell>
        </row>
      </sheetData>
      <sheetData sheetId="4531">
        <row r="8">
          <cell r="D8" t="str">
            <v>Paramaz Avedisian Building</v>
          </cell>
        </row>
      </sheetData>
      <sheetData sheetId="4532">
        <row r="8">
          <cell r="D8" t="str">
            <v>Paramaz Avedisian Building</v>
          </cell>
        </row>
      </sheetData>
      <sheetData sheetId="4533">
        <row r="8">
          <cell r="D8" t="str">
            <v>Paramaz Avedisian Building</v>
          </cell>
        </row>
      </sheetData>
      <sheetData sheetId="4534">
        <row r="8">
          <cell r="D8" t="str">
            <v>Paramaz Avedisian Building</v>
          </cell>
        </row>
      </sheetData>
      <sheetData sheetId="4535">
        <row r="8">
          <cell r="D8" t="str">
            <v>Paramaz Avedisian Building</v>
          </cell>
        </row>
      </sheetData>
      <sheetData sheetId="4536">
        <row r="8">
          <cell r="D8" t="str">
            <v>Paramaz Avedisian Building</v>
          </cell>
        </row>
      </sheetData>
      <sheetData sheetId="4537">
        <row r="8">
          <cell r="D8" t="str">
            <v>Paramaz Avedisian Building</v>
          </cell>
        </row>
      </sheetData>
      <sheetData sheetId="4538">
        <row r="8">
          <cell r="D8" t="str">
            <v>Paramaz Avedisian Building</v>
          </cell>
        </row>
      </sheetData>
      <sheetData sheetId="4539">
        <row r="8">
          <cell r="D8" t="str">
            <v>Paramaz Avedisian Building</v>
          </cell>
        </row>
      </sheetData>
      <sheetData sheetId="4540">
        <row r="8">
          <cell r="D8" t="str">
            <v>Paramaz Avedisian Building</v>
          </cell>
        </row>
      </sheetData>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row r="8">
          <cell r="D8" t="str">
            <v>Paramaz Avedisian Building</v>
          </cell>
        </row>
      </sheetData>
      <sheetData sheetId="4556">
        <row r="8">
          <cell r="D8" t="str">
            <v>Paramaz Avedisian Building</v>
          </cell>
        </row>
      </sheetData>
      <sheetData sheetId="4557">
        <row r="8">
          <cell r="D8" t="str">
            <v>Paramaz Avedisian Building</v>
          </cell>
        </row>
      </sheetData>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row r="8">
          <cell r="D8" t="str">
            <v>Paramaz Avedisian Building</v>
          </cell>
        </row>
      </sheetData>
      <sheetData sheetId="4570">
        <row r="8">
          <cell r="D8" t="str">
            <v>Paramaz Avedisian Building</v>
          </cell>
        </row>
      </sheetData>
      <sheetData sheetId="4571">
        <row r="8">
          <cell r="D8" t="str">
            <v>Paramaz Avedisian Building</v>
          </cell>
        </row>
      </sheetData>
      <sheetData sheetId="4572">
        <row r="8">
          <cell r="D8" t="str">
            <v>Paramaz Avedisian Building</v>
          </cell>
        </row>
      </sheetData>
      <sheetData sheetId="4573">
        <row r="8">
          <cell r="D8" t="str">
            <v>Paramaz Avedisian Building</v>
          </cell>
        </row>
      </sheetData>
      <sheetData sheetId="4574">
        <row r="8">
          <cell r="D8" t="str">
            <v>Paramaz Avedisian Building</v>
          </cell>
        </row>
      </sheetData>
      <sheetData sheetId="4575">
        <row r="8">
          <cell r="D8" t="str">
            <v>Paramaz Avedisian Building</v>
          </cell>
        </row>
      </sheetData>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row r="8">
          <cell r="D8" t="str">
            <v>Paramaz Avedisian Building</v>
          </cell>
        </row>
      </sheetData>
      <sheetData sheetId="4591">
        <row r="8">
          <cell r="D8" t="str">
            <v>Paramaz Avedisian Building</v>
          </cell>
        </row>
      </sheetData>
      <sheetData sheetId="4592">
        <row r="8">
          <cell r="D8" t="str">
            <v>Paramaz Avedisian Building</v>
          </cell>
        </row>
      </sheetData>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row r="8">
          <cell r="D8" t="str">
            <v>Paramaz Avedisian Building</v>
          </cell>
        </row>
      </sheetData>
      <sheetData sheetId="4609">
        <row r="8">
          <cell r="D8" t="str">
            <v>Paramaz Avedisian Building</v>
          </cell>
        </row>
      </sheetData>
      <sheetData sheetId="4610">
        <row r="8">
          <cell r="D8" t="str">
            <v>Paramaz Avedisian Building</v>
          </cell>
        </row>
      </sheetData>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row r="8">
          <cell r="D8" t="str">
            <v>Paramaz Avedisian Building</v>
          </cell>
        </row>
      </sheetData>
      <sheetData sheetId="4645">
        <row r="8">
          <cell r="D8" t="str">
            <v>Paramaz Avedisian Building</v>
          </cell>
        </row>
      </sheetData>
      <sheetData sheetId="4646">
        <row r="8">
          <cell r="D8" t="str">
            <v>Paramaz Avedisian Building</v>
          </cell>
        </row>
      </sheetData>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row r="8">
          <cell r="D8" t="str">
            <v>Paramaz Avedisian Building</v>
          </cell>
        </row>
      </sheetData>
      <sheetData sheetId="4663">
        <row r="8">
          <cell r="D8" t="str">
            <v>Paramaz Avedisian Building</v>
          </cell>
        </row>
      </sheetData>
      <sheetData sheetId="4664">
        <row r="8">
          <cell r="D8" t="str">
            <v>Paramaz Avedisian Building</v>
          </cell>
        </row>
      </sheetData>
      <sheetData sheetId="4665">
        <row r="8">
          <cell r="D8" t="str">
            <v>Paramaz Avedisian Building</v>
          </cell>
        </row>
      </sheetData>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row r="8">
          <cell r="D8" t="str">
            <v>Paramaz Avedisian Building</v>
          </cell>
        </row>
      </sheetData>
      <sheetData sheetId="4681">
        <row r="8">
          <cell r="D8" t="str">
            <v>Paramaz Avedisian Building</v>
          </cell>
        </row>
      </sheetData>
      <sheetData sheetId="4682">
        <row r="8">
          <cell r="D8" t="str">
            <v>Paramaz Avedisian Building</v>
          </cell>
        </row>
      </sheetData>
      <sheetData sheetId="4683">
        <row r="8">
          <cell r="D8" t="str">
            <v>Paramaz Avedisian Building</v>
          </cell>
        </row>
      </sheetData>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row r="8">
          <cell r="D8" t="str">
            <v>Paramaz Avedisian Building</v>
          </cell>
        </row>
      </sheetData>
      <sheetData sheetId="4695">
        <row r="8">
          <cell r="D8" t="str">
            <v>Paramaz Avedisian Building</v>
          </cell>
        </row>
      </sheetData>
      <sheetData sheetId="4696">
        <row r="8">
          <cell r="D8" t="str">
            <v>Paramaz Avedisian Building</v>
          </cell>
        </row>
      </sheetData>
      <sheetData sheetId="4697">
        <row r="8">
          <cell r="D8" t="str">
            <v>Paramaz Avedisian Building</v>
          </cell>
        </row>
      </sheetData>
      <sheetData sheetId="4698">
        <row r="8">
          <cell r="D8" t="str">
            <v>Paramaz Avedisian Building</v>
          </cell>
        </row>
      </sheetData>
      <sheetData sheetId="4699">
        <row r="8">
          <cell r="D8" t="str">
            <v>Paramaz Avedisian Building</v>
          </cell>
        </row>
      </sheetData>
      <sheetData sheetId="4700">
        <row r="8">
          <cell r="D8" t="str">
            <v>Paramaz Avedisian Building</v>
          </cell>
        </row>
      </sheetData>
      <sheetData sheetId="4701">
        <row r="8">
          <cell r="D8" t="str">
            <v>Paramaz Avedisian Building</v>
          </cell>
        </row>
      </sheetData>
      <sheetData sheetId="4702">
        <row r="8">
          <cell r="D8" t="str">
            <v>Paramaz Avedisian Building</v>
          </cell>
        </row>
      </sheetData>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row r="8">
          <cell r="D8" t="str">
            <v>Paramaz Avedisian Building</v>
          </cell>
        </row>
      </sheetData>
      <sheetData sheetId="4713">
        <row r="8">
          <cell r="D8" t="str">
            <v>Paramaz Avedisian Building</v>
          </cell>
        </row>
      </sheetData>
      <sheetData sheetId="4714">
        <row r="8">
          <cell r="D8" t="str">
            <v>Paramaz Avedisian Building</v>
          </cell>
        </row>
      </sheetData>
      <sheetData sheetId="4715">
        <row r="8">
          <cell r="D8" t="str">
            <v>Paramaz Avedisian Building</v>
          </cell>
        </row>
      </sheetData>
      <sheetData sheetId="4716">
        <row r="8">
          <cell r="D8" t="str">
            <v>Paramaz Avedisian Building</v>
          </cell>
        </row>
      </sheetData>
      <sheetData sheetId="4717">
        <row r="8">
          <cell r="D8" t="str">
            <v>Paramaz Avedisian Building</v>
          </cell>
        </row>
      </sheetData>
      <sheetData sheetId="4718">
        <row r="8">
          <cell r="D8" t="str">
            <v>Paramaz Avedisian Building</v>
          </cell>
        </row>
      </sheetData>
      <sheetData sheetId="4719">
        <row r="8">
          <cell r="D8" t="str">
            <v>Paramaz Avedisian Building</v>
          </cell>
        </row>
      </sheetData>
      <sheetData sheetId="4720">
        <row r="8">
          <cell r="D8" t="str">
            <v>Paramaz Avedisian Building</v>
          </cell>
        </row>
      </sheetData>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row r="8">
          <cell r="D8" t="str">
            <v>Paramaz Avedisian Building</v>
          </cell>
        </row>
      </sheetData>
      <sheetData sheetId="4731">
        <row r="8">
          <cell r="D8" t="str">
            <v>Paramaz Avedisian Building</v>
          </cell>
        </row>
      </sheetData>
      <sheetData sheetId="4732">
        <row r="8">
          <cell r="D8" t="str">
            <v>Paramaz Avedisian Building</v>
          </cell>
        </row>
      </sheetData>
      <sheetData sheetId="4733">
        <row r="8">
          <cell r="D8" t="str">
            <v>Paramaz Avedisian Building</v>
          </cell>
        </row>
      </sheetData>
      <sheetData sheetId="4734">
        <row r="8">
          <cell r="D8" t="str">
            <v>Paramaz Avedisian Building</v>
          </cell>
        </row>
      </sheetData>
      <sheetData sheetId="4735">
        <row r="8">
          <cell r="D8" t="str">
            <v>Paramaz Avedisian Building</v>
          </cell>
        </row>
      </sheetData>
      <sheetData sheetId="4736">
        <row r="8">
          <cell r="D8" t="str">
            <v>Paramaz Avedisian Building</v>
          </cell>
        </row>
      </sheetData>
      <sheetData sheetId="4737">
        <row r="8">
          <cell r="D8" t="str">
            <v>Paramaz Avedisian Building</v>
          </cell>
        </row>
      </sheetData>
      <sheetData sheetId="4738">
        <row r="8">
          <cell r="D8" t="str">
            <v>Paramaz Avedisian Building</v>
          </cell>
        </row>
      </sheetData>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row r="8">
          <cell r="D8" t="str">
            <v>Paramaz Avedisian Building</v>
          </cell>
        </row>
      </sheetData>
      <sheetData sheetId="4749">
        <row r="8">
          <cell r="D8" t="str">
            <v>Paramaz Avedisian Building</v>
          </cell>
        </row>
      </sheetData>
      <sheetData sheetId="4750">
        <row r="8">
          <cell r="D8" t="str">
            <v>Paramaz Avedisian Building</v>
          </cell>
        </row>
      </sheetData>
      <sheetData sheetId="4751">
        <row r="8">
          <cell r="D8" t="str">
            <v>Paramaz Avedisian Building</v>
          </cell>
        </row>
      </sheetData>
      <sheetData sheetId="4752">
        <row r="8">
          <cell r="D8" t="str">
            <v>Paramaz Avedisian Building</v>
          </cell>
        </row>
      </sheetData>
      <sheetData sheetId="4753">
        <row r="8">
          <cell r="D8" t="str">
            <v>Paramaz Avedisian Building</v>
          </cell>
        </row>
      </sheetData>
      <sheetData sheetId="4754">
        <row r="8">
          <cell r="D8" t="str">
            <v>Paramaz Avedisian Building</v>
          </cell>
        </row>
      </sheetData>
      <sheetData sheetId="4755">
        <row r="8">
          <cell r="D8" t="str">
            <v>Paramaz Avedisian Building</v>
          </cell>
        </row>
      </sheetData>
      <sheetData sheetId="4756">
        <row r="8">
          <cell r="D8" t="str">
            <v>Paramaz Avedisian Building</v>
          </cell>
        </row>
      </sheetData>
      <sheetData sheetId="4757">
        <row r="8">
          <cell r="D8" t="str">
            <v>Paramaz Avedisian Building</v>
          </cell>
        </row>
      </sheetData>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row r="8">
          <cell r="D8" t="str">
            <v>Paramaz Avedisian Building</v>
          </cell>
        </row>
      </sheetData>
      <sheetData sheetId="4767">
        <row r="8">
          <cell r="D8" t="str">
            <v>Paramaz Avedisian Building</v>
          </cell>
        </row>
      </sheetData>
      <sheetData sheetId="4768">
        <row r="8">
          <cell r="D8" t="str">
            <v>Paramaz Avedisian Building</v>
          </cell>
        </row>
      </sheetData>
      <sheetData sheetId="4769">
        <row r="8">
          <cell r="D8" t="str">
            <v>Paramaz Avedisian Building</v>
          </cell>
        </row>
      </sheetData>
      <sheetData sheetId="4770">
        <row r="8">
          <cell r="D8" t="str">
            <v>Paramaz Avedisian Building</v>
          </cell>
        </row>
      </sheetData>
      <sheetData sheetId="4771">
        <row r="8">
          <cell r="D8" t="str">
            <v>Paramaz Avedisian Building</v>
          </cell>
        </row>
      </sheetData>
      <sheetData sheetId="4772">
        <row r="8">
          <cell r="D8" t="str">
            <v>Paramaz Avedisian Building</v>
          </cell>
        </row>
      </sheetData>
      <sheetData sheetId="4773">
        <row r="8">
          <cell r="D8" t="str">
            <v>Paramaz Avedisian Building</v>
          </cell>
        </row>
      </sheetData>
      <sheetData sheetId="4774">
        <row r="8">
          <cell r="D8" t="str">
            <v>Paramaz Avedisian Building</v>
          </cell>
        </row>
      </sheetData>
      <sheetData sheetId="4775">
        <row r="8">
          <cell r="D8" t="str">
            <v>Paramaz Avedisian Building</v>
          </cell>
        </row>
      </sheetData>
      <sheetData sheetId="4776">
        <row r="8">
          <cell r="D8" t="str">
            <v>Paramaz Avedisian Building</v>
          </cell>
        </row>
      </sheetData>
      <sheetData sheetId="4777">
        <row r="8">
          <cell r="D8" t="str">
            <v>Paramaz Avedisian Building</v>
          </cell>
        </row>
      </sheetData>
      <sheetData sheetId="4778">
        <row r="8">
          <cell r="D8" t="str">
            <v>Paramaz Avedisian Building</v>
          </cell>
        </row>
      </sheetData>
      <sheetData sheetId="4779">
        <row r="8">
          <cell r="D8" t="str">
            <v>Paramaz Avedisian Building</v>
          </cell>
        </row>
      </sheetData>
      <sheetData sheetId="4780">
        <row r="8">
          <cell r="D8" t="str">
            <v>Paramaz Avedisian Building</v>
          </cell>
        </row>
      </sheetData>
      <sheetData sheetId="4781">
        <row r="8">
          <cell r="D8" t="str">
            <v>Paramaz Avedisian Building</v>
          </cell>
        </row>
      </sheetData>
      <sheetData sheetId="4782">
        <row r="8">
          <cell r="D8" t="str">
            <v>Paramaz Avedisian Building</v>
          </cell>
        </row>
      </sheetData>
      <sheetData sheetId="4783">
        <row r="8">
          <cell r="D8" t="str">
            <v>Paramaz Avedisian Building</v>
          </cell>
        </row>
      </sheetData>
      <sheetData sheetId="4784">
        <row r="8">
          <cell r="D8" t="str">
            <v>Paramaz Avedisian Building</v>
          </cell>
        </row>
      </sheetData>
      <sheetData sheetId="4785">
        <row r="8">
          <cell r="D8" t="str">
            <v>Paramaz Avedisian Building</v>
          </cell>
        </row>
      </sheetData>
      <sheetData sheetId="4786">
        <row r="8">
          <cell r="D8" t="str">
            <v>Paramaz Avedisian Building</v>
          </cell>
        </row>
      </sheetData>
      <sheetData sheetId="4787">
        <row r="8">
          <cell r="D8" t="str">
            <v>Paramaz Avedisian Building</v>
          </cell>
        </row>
      </sheetData>
      <sheetData sheetId="4788">
        <row r="8">
          <cell r="D8" t="str">
            <v>Paramaz Avedisian Building</v>
          </cell>
        </row>
      </sheetData>
      <sheetData sheetId="4789">
        <row r="8">
          <cell r="D8" t="str">
            <v>Paramaz Avedisian Building</v>
          </cell>
        </row>
      </sheetData>
      <sheetData sheetId="4790">
        <row r="8">
          <cell r="D8" t="str">
            <v>Paramaz Avedisian Building</v>
          </cell>
        </row>
      </sheetData>
      <sheetData sheetId="4791">
        <row r="8">
          <cell r="D8" t="str">
            <v>Paramaz Avedisian Building</v>
          </cell>
        </row>
      </sheetData>
      <sheetData sheetId="4792">
        <row r="8">
          <cell r="D8" t="str">
            <v>Paramaz Avedisian Building</v>
          </cell>
        </row>
      </sheetData>
      <sheetData sheetId="4793">
        <row r="8">
          <cell r="D8" t="str">
            <v>Paramaz Avedisian Building</v>
          </cell>
        </row>
      </sheetData>
      <sheetData sheetId="4794">
        <row r="8">
          <cell r="D8" t="str">
            <v>Paramaz Avedisian Building</v>
          </cell>
        </row>
      </sheetData>
      <sheetData sheetId="4795">
        <row r="8">
          <cell r="D8" t="str">
            <v>Paramaz Avedisian Building</v>
          </cell>
        </row>
      </sheetData>
      <sheetData sheetId="4796">
        <row r="8">
          <cell r="D8" t="str">
            <v>Paramaz Avedisian Building</v>
          </cell>
        </row>
      </sheetData>
      <sheetData sheetId="4797">
        <row r="8">
          <cell r="D8" t="str">
            <v>Paramaz Avedisian Building</v>
          </cell>
        </row>
      </sheetData>
      <sheetData sheetId="4798">
        <row r="8">
          <cell r="D8" t="str">
            <v>Paramaz Avedisian Building</v>
          </cell>
        </row>
      </sheetData>
      <sheetData sheetId="4799">
        <row r="8">
          <cell r="D8" t="str">
            <v>Paramaz Avedisian Building</v>
          </cell>
        </row>
      </sheetData>
      <sheetData sheetId="4800">
        <row r="8">
          <cell r="D8" t="str">
            <v>Paramaz Avedisian Building</v>
          </cell>
        </row>
      </sheetData>
      <sheetData sheetId="4801">
        <row r="8">
          <cell r="D8" t="str">
            <v>Paramaz Avedisian Building</v>
          </cell>
        </row>
      </sheetData>
      <sheetData sheetId="4802">
        <row r="8">
          <cell r="D8" t="str">
            <v>Paramaz Avedisian Building</v>
          </cell>
        </row>
      </sheetData>
      <sheetData sheetId="4803">
        <row r="8">
          <cell r="D8" t="str">
            <v>Paramaz Avedisian Building</v>
          </cell>
        </row>
      </sheetData>
      <sheetData sheetId="4804">
        <row r="8">
          <cell r="D8" t="str">
            <v>Paramaz Avedisian Building</v>
          </cell>
        </row>
      </sheetData>
      <sheetData sheetId="4805">
        <row r="8">
          <cell r="D8" t="str">
            <v>Paramaz Avedisian Building</v>
          </cell>
        </row>
      </sheetData>
      <sheetData sheetId="4806">
        <row r="8">
          <cell r="D8" t="str">
            <v>Paramaz Avedisian Building</v>
          </cell>
        </row>
      </sheetData>
      <sheetData sheetId="4807">
        <row r="8">
          <cell r="D8" t="str">
            <v>Paramaz Avedisian Building</v>
          </cell>
        </row>
      </sheetData>
      <sheetData sheetId="4808">
        <row r="8">
          <cell r="D8" t="str">
            <v>Paramaz Avedisian Building</v>
          </cell>
        </row>
      </sheetData>
      <sheetData sheetId="4809">
        <row r="8">
          <cell r="D8" t="str">
            <v>Paramaz Avedisian Building</v>
          </cell>
        </row>
      </sheetData>
      <sheetData sheetId="4810">
        <row r="8">
          <cell r="D8" t="str">
            <v>Paramaz Avedisian Building</v>
          </cell>
        </row>
      </sheetData>
      <sheetData sheetId="4811">
        <row r="8">
          <cell r="D8" t="str">
            <v>Paramaz Avedisian Building</v>
          </cell>
        </row>
      </sheetData>
      <sheetData sheetId="4812">
        <row r="8">
          <cell r="D8" t="str">
            <v>Paramaz Avedisian Building</v>
          </cell>
        </row>
      </sheetData>
      <sheetData sheetId="4813">
        <row r="8">
          <cell r="D8" t="str">
            <v>Paramaz Avedisian Building</v>
          </cell>
        </row>
      </sheetData>
      <sheetData sheetId="4814">
        <row r="8">
          <cell r="D8" t="str">
            <v>Paramaz Avedisian Building</v>
          </cell>
        </row>
      </sheetData>
      <sheetData sheetId="4815">
        <row r="8">
          <cell r="D8" t="str">
            <v>Paramaz Avedisian Building</v>
          </cell>
        </row>
      </sheetData>
      <sheetData sheetId="4816">
        <row r="8">
          <cell r="D8" t="str">
            <v>Paramaz Avedisian Building</v>
          </cell>
        </row>
      </sheetData>
      <sheetData sheetId="4817">
        <row r="8">
          <cell r="D8" t="str">
            <v>Paramaz Avedisian Building</v>
          </cell>
        </row>
      </sheetData>
      <sheetData sheetId="4818">
        <row r="8">
          <cell r="D8" t="str">
            <v>Paramaz Avedisian Building</v>
          </cell>
        </row>
      </sheetData>
      <sheetData sheetId="4819">
        <row r="8">
          <cell r="D8" t="str">
            <v>Paramaz Avedisian Building</v>
          </cell>
        </row>
      </sheetData>
      <sheetData sheetId="4820">
        <row r="8">
          <cell r="D8" t="str">
            <v>Paramaz Avedisian Building</v>
          </cell>
        </row>
      </sheetData>
      <sheetData sheetId="4821">
        <row r="8">
          <cell r="D8" t="str">
            <v>Paramaz Avedisian Building</v>
          </cell>
        </row>
      </sheetData>
      <sheetData sheetId="4822">
        <row r="8">
          <cell r="D8" t="str">
            <v>Paramaz Avedisian Building</v>
          </cell>
        </row>
      </sheetData>
      <sheetData sheetId="4823">
        <row r="8">
          <cell r="D8" t="str">
            <v>Paramaz Avedisian Building</v>
          </cell>
        </row>
      </sheetData>
      <sheetData sheetId="4824">
        <row r="8">
          <cell r="D8" t="str">
            <v>Paramaz Avedisian Building</v>
          </cell>
        </row>
      </sheetData>
      <sheetData sheetId="4825">
        <row r="8">
          <cell r="D8" t="str">
            <v>Paramaz Avedisian Building</v>
          </cell>
        </row>
      </sheetData>
      <sheetData sheetId="4826">
        <row r="8">
          <cell r="D8" t="str">
            <v>Paramaz Avedisian Building</v>
          </cell>
        </row>
      </sheetData>
      <sheetData sheetId="4827">
        <row r="8">
          <cell r="D8" t="str">
            <v>Paramaz Avedisian Building</v>
          </cell>
        </row>
      </sheetData>
      <sheetData sheetId="4828">
        <row r="8">
          <cell r="D8" t="str">
            <v>Paramaz Avedisian Building</v>
          </cell>
        </row>
      </sheetData>
      <sheetData sheetId="4829">
        <row r="8">
          <cell r="D8" t="str">
            <v>Paramaz Avedisian Building</v>
          </cell>
        </row>
      </sheetData>
      <sheetData sheetId="4830">
        <row r="8">
          <cell r="D8" t="str">
            <v>Paramaz Avedisian Building</v>
          </cell>
        </row>
      </sheetData>
      <sheetData sheetId="4831">
        <row r="8">
          <cell r="D8" t="str">
            <v>Paramaz Avedisian Building</v>
          </cell>
        </row>
      </sheetData>
      <sheetData sheetId="4832">
        <row r="8">
          <cell r="D8" t="str">
            <v>Paramaz Avedisian Building</v>
          </cell>
        </row>
      </sheetData>
      <sheetData sheetId="4833">
        <row r="8">
          <cell r="D8" t="str">
            <v>Paramaz Avedisian Building</v>
          </cell>
        </row>
      </sheetData>
      <sheetData sheetId="4834">
        <row r="8">
          <cell r="D8" t="str">
            <v>Paramaz Avedisian Building</v>
          </cell>
        </row>
      </sheetData>
      <sheetData sheetId="4835">
        <row r="8">
          <cell r="D8" t="str">
            <v>Paramaz Avedisian Building</v>
          </cell>
        </row>
      </sheetData>
      <sheetData sheetId="4836">
        <row r="8">
          <cell r="D8" t="str">
            <v>Paramaz Avedisian Building</v>
          </cell>
        </row>
      </sheetData>
      <sheetData sheetId="4837">
        <row r="8">
          <cell r="D8" t="str">
            <v>Paramaz Avedisian Building</v>
          </cell>
        </row>
      </sheetData>
      <sheetData sheetId="4838">
        <row r="8">
          <cell r="D8" t="str">
            <v>Paramaz Avedisian Building</v>
          </cell>
        </row>
      </sheetData>
      <sheetData sheetId="4839">
        <row r="8">
          <cell r="D8" t="str">
            <v>Paramaz Avedisian Building</v>
          </cell>
        </row>
      </sheetData>
      <sheetData sheetId="4840">
        <row r="8">
          <cell r="D8" t="str">
            <v>Paramaz Avedisian Building</v>
          </cell>
        </row>
      </sheetData>
      <sheetData sheetId="4841">
        <row r="8">
          <cell r="D8" t="str">
            <v>Paramaz Avedisian Building</v>
          </cell>
        </row>
      </sheetData>
      <sheetData sheetId="4842">
        <row r="8">
          <cell r="D8" t="str">
            <v>Paramaz Avedisian Building</v>
          </cell>
        </row>
      </sheetData>
      <sheetData sheetId="4843">
        <row r="8">
          <cell r="D8" t="str">
            <v>Paramaz Avedisian Building</v>
          </cell>
        </row>
      </sheetData>
      <sheetData sheetId="4844">
        <row r="8">
          <cell r="D8" t="str">
            <v>Paramaz Avedisian Building</v>
          </cell>
        </row>
      </sheetData>
      <sheetData sheetId="4845">
        <row r="8">
          <cell r="D8" t="str">
            <v>Paramaz Avedisian Building</v>
          </cell>
        </row>
      </sheetData>
      <sheetData sheetId="4846">
        <row r="8">
          <cell r="D8" t="str">
            <v>Paramaz Avedisian Building</v>
          </cell>
        </row>
      </sheetData>
      <sheetData sheetId="4847">
        <row r="8">
          <cell r="D8" t="str">
            <v>Paramaz Avedisian Building</v>
          </cell>
        </row>
      </sheetData>
      <sheetData sheetId="4848">
        <row r="8">
          <cell r="D8" t="str">
            <v>Paramaz Avedisian Building</v>
          </cell>
        </row>
      </sheetData>
      <sheetData sheetId="4849">
        <row r="8">
          <cell r="D8" t="str">
            <v>Paramaz Avedisian Building</v>
          </cell>
        </row>
      </sheetData>
      <sheetData sheetId="4850">
        <row r="8">
          <cell r="D8" t="str">
            <v>Paramaz Avedisian Building</v>
          </cell>
        </row>
      </sheetData>
      <sheetData sheetId="4851">
        <row r="8">
          <cell r="D8" t="str">
            <v>Paramaz Avedisian Building</v>
          </cell>
        </row>
      </sheetData>
      <sheetData sheetId="4852">
        <row r="8">
          <cell r="D8" t="str">
            <v>Paramaz Avedisian Building</v>
          </cell>
        </row>
      </sheetData>
      <sheetData sheetId="4853">
        <row r="8">
          <cell r="D8" t="str">
            <v>Paramaz Avedisian Building</v>
          </cell>
        </row>
      </sheetData>
      <sheetData sheetId="4854">
        <row r="8">
          <cell r="D8" t="str">
            <v>Paramaz Avedisian Building</v>
          </cell>
        </row>
      </sheetData>
      <sheetData sheetId="4855">
        <row r="8">
          <cell r="D8" t="str">
            <v>Paramaz Avedisian Building</v>
          </cell>
        </row>
      </sheetData>
      <sheetData sheetId="4856">
        <row r="8">
          <cell r="D8" t="str">
            <v>Paramaz Avedisian Building</v>
          </cell>
        </row>
      </sheetData>
      <sheetData sheetId="4857">
        <row r="8">
          <cell r="D8" t="str">
            <v>Paramaz Avedisian Building</v>
          </cell>
        </row>
      </sheetData>
      <sheetData sheetId="4858">
        <row r="8">
          <cell r="D8" t="str">
            <v>Paramaz Avedisian Building</v>
          </cell>
        </row>
      </sheetData>
      <sheetData sheetId="4859">
        <row r="8">
          <cell r="D8" t="str">
            <v>Paramaz Avedisian Building</v>
          </cell>
        </row>
      </sheetData>
      <sheetData sheetId="4860">
        <row r="8">
          <cell r="D8" t="str">
            <v>Paramaz Avedisian Building</v>
          </cell>
        </row>
      </sheetData>
      <sheetData sheetId="4861">
        <row r="8">
          <cell r="D8" t="str">
            <v>Paramaz Avedisian Building</v>
          </cell>
        </row>
      </sheetData>
      <sheetData sheetId="4862">
        <row r="8">
          <cell r="D8" t="str">
            <v>Paramaz Avedisian Building</v>
          </cell>
        </row>
      </sheetData>
      <sheetData sheetId="4863">
        <row r="8">
          <cell r="D8" t="str">
            <v>Paramaz Avedisian Building</v>
          </cell>
        </row>
      </sheetData>
      <sheetData sheetId="4864">
        <row r="8">
          <cell r="D8" t="str">
            <v>Paramaz Avedisian Building</v>
          </cell>
        </row>
      </sheetData>
      <sheetData sheetId="4865">
        <row r="8">
          <cell r="D8" t="str">
            <v>Paramaz Avedisian Building</v>
          </cell>
        </row>
      </sheetData>
      <sheetData sheetId="4866">
        <row r="8">
          <cell r="D8" t="str">
            <v>Paramaz Avedisian Building</v>
          </cell>
        </row>
      </sheetData>
      <sheetData sheetId="4867">
        <row r="8">
          <cell r="D8" t="str">
            <v>Paramaz Avedisian Building</v>
          </cell>
        </row>
      </sheetData>
      <sheetData sheetId="4868">
        <row r="8">
          <cell r="D8" t="str">
            <v>Paramaz Avedisian Building</v>
          </cell>
        </row>
      </sheetData>
      <sheetData sheetId="4869">
        <row r="8">
          <cell r="D8" t="str">
            <v>Paramaz Avedisian Building</v>
          </cell>
        </row>
      </sheetData>
      <sheetData sheetId="4870">
        <row r="8">
          <cell r="D8" t="str">
            <v>Paramaz Avedisian Building</v>
          </cell>
        </row>
      </sheetData>
      <sheetData sheetId="4871">
        <row r="8">
          <cell r="D8" t="str">
            <v>Paramaz Avedisian Building</v>
          </cell>
        </row>
      </sheetData>
      <sheetData sheetId="4872">
        <row r="8">
          <cell r="D8" t="str">
            <v>Paramaz Avedisian Building</v>
          </cell>
        </row>
      </sheetData>
      <sheetData sheetId="4873">
        <row r="8">
          <cell r="D8" t="str">
            <v>Paramaz Avedisian Building</v>
          </cell>
        </row>
      </sheetData>
      <sheetData sheetId="4874">
        <row r="8">
          <cell r="D8" t="str">
            <v>Paramaz Avedisian Building</v>
          </cell>
        </row>
      </sheetData>
      <sheetData sheetId="4875">
        <row r="8">
          <cell r="D8" t="str">
            <v>Paramaz Avedisian Building</v>
          </cell>
        </row>
      </sheetData>
      <sheetData sheetId="4876">
        <row r="8">
          <cell r="D8" t="str">
            <v>Paramaz Avedisian Building</v>
          </cell>
        </row>
      </sheetData>
      <sheetData sheetId="4877">
        <row r="8">
          <cell r="D8" t="str">
            <v>Paramaz Avedisian Building</v>
          </cell>
        </row>
      </sheetData>
      <sheetData sheetId="4878">
        <row r="8">
          <cell r="D8" t="str">
            <v>Paramaz Avedisian Building</v>
          </cell>
        </row>
      </sheetData>
      <sheetData sheetId="4879">
        <row r="8">
          <cell r="D8" t="str">
            <v>Paramaz Avedisian Building</v>
          </cell>
        </row>
      </sheetData>
      <sheetData sheetId="4880">
        <row r="8">
          <cell r="D8" t="str">
            <v>Paramaz Avedisian Building</v>
          </cell>
        </row>
      </sheetData>
      <sheetData sheetId="4881">
        <row r="8">
          <cell r="D8" t="str">
            <v>Paramaz Avedisian Building</v>
          </cell>
        </row>
      </sheetData>
      <sheetData sheetId="4882">
        <row r="8">
          <cell r="D8" t="str">
            <v>Paramaz Avedisian Building</v>
          </cell>
        </row>
      </sheetData>
      <sheetData sheetId="4883">
        <row r="8">
          <cell r="D8" t="str">
            <v>Paramaz Avedisian Building</v>
          </cell>
        </row>
      </sheetData>
      <sheetData sheetId="4884">
        <row r="8">
          <cell r="D8" t="str">
            <v>Paramaz Avedisian Building</v>
          </cell>
        </row>
      </sheetData>
      <sheetData sheetId="4885">
        <row r="8">
          <cell r="D8" t="str">
            <v>Paramaz Avedisian Building</v>
          </cell>
        </row>
      </sheetData>
      <sheetData sheetId="4886">
        <row r="8">
          <cell r="D8" t="str">
            <v>Paramaz Avedisian Building</v>
          </cell>
        </row>
      </sheetData>
      <sheetData sheetId="4887">
        <row r="8">
          <cell r="D8" t="str">
            <v>Paramaz Avedisian Building</v>
          </cell>
        </row>
      </sheetData>
      <sheetData sheetId="4888">
        <row r="8">
          <cell r="D8" t="str">
            <v>Paramaz Avedisian Building</v>
          </cell>
        </row>
      </sheetData>
      <sheetData sheetId="4889">
        <row r="8">
          <cell r="D8" t="str">
            <v>Paramaz Avedisian Building</v>
          </cell>
        </row>
      </sheetData>
      <sheetData sheetId="4890">
        <row r="8">
          <cell r="D8" t="str">
            <v>Paramaz Avedisian Building</v>
          </cell>
        </row>
      </sheetData>
      <sheetData sheetId="4891">
        <row r="8">
          <cell r="D8" t="str">
            <v>Paramaz Avedisian Building</v>
          </cell>
        </row>
      </sheetData>
      <sheetData sheetId="4892">
        <row r="8">
          <cell r="D8" t="str">
            <v>Paramaz Avedisian Building</v>
          </cell>
        </row>
      </sheetData>
      <sheetData sheetId="4893">
        <row r="8">
          <cell r="D8" t="str">
            <v>Paramaz Avedisian Building</v>
          </cell>
        </row>
      </sheetData>
      <sheetData sheetId="4894">
        <row r="8">
          <cell r="D8" t="str">
            <v>Paramaz Avedisian Building</v>
          </cell>
        </row>
      </sheetData>
      <sheetData sheetId="4895">
        <row r="8">
          <cell r="D8" t="str">
            <v>Paramaz Avedisian Building</v>
          </cell>
        </row>
      </sheetData>
      <sheetData sheetId="4896">
        <row r="8">
          <cell r="D8" t="str">
            <v>Paramaz Avedisian Building</v>
          </cell>
        </row>
      </sheetData>
      <sheetData sheetId="4897">
        <row r="8">
          <cell r="D8" t="str">
            <v>Paramaz Avedisian Building</v>
          </cell>
        </row>
      </sheetData>
      <sheetData sheetId="4898">
        <row r="8">
          <cell r="D8" t="str">
            <v>Paramaz Avedisian Building</v>
          </cell>
        </row>
      </sheetData>
      <sheetData sheetId="4899">
        <row r="8">
          <cell r="D8" t="str">
            <v>Paramaz Avedisian Building</v>
          </cell>
        </row>
      </sheetData>
      <sheetData sheetId="4900">
        <row r="8">
          <cell r="D8" t="str">
            <v>Paramaz Avedisian Building</v>
          </cell>
        </row>
      </sheetData>
      <sheetData sheetId="4901">
        <row r="8">
          <cell r="D8" t="str">
            <v>Paramaz Avedisian Building</v>
          </cell>
        </row>
      </sheetData>
      <sheetData sheetId="4902">
        <row r="8">
          <cell r="D8" t="str">
            <v>Paramaz Avedisian Building</v>
          </cell>
        </row>
      </sheetData>
      <sheetData sheetId="4903">
        <row r="8">
          <cell r="D8" t="str">
            <v>Paramaz Avedisian Building</v>
          </cell>
        </row>
      </sheetData>
      <sheetData sheetId="4904">
        <row r="8">
          <cell r="D8" t="str">
            <v>Paramaz Avedisian Building</v>
          </cell>
        </row>
      </sheetData>
      <sheetData sheetId="4905">
        <row r="8">
          <cell r="D8" t="str">
            <v>Paramaz Avedisian Building</v>
          </cell>
        </row>
      </sheetData>
      <sheetData sheetId="4906">
        <row r="8">
          <cell r="D8" t="str">
            <v>Paramaz Avedisian Building</v>
          </cell>
        </row>
      </sheetData>
      <sheetData sheetId="4907">
        <row r="8">
          <cell r="D8" t="str">
            <v>Paramaz Avedisian Building</v>
          </cell>
        </row>
      </sheetData>
      <sheetData sheetId="4908">
        <row r="8">
          <cell r="D8" t="str">
            <v>Paramaz Avedisian Building</v>
          </cell>
        </row>
      </sheetData>
      <sheetData sheetId="4909">
        <row r="8">
          <cell r="D8" t="str">
            <v>Paramaz Avedisian Building</v>
          </cell>
        </row>
      </sheetData>
      <sheetData sheetId="4910">
        <row r="8">
          <cell r="D8" t="str">
            <v>Paramaz Avedisian Building</v>
          </cell>
        </row>
      </sheetData>
      <sheetData sheetId="4911">
        <row r="8">
          <cell r="D8" t="str">
            <v>Paramaz Avedisian Building</v>
          </cell>
        </row>
      </sheetData>
      <sheetData sheetId="4912">
        <row r="8">
          <cell r="D8" t="str">
            <v>Paramaz Avedisian Building</v>
          </cell>
        </row>
      </sheetData>
      <sheetData sheetId="4913">
        <row r="8">
          <cell r="D8" t="str">
            <v>Paramaz Avedisian Building</v>
          </cell>
        </row>
      </sheetData>
      <sheetData sheetId="4914">
        <row r="8">
          <cell r="D8" t="str">
            <v>Paramaz Avedisian Building</v>
          </cell>
        </row>
      </sheetData>
      <sheetData sheetId="4915">
        <row r="8">
          <cell r="D8" t="str">
            <v>Paramaz Avedisian Building</v>
          </cell>
        </row>
      </sheetData>
      <sheetData sheetId="4916">
        <row r="8">
          <cell r="D8" t="str">
            <v>Paramaz Avedisian Building</v>
          </cell>
        </row>
      </sheetData>
      <sheetData sheetId="4917">
        <row r="8">
          <cell r="D8" t="str">
            <v>Paramaz Avedisian Building</v>
          </cell>
        </row>
      </sheetData>
      <sheetData sheetId="4918">
        <row r="8">
          <cell r="D8" t="str">
            <v>Paramaz Avedisian Building</v>
          </cell>
        </row>
      </sheetData>
      <sheetData sheetId="4919">
        <row r="8">
          <cell r="D8" t="str">
            <v>Paramaz Avedisian Building</v>
          </cell>
        </row>
      </sheetData>
      <sheetData sheetId="4920">
        <row r="8">
          <cell r="D8" t="str">
            <v>Paramaz Avedisian Building</v>
          </cell>
        </row>
      </sheetData>
      <sheetData sheetId="4921">
        <row r="8">
          <cell r="D8" t="str">
            <v>Paramaz Avedisian Building</v>
          </cell>
        </row>
      </sheetData>
      <sheetData sheetId="4922">
        <row r="8">
          <cell r="D8" t="str">
            <v>Paramaz Avedisian Building</v>
          </cell>
        </row>
      </sheetData>
      <sheetData sheetId="4923">
        <row r="8">
          <cell r="D8" t="str">
            <v>Paramaz Avedisian Building</v>
          </cell>
        </row>
      </sheetData>
      <sheetData sheetId="4924">
        <row r="8">
          <cell r="D8" t="str">
            <v>Paramaz Avedisian Building</v>
          </cell>
        </row>
      </sheetData>
      <sheetData sheetId="4925">
        <row r="8">
          <cell r="D8" t="str">
            <v>Paramaz Avedisian Building</v>
          </cell>
        </row>
      </sheetData>
      <sheetData sheetId="4926">
        <row r="8">
          <cell r="D8" t="str">
            <v>Paramaz Avedisian Building</v>
          </cell>
        </row>
      </sheetData>
      <sheetData sheetId="4927">
        <row r="8">
          <cell r="D8" t="str">
            <v>Paramaz Avedisian Building</v>
          </cell>
        </row>
      </sheetData>
      <sheetData sheetId="4928">
        <row r="8">
          <cell r="D8" t="str">
            <v>Paramaz Avedisian Building</v>
          </cell>
        </row>
      </sheetData>
      <sheetData sheetId="4929">
        <row r="8">
          <cell r="D8" t="str">
            <v>Paramaz Avedisian Building</v>
          </cell>
        </row>
      </sheetData>
      <sheetData sheetId="4930">
        <row r="8">
          <cell r="D8" t="str">
            <v>Paramaz Avedisian Building</v>
          </cell>
        </row>
      </sheetData>
      <sheetData sheetId="4931">
        <row r="8">
          <cell r="D8" t="str">
            <v>Paramaz Avedisian Building</v>
          </cell>
        </row>
      </sheetData>
      <sheetData sheetId="4932">
        <row r="8">
          <cell r="D8" t="str">
            <v>Paramaz Avedisian Building</v>
          </cell>
        </row>
      </sheetData>
      <sheetData sheetId="4933">
        <row r="8">
          <cell r="D8" t="str">
            <v>Paramaz Avedisian Building</v>
          </cell>
        </row>
      </sheetData>
      <sheetData sheetId="4934">
        <row r="8">
          <cell r="D8" t="str">
            <v>Paramaz Avedisian Building</v>
          </cell>
        </row>
      </sheetData>
      <sheetData sheetId="4935">
        <row r="8">
          <cell r="D8" t="str">
            <v>Paramaz Avedisian Building</v>
          </cell>
        </row>
      </sheetData>
      <sheetData sheetId="4936">
        <row r="8">
          <cell r="D8" t="str">
            <v>Paramaz Avedisian Building</v>
          </cell>
        </row>
      </sheetData>
      <sheetData sheetId="4937">
        <row r="8">
          <cell r="D8" t="str">
            <v>Paramaz Avedisian Building</v>
          </cell>
        </row>
      </sheetData>
      <sheetData sheetId="4938">
        <row r="8">
          <cell r="D8" t="str">
            <v>Paramaz Avedisian Building</v>
          </cell>
        </row>
      </sheetData>
      <sheetData sheetId="4939">
        <row r="8">
          <cell r="D8" t="str">
            <v>Paramaz Avedisian Building</v>
          </cell>
        </row>
      </sheetData>
      <sheetData sheetId="4940">
        <row r="8">
          <cell r="D8" t="str">
            <v>Paramaz Avedisian Building</v>
          </cell>
        </row>
      </sheetData>
      <sheetData sheetId="4941">
        <row r="8">
          <cell r="D8" t="str">
            <v>Paramaz Avedisian Building</v>
          </cell>
        </row>
      </sheetData>
      <sheetData sheetId="4942">
        <row r="8">
          <cell r="D8" t="str">
            <v>Paramaz Avedisian Building</v>
          </cell>
        </row>
      </sheetData>
      <sheetData sheetId="4943">
        <row r="8">
          <cell r="D8" t="str">
            <v>Paramaz Avedisian Building</v>
          </cell>
        </row>
      </sheetData>
      <sheetData sheetId="4944">
        <row r="8">
          <cell r="D8" t="str">
            <v>Paramaz Avedisian Building</v>
          </cell>
        </row>
      </sheetData>
      <sheetData sheetId="4945">
        <row r="8">
          <cell r="D8" t="str">
            <v>Paramaz Avedisian Building</v>
          </cell>
        </row>
      </sheetData>
      <sheetData sheetId="4946">
        <row r="8">
          <cell r="D8" t="str">
            <v>Paramaz Avedisian Building</v>
          </cell>
        </row>
      </sheetData>
      <sheetData sheetId="4947">
        <row r="8">
          <cell r="D8" t="str">
            <v>Paramaz Avedisian Building</v>
          </cell>
        </row>
      </sheetData>
      <sheetData sheetId="4948">
        <row r="8">
          <cell r="D8" t="str">
            <v>Paramaz Avedisian Building</v>
          </cell>
        </row>
      </sheetData>
      <sheetData sheetId="4949">
        <row r="8">
          <cell r="D8" t="str">
            <v>Paramaz Avedisian Building</v>
          </cell>
        </row>
      </sheetData>
      <sheetData sheetId="4950">
        <row r="8">
          <cell r="D8" t="str">
            <v>Paramaz Avedisian Building</v>
          </cell>
        </row>
      </sheetData>
      <sheetData sheetId="4951">
        <row r="8">
          <cell r="D8" t="str">
            <v>Paramaz Avedisian Building</v>
          </cell>
        </row>
      </sheetData>
      <sheetData sheetId="4952">
        <row r="8">
          <cell r="D8" t="str">
            <v>Paramaz Avedisian Building</v>
          </cell>
        </row>
      </sheetData>
      <sheetData sheetId="4953">
        <row r="8">
          <cell r="D8" t="str">
            <v>Paramaz Avedisian Building</v>
          </cell>
        </row>
      </sheetData>
      <sheetData sheetId="4954">
        <row r="8">
          <cell r="D8" t="str">
            <v>Paramaz Avedisian Building</v>
          </cell>
        </row>
      </sheetData>
      <sheetData sheetId="4955">
        <row r="8">
          <cell r="D8" t="str">
            <v>Paramaz Avedisian Building</v>
          </cell>
        </row>
      </sheetData>
      <sheetData sheetId="4956">
        <row r="8">
          <cell r="D8" t="str">
            <v>Paramaz Avedisian Building</v>
          </cell>
        </row>
      </sheetData>
      <sheetData sheetId="4957">
        <row r="8">
          <cell r="D8" t="str">
            <v>Paramaz Avedisian Building</v>
          </cell>
        </row>
      </sheetData>
      <sheetData sheetId="4958">
        <row r="8">
          <cell r="D8" t="str">
            <v>Paramaz Avedisian Building</v>
          </cell>
        </row>
      </sheetData>
      <sheetData sheetId="4959">
        <row r="8">
          <cell r="D8" t="str">
            <v>Paramaz Avedisian Building</v>
          </cell>
        </row>
      </sheetData>
      <sheetData sheetId="4960">
        <row r="8">
          <cell r="D8" t="str">
            <v>Paramaz Avedisian Building</v>
          </cell>
        </row>
      </sheetData>
      <sheetData sheetId="4961">
        <row r="8">
          <cell r="D8" t="str">
            <v>Paramaz Avedisian Building</v>
          </cell>
        </row>
      </sheetData>
      <sheetData sheetId="4962">
        <row r="8">
          <cell r="D8" t="str">
            <v>Paramaz Avedisian Building</v>
          </cell>
        </row>
      </sheetData>
      <sheetData sheetId="4963">
        <row r="8">
          <cell r="D8" t="str">
            <v>Paramaz Avedisian Building</v>
          </cell>
        </row>
      </sheetData>
      <sheetData sheetId="4964">
        <row r="8">
          <cell r="D8" t="str">
            <v>Paramaz Avedisian Building</v>
          </cell>
        </row>
      </sheetData>
      <sheetData sheetId="4965">
        <row r="8">
          <cell r="D8" t="str">
            <v>Paramaz Avedisian Building</v>
          </cell>
        </row>
      </sheetData>
      <sheetData sheetId="4966">
        <row r="8">
          <cell r="D8" t="str">
            <v>Paramaz Avedisian Building</v>
          </cell>
        </row>
      </sheetData>
      <sheetData sheetId="4967">
        <row r="8">
          <cell r="D8" t="str">
            <v>Paramaz Avedisian Building</v>
          </cell>
        </row>
      </sheetData>
      <sheetData sheetId="4968">
        <row r="8">
          <cell r="D8" t="str">
            <v>Paramaz Avedisian Building</v>
          </cell>
        </row>
      </sheetData>
      <sheetData sheetId="4969">
        <row r="8">
          <cell r="D8" t="str">
            <v>Paramaz Avedisian Building</v>
          </cell>
        </row>
      </sheetData>
      <sheetData sheetId="4970">
        <row r="8">
          <cell r="D8" t="str">
            <v>Paramaz Avedisian Building</v>
          </cell>
        </row>
      </sheetData>
      <sheetData sheetId="4971">
        <row r="8">
          <cell r="D8" t="str">
            <v>Paramaz Avedisian Building</v>
          </cell>
        </row>
      </sheetData>
      <sheetData sheetId="4972">
        <row r="8">
          <cell r="D8" t="str">
            <v>Paramaz Avedisian Building</v>
          </cell>
        </row>
      </sheetData>
      <sheetData sheetId="4973">
        <row r="8">
          <cell r="D8" t="str">
            <v>Paramaz Avedisian Building</v>
          </cell>
        </row>
      </sheetData>
      <sheetData sheetId="4974">
        <row r="8">
          <cell r="D8" t="str">
            <v>Paramaz Avedisian Building</v>
          </cell>
        </row>
      </sheetData>
      <sheetData sheetId="4975">
        <row r="8">
          <cell r="D8" t="str">
            <v>Paramaz Avedisian Building</v>
          </cell>
        </row>
      </sheetData>
      <sheetData sheetId="4976">
        <row r="8">
          <cell r="D8" t="str">
            <v>Paramaz Avedisian Building</v>
          </cell>
        </row>
      </sheetData>
      <sheetData sheetId="4977">
        <row r="8">
          <cell r="D8" t="str">
            <v>Paramaz Avedisian Building</v>
          </cell>
        </row>
      </sheetData>
      <sheetData sheetId="4978">
        <row r="8">
          <cell r="D8" t="str">
            <v>Paramaz Avedisian Building</v>
          </cell>
        </row>
      </sheetData>
      <sheetData sheetId="4979">
        <row r="8">
          <cell r="D8" t="str">
            <v>Paramaz Avedisian Building</v>
          </cell>
        </row>
      </sheetData>
      <sheetData sheetId="4980">
        <row r="8">
          <cell r="D8" t="str">
            <v>Paramaz Avedisian Building</v>
          </cell>
        </row>
      </sheetData>
      <sheetData sheetId="4981">
        <row r="8">
          <cell r="D8" t="str">
            <v>Paramaz Avedisian Building</v>
          </cell>
        </row>
      </sheetData>
      <sheetData sheetId="4982">
        <row r="8">
          <cell r="D8" t="str">
            <v>Paramaz Avedisian Building</v>
          </cell>
        </row>
      </sheetData>
      <sheetData sheetId="4983">
        <row r="8">
          <cell r="D8" t="str">
            <v>Paramaz Avedisian Building</v>
          </cell>
        </row>
      </sheetData>
      <sheetData sheetId="4984">
        <row r="8">
          <cell r="D8" t="str">
            <v>Paramaz Avedisian Building</v>
          </cell>
        </row>
      </sheetData>
      <sheetData sheetId="4985">
        <row r="8">
          <cell r="D8" t="str">
            <v>Paramaz Avedisian Building</v>
          </cell>
        </row>
      </sheetData>
      <sheetData sheetId="4986">
        <row r="8">
          <cell r="D8" t="str">
            <v>Paramaz Avedisian Building</v>
          </cell>
        </row>
      </sheetData>
      <sheetData sheetId="4987">
        <row r="8">
          <cell r="D8" t="str">
            <v>Paramaz Avedisian Building</v>
          </cell>
        </row>
      </sheetData>
      <sheetData sheetId="4988">
        <row r="8">
          <cell r="D8" t="str">
            <v>Paramaz Avedisian Building</v>
          </cell>
        </row>
      </sheetData>
      <sheetData sheetId="4989">
        <row r="8">
          <cell r="D8" t="str">
            <v>Paramaz Avedisian Building</v>
          </cell>
        </row>
      </sheetData>
      <sheetData sheetId="4990">
        <row r="8">
          <cell r="D8" t="str">
            <v>Paramaz Avedisian Building</v>
          </cell>
        </row>
      </sheetData>
      <sheetData sheetId="4991">
        <row r="8">
          <cell r="D8" t="str">
            <v>Paramaz Avedisian Building</v>
          </cell>
        </row>
      </sheetData>
      <sheetData sheetId="4992">
        <row r="8">
          <cell r="D8" t="str">
            <v>Paramaz Avedisian Building</v>
          </cell>
        </row>
      </sheetData>
      <sheetData sheetId="4993">
        <row r="8">
          <cell r="D8" t="str">
            <v>Paramaz Avedisian Building</v>
          </cell>
        </row>
      </sheetData>
      <sheetData sheetId="4994">
        <row r="8">
          <cell r="D8" t="str">
            <v>Paramaz Avedisian Building</v>
          </cell>
        </row>
      </sheetData>
      <sheetData sheetId="4995">
        <row r="8">
          <cell r="D8" t="str">
            <v>Paramaz Avedisian Building</v>
          </cell>
        </row>
      </sheetData>
      <sheetData sheetId="4996">
        <row r="8">
          <cell r="D8" t="str">
            <v>Paramaz Avedisian Building</v>
          </cell>
        </row>
      </sheetData>
      <sheetData sheetId="4997">
        <row r="8">
          <cell r="D8" t="str">
            <v>Paramaz Avedisian Building</v>
          </cell>
        </row>
      </sheetData>
      <sheetData sheetId="4998">
        <row r="8">
          <cell r="D8" t="str">
            <v>Paramaz Avedisian Building</v>
          </cell>
        </row>
      </sheetData>
      <sheetData sheetId="4999">
        <row r="8">
          <cell r="D8" t="str">
            <v>Paramaz Avedisian Building</v>
          </cell>
        </row>
      </sheetData>
      <sheetData sheetId="5000">
        <row r="8">
          <cell r="D8" t="str">
            <v>Paramaz Avedisian Building</v>
          </cell>
        </row>
      </sheetData>
      <sheetData sheetId="5001">
        <row r="8">
          <cell r="D8" t="str">
            <v>Paramaz Avedisian Building</v>
          </cell>
        </row>
      </sheetData>
      <sheetData sheetId="5002">
        <row r="8">
          <cell r="D8" t="str">
            <v>Paramaz Avedisian Building</v>
          </cell>
        </row>
      </sheetData>
      <sheetData sheetId="5003">
        <row r="8">
          <cell r="D8" t="str">
            <v>Paramaz Avedisian Building</v>
          </cell>
        </row>
      </sheetData>
      <sheetData sheetId="5004">
        <row r="8">
          <cell r="D8" t="str">
            <v>Paramaz Avedisian Building</v>
          </cell>
        </row>
      </sheetData>
      <sheetData sheetId="5005">
        <row r="8">
          <cell r="D8" t="str">
            <v>Paramaz Avedisian Building</v>
          </cell>
        </row>
      </sheetData>
      <sheetData sheetId="5006">
        <row r="8">
          <cell r="D8" t="str">
            <v>Paramaz Avedisian Building</v>
          </cell>
        </row>
      </sheetData>
      <sheetData sheetId="5007">
        <row r="8">
          <cell r="D8" t="str">
            <v>Paramaz Avedisian Building</v>
          </cell>
        </row>
      </sheetData>
      <sheetData sheetId="5008">
        <row r="8">
          <cell r="D8" t="str">
            <v>Paramaz Avedisian Building</v>
          </cell>
        </row>
      </sheetData>
      <sheetData sheetId="5009">
        <row r="8">
          <cell r="D8" t="str">
            <v>Paramaz Avedisian Building</v>
          </cell>
        </row>
      </sheetData>
      <sheetData sheetId="5010">
        <row r="8">
          <cell r="D8" t="str">
            <v>Paramaz Avedisian Building</v>
          </cell>
        </row>
      </sheetData>
      <sheetData sheetId="5011">
        <row r="8">
          <cell r="D8" t="str">
            <v>Paramaz Avedisian Building</v>
          </cell>
        </row>
      </sheetData>
      <sheetData sheetId="5012">
        <row r="8">
          <cell r="D8" t="str">
            <v>Paramaz Avedisian Building</v>
          </cell>
        </row>
      </sheetData>
      <sheetData sheetId="5013">
        <row r="8">
          <cell r="D8" t="str">
            <v>Paramaz Avedisian Building</v>
          </cell>
        </row>
      </sheetData>
      <sheetData sheetId="5014">
        <row r="8">
          <cell r="D8" t="str">
            <v>Paramaz Avedisian Building</v>
          </cell>
        </row>
      </sheetData>
      <sheetData sheetId="5015">
        <row r="8">
          <cell r="D8" t="str">
            <v>Paramaz Avedisian Building</v>
          </cell>
        </row>
      </sheetData>
      <sheetData sheetId="5016">
        <row r="8">
          <cell r="D8" t="str">
            <v>Paramaz Avedisian Building</v>
          </cell>
        </row>
      </sheetData>
      <sheetData sheetId="5017">
        <row r="8">
          <cell r="D8" t="str">
            <v>Paramaz Avedisian Building</v>
          </cell>
        </row>
      </sheetData>
      <sheetData sheetId="5018">
        <row r="8">
          <cell r="D8" t="str">
            <v>Paramaz Avedisian Building</v>
          </cell>
        </row>
      </sheetData>
      <sheetData sheetId="5019">
        <row r="8">
          <cell r="D8" t="str">
            <v>Paramaz Avedisian Building</v>
          </cell>
        </row>
      </sheetData>
      <sheetData sheetId="5020">
        <row r="8">
          <cell r="D8" t="str">
            <v>Paramaz Avedisian Building</v>
          </cell>
        </row>
      </sheetData>
      <sheetData sheetId="5021">
        <row r="8">
          <cell r="D8" t="str">
            <v>Paramaz Avedisian Building</v>
          </cell>
        </row>
      </sheetData>
      <sheetData sheetId="5022">
        <row r="8">
          <cell r="D8" t="str">
            <v>Paramaz Avedisian Building</v>
          </cell>
        </row>
      </sheetData>
      <sheetData sheetId="5023">
        <row r="8">
          <cell r="D8" t="str">
            <v>Paramaz Avedisian Building</v>
          </cell>
        </row>
      </sheetData>
      <sheetData sheetId="5024">
        <row r="8">
          <cell r="D8" t="str">
            <v>Paramaz Avedisian Building</v>
          </cell>
        </row>
      </sheetData>
      <sheetData sheetId="5025">
        <row r="8">
          <cell r="D8" t="str">
            <v>Paramaz Avedisian Building</v>
          </cell>
        </row>
      </sheetData>
      <sheetData sheetId="5026">
        <row r="8">
          <cell r="D8" t="str">
            <v>Paramaz Avedisian Building</v>
          </cell>
        </row>
      </sheetData>
      <sheetData sheetId="5027">
        <row r="8">
          <cell r="D8" t="str">
            <v>Paramaz Avedisian Building</v>
          </cell>
        </row>
      </sheetData>
      <sheetData sheetId="5028">
        <row r="8">
          <cell r="D8" t="str">
            <v>Paramaz Avedisian Building</v>
          </cell>
        </row>
      </sheetData>
      <sheetData sheetId="5029">
        <row r="8">
          <cell r="D8" t="str">
            <v>Paramaz Avedisian Building</v>
          </cell>
        </row>
      </sheetData>
      <sheetData sheetId="5030">
        <row r="8">
          <cell r="D8" t="str">
            <v>Paramaz Avedisian Building</v>
          </cell>
        </row>
      </sheetData>
      <sheetData sheetId="5031">
        <row r="8">
          <cell r="D8" t="str">
            <v>Paramaz Avedisian Building</v>
          </cell>
        </row>
      </sheetData>
      <sheetData sheetId="5032">
        <row r="8">
          <cell r="D8" t="str">
            <v>Paramaz Avedisian Building</v>
          </cell>
        </row>
      </sheetData>
      <sheetData sheetId="5033">
        <row r="8">
          <cell r="D8" t="str">
            <v>Paramaz Avedisian Building</v>
          </cell>
        </row>
      </sheetData>
      <sheetData sheetId="5034">
        <row r="8">
          <cell r="D8" t="str">
            <v>Paramaz Avedisian Building</v>
          </cell>
        </row>
      </sheetData>
      <sheetData sheetId="5035">
        <row r="8">
          <cell r="D8" t="str">
            <v>Paramaz Avedisian Building</v>
          </cell>
        </row>
      </sheetData>
      <sheetData sheetId="5036">
        <row r="8">
          <cell r="D8" t="str">
            <v>Paramaz Avedisian Building</v>
          </cell>
        </row>
      </sheetData>
      <sheetData sheetId="5037">
        <row r="8">
          <cell r="D8" t="str">
            <v>Paramaz Avedisian Building</v>
          </cell>
        </row>
      </sheetData>
      <sheetData sheetId="5038">
        <row r="8">
          <cell r="D8" t="str">
            <v>Paramaz Avedisian Building</v>
          </cell>
        </row>
      </sheetData>
      <sheetData sheetId="5039">
        <row r="8">
          <cell r="D8" t="str">
            <v>Paramaz Avedisian Building</v>
          </cell>
        </row>
      </sheetData>
      <sheetData sheetId="5040">
        <row r="8">
          <cell r="D8" t="str">
            <v>Paramaz Avedisian Building</v>
          </cell>
        </row>
      </sheetData>
      <sheetData sheetId="5041">
        <row r="8">
          <cell r="D8" t="str">
            <v>Paramaz Avedisian Building</v>
          </cell>
        </row>
      </sheetData>
      <sheetData sheetId="5042">
        <row r="8">
          <cell r="D8" t="str">
            <v>Paramaz Avedisian Building</v>
          </cell>
        </row>
      </sheetData>
      <sheetData sheetId="5043">
        <row r="8">
          <cell r="D8" t="str">
            <v>Paramaz Avedisian Building</v>
          </cell>
        </row>
      </sheetData>
      <sheetData sheetId="5044">
        <row r="8">
          <cell r="D8" t="str">
            <v>Paramaz Avedisian Building</v>
          </cell>
        </row>
      </sheetData>
      <sheetData sheetId="5045">
        <row r="8">
          <cell r="D8" t="str">
            <v>Paramaz Avedisian Building</v>
          </cell>
        </row>
      </sheetData>
      <sheetData sheetId="5046">
        <row r="8">
          <cell r="D8" t="str">
            <v>Paramaz Avedisian Building</v>
          </cell>
        </row>
      </sheetData>
      <sheetData sheetId="5047">
        <row r="8">
          <cell r="D8" t="str">
            <v>Paramaz Avedisian Building</v>
          </cell>
        </row>
      </sheetData>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row r="8">
          <cell r="D8" t="str">
            <v>Paramaz Avedisian Building</v>
          </cell>
        </row>
      </sheetData>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row r="8">
          <cell r="D8" t="str">
            <v>Paramaz Avedisian Building</v>
          </cell>
        </row>
      </sheetData>
      <sheetData sheetId="5084">
        <row r="8">
          <cell r="D8" t="str">
            <v>Paramaz Avedisian Building</v>
          </cell>
        </row>
      </sheetData>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row r="8">
          <cell r="D8" t="str">
            <v>Paramaz Avedisian Building</v>
          </cell>
        </row>
      </sheetData>
      <sheetData sheetId="5099">
        <row r="8">
          <cell r="D8" t="str">
            <v>Paramaz Avedisian Building</v>
          </cell>
        </row>
      </sheetData>
      <sheetData sheetId="5100">
        <row r="8">
          <cell r="D8" t="str">
            <v>Paramaz Avedisian Building</v>
          </cell>
        </row>
      </sheetData>
      <sheetData sheetId="5101">
        <row r="8">
          <cell r="D8" t="str">
            <v>Paramaz Avedisian Building</v>
          </cell>
        </row>
      </sheetData>
      <sheetData sheetId="5102">
        <row r="8">
          <cell r="D8" t="str">
            <v>Paramaz Avedisian Building</v>
          </cell>
        </row>
      </sheetData>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row r="8">
          <cell r="D8" t="str">
            <v>Paramaz Avedisian Building</v>
          </cell>
        </row>
      </sheetData>
      <sheetData sheetId="5117">
        <row r="8">
          <cell r="D8" t="str">
            <v>Paramaz Avedisian Building</v>
          </cell>
        </row>
      </sheetData>
      <sheetData sheetId="5118">
        <row r="8">
          <cell r="D8" t="str">
            <v>Paramaz Avedisian Building</v>
          </cell>
        </row>
      </sheetData>
      <sheetData sheetId="5119">
        <row r="8">
          <cell r="D8" t="str">
            <v>Paramaz Avedisian Building</v>
          </cell>
        </row>
      </sheetData>
      <sheetData sheetId="5120">
        <row r="8">
          <cell r="D8" t="str">
            <v>Paramaz Avedisian Building</v>
          </cell>
        </row>
      </sheetData>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row r="8">
          <cell r="D8" t="str">
            <v>Paramaz Avedisian Building</v>
          </cell>
        </row>
      </sheetData>
      <sheetData sheetId="5131">
        <row r="8">
          <cell r="D8" t="str">
            <v>Paramaz Avedisian Building</v>
          </cell>
        </row>
      </sheetData>
      <sheetData sheetId="5132">
        <row r="8">
          <cell r="D8" t="str">
            <v>Paramaz Avedisian Building</v>
          </cell>
        </row>
      </sheetData>
      <sheetData sheetId="5133">
        <row r="8">
          <cell r="D8" t="str">
            <v>Paramaz Avedisian Building</v>
          </cell>
        </row>
      </sheetData>
      <sheetData sheetId="5134">
        <row r="8">
          <cell r="D8" t="str">
            <v>Paramaz Avedisian Building</v>
          </cell>
        </row>
      </sheetData>
      <sheetData sheetId="5135">
        <row r="8">
          <cell r="D8" t="str">
            <v>Paramaz Avedisian Building</v>
          </cell>
        </row>
      </sheetData>
      <sheetData sheetId="5136">
        <row r="8">
          <cell r="D8" t="str">
            <v>Paramaz Avedisian Building</v>
          </cell>
        </row>
      </sheetData>
      <sheetData sheetId="5137">
        <row r="8">
          <cell r="D8" t="str">
            <v>Paramaz Avedisian Building</v>
          </cell>
        </row>
      </sheetData>
      <sheetData sheetId="5138">
        <row r="8">
          <cell r="D8" t="str">
            <v>Paramaz Avedisian Building</v>
          </cell>
        </row>
      </sheetData>
      <sheetData sheetId="5139">
        <row r="8">
          <cell r="D8" t="str">
            <v>Paramaz Avedisian Building</v>
          </cell>
        </row>
      </sheetData>
      <sheetData sheetId="5140">
        <row r="8">
          <cell r="D8" t="str">
            <v>Paramaz Avedisian Building</v>
          </cell>
        </row>
      </sheetData>
      <sheetData sheetId="5141">
        <row r="8">
          <cell r="D8" t="str">
            <v>Paramaz Avedisian Building</v>
          </cell>
        </row>
      </sheetData>
      <sheetData sheetId="5142">
        <row r="8">
          <cell r="D8" t="str">
            <v>Paramaz Avedisian Building</v>
          </cell>
        </row>
      </sheetData>
      <sheetData sheetId="5143">
        <row r="8">
          <cell r="D8" t="str">
            <v>Paramaz Avedisian Building</v>
          </cell>
        </row>
      </sheetData>
      <sheetData sheetId="5144">
        <row r="8">
          <cell r="D8" t="str">
            <v>Paramaz Avedisian Building</v>
          </cell>
        </row>
      </sheetData>
      <sheetData sheetId="5145">
        <row r="8">
          <cell r="D8" t="str">
            <v>Paramaz Avedisian Building</v>
          </cell>
        </row>
      </sheetData>
      <sheetData sheetId="5146">
        <row r="8">
          <cell r="D8" t="str">
            <v>Paramaz Avedisian Building</v>
          </cell>
        </row>
      </sheetData>
      <sheetData sheetId="5147">
        <row r="8">
          <cell r="D8" t="str">
            <v>Paramaz Avedisian Building</v>
          </cell>
        </row>
      </sheetData>
      <sheetData sheetId="5148">
        <row r="8">
          <cell r="D8" t="str">
            <v>Paramaz Avedisian Building</v>
          </cell>
        </row>
      </sheetData>
      <sheetData sheetId="5149">
        <row r="8">
          <cell r="D8" t="str">
            <v>Paramaz Avedisian Building</v>
          </cell>
        </row>
      </sheetData>
      <sheetData sheetId="5150">
        <row r="8">
          <cell r="D8" t="str">
            <v>Paramaz Avedisian Building</v>
          </cell>
        </row>
      </sheetData>
      <sheetData sheetId="5151">
        <row r="8">
          <cell r="D8" t="str">
            <v>Paramaz Avedisian Building</v>
          </cell>
        </row>
      </sheetData>
      <sheetData sheetId="5152">
        <row r="8">
          <cell r="D8" t="str">
            <v>Paramaz Avedisian Building</v>
          </cell>
        </row>
      </sheetData>
      <sheetData sheetId="5153">
        <row r="8">
          <cell r="D8" t="str">
            <v>Paramaz Avedisian Building</v>
          </cell>
        </row>
      </sheetData>
      <sheetData sheetId="5154">
        <row r="8">
          <cell r="D8" t="str">
            <v>Paramaz Avedisian Building</v>
          </cell>
        </row>
      </sheetData>
      <sheetData sheetId="5155">
        <row r="8">
          <cell r="D8" t="str">
            <v>Paramaz Avedisian Building</v>
          </cell>
        </row>
      </sheetData>
      <sheetData sheetId="5156">
        <row r="8">
          <cell r="D8" t="str">
            <v>Paramaz Avedisian Building</v>
          </cell>
        </row>
      </sheetData>
      <sheetData sheetId="5157">
        <row r="8">
          <cell r="D8" t="str">
            <v>Paramaz Avedisian Building</v>
          </cell>
        </row>
      </sheetData>
      <sheetData sheetId="5158">
        <row r="8">
          <cell r="D8" t="str">
            <v>Paramaz Avedisian Building</v>
          </cell>
        </row>
      </sheetData>
      <sheetData sheetId="5159">
        <row r="8">
          <cell r="D8" t="str">
            <v>Paramaz Avedisian Building</v>
          </cell>
        </row>
      </sheetData>
      <sheetData sheetId="5160">
        <row r="8">
          <cell r="D8" t="str">
            <v>Paramaz Avedisian Building</v>
          </cell>
        </row>
      </sheetData>
      <sheetData sheetId="5161">
        <row r="8">
          <cell r="D8" t="str">
            <v>Paramaz Avedisian Building</v>
          </cell>
        </row>
      </sheetData>
      <sheetData sheetId="5162">
        <row r="8">
          <cell r="D8" t="str">
            <v>Paramaz Avedisian Building</v>
          </cell>
        </row>
      </sheetData>
      <sheetData sheetId="5163">
        <row r="8">
          <cell r="D8" t="str">
            <v>Paramaz Avedisian Building</v>
          </cell>
        </row>
      </sheetData>
      <sheetData sheetId="5164">
        <row r="8">
          <cell r="D8" t="str">
            <v>Paramaz Avedisian Building</v>
          </cell>
        </row>
      </sheetData>
      <sheetData sheetId="5165">
        <row r="8">
          <cell r="D8" t="str">
            <v>Paramaz Avedisian Building</v>
          </cell>
        </row>
      </sheetData>
      <sheetData sheetId="5166">
        <row r="8">
          <cell r="D8" t="str">
            <v>Paramaz Avedisian Building</v>
          </cell>
        </row>
      </sheetData>
      <sheetData sheetId="5167">
        <row r="8">
          <cell r="D8" t="str">
            <v>Paramaz Avedisian Building</v>
          </cell>
        </row>
      </sheetData>
      <sheetData sheetId="5168">
        <row r="8">
          <cell r="D8" t="str">
            <v>Paramaz Avedisian Building</v>
          </cell>
        </row>
      </sheetData>
      <sheetData sheetId="5169">
        <row r="8">
          <cell r="D8" t="str">
            <v>Paramaz Avedisian Building</v>
          </cell>
        </row>
      </sheetData>
      <sheetData sheetId="5170">
        <row r="8">
          <cell r="D8" t="str">
            <v>Paramaz Avedisian Building</v>
          </cell>
        </row>
      </sheetData>
      <sheetData sheetId="5171">
        <row r="8">
          <cell r="D8" t="str">
            <v>Paramaz Avedisian Building</v>
          </cell>
        </row>
      </sheetData>
      <sheetData sheetId="5172">
        <row r="8">
          <cell r="D8" t="str">
            <v>Paramaz Avedisian Building</v>
          </cell>
        </row>
      </sheetData>
      <sheetData sheetId="5173">
        <row r="8">
          <cell r="D8" t="str">
            <v>Paramaz Avedisian Building</v>
          </cell>
        </row>
      </sheetData>
      <sheetData sheetId="5174">
        <row r="8">
          <cell r="D8" t="str">
            <v>Paramaz Avedisian Building</v>
          </cell>
        </row>
      </sheetData>
      <sheetData sheetId="5175">
        <row r="8">
          <cell r="D8" t="str">
            <v>Paramaz Avedisian Building</v>
          </cell>
        </row>
      </sheetData>
      <sheetData sheetId="5176">
        <row r="8">
          <cell r="D8" t="str">
            <v>Paramaz Avedisian Building</v>
          </cell>
        </row>
      </sheetData>
      <sheetData sheetId="5177">
        <row r="8">
          <cell r="D8" t="str">
            <v>Paramaz Avedisian Building</v>
          </cell>
        </row>
      </sheetData>
      <sheetData sheetId="5178">
        <row r="8">
          <cell r="D8" t="str">
            <v>Paramaz Avedisian Building</v>
          </cell>
        </row>
      </sheetData>
      <sheetData sheetId="5179">
        <row r="8">
          <cell r="D8" t="str">
            <v>Paramaz Avedisian Building</v>
          </cell>
        </row>
      </sheetData>
      <sheetData sheetId="5180">
        <row r="8">
          <cell r="D8" t="str">
            <v>Paramaz Avedisian Building</v>
          </cell>
        </row>
      </sheetData>
      <sheetData sheetId="5181">
        <row r="8">
          <cell r="D8" t="str">
            <v>Paramaz Avedisian Building</v>
          </cell>
        </row>
      </sheetData>
      <sheetData sheetId="5182">
        <row r="8">
          <cell r="D8" t="str">
            <v>Paramaz Avedisian Building</v>
          </cell>
        </row>
      </sheetData>
      <sheetData sheetId="5183">
        <row r="8">
          <cell r="D8" t="str">
            <v>Paramaz Avedisian Building</v>
          </cell>
        </row>
      </sheetData>
      <sheetData sheetId="5184">
        <row r="8">
          <cell r="D8" t="str">
            <v>Paramaz Avedisian Building</v>
          </cell>
        </row>
      </sheetData>
      <sheetData sheetId="5185">
        <row r="8">
          <cell r="D8" t="str">
            <v>Paramaz Avedisian Building</v>
          </cell>
        </row>
      </sheetData>
      <sheetData sheetId="5186">
        <row r="8">
          <cell r="D8" t="str">
            <v>Paramaz Avedisian Building</v>
          </cell>
        </row>
      </sheetData>
      <sheetData sheetId="5187">
        <row r="8">
          <cell r="D8" t="str">
            <v>Paramaz Avedisian Building</v>
          </cell>
        </row>
      </sheetData>
      <sheetData sheetId="5188">
        <row r="8">
          <cell r="D8" t="str">
            <v>Paramaz Avedisian Building</v>
          </cell>
        </row>
      </sheetData>
      <sheetData sheetId="5189">
        <row r="8">
          <cell r="D8" t="str">
            <v>Paramaz Avedisian Building</v>
          </cell>
        </row>
      </sheetData>
      <sheetData sheetId="5190">
        <row r="8">
          <cell r="D8" t="str">
            <v>Paramaz Avedisian Building</v>
          </cell>
        </row>
      </sheetData>
      <sheetData sheetId="5191">
        <row r="8">
          <cell r="D8" t="str">
            <v>Paramaz Avedisian Building</v>
          </cell>
        </row>
      </sheetData>
      <sheetData sheetId="5192">
        <row r="8">
          <cell r="D8" t="str">
            <v>Paramaz Avedisian Building</v>
          </cell>
        </row>
      </sheetData>
      <sheetData sheetId="5193">
        <row r="8">
          <cell r="D8" t="str">
            <v>Paramaz Avedisian Building</v>
          </cell>
        </row>
      </sheetData>
      <sheetData sheetId="5194">
        <row r="8">
          <cell r="D8" t="str">
            <v>Paramaz Avedisian Building</v>
          </cell>
        </row>
      </sheetData>
      <sheetData sheetId="5195">
        <row r="8">
          <cell r="D8" t="str">
            <v>Paramaz Avedisian Building</v>
          </cell>
        </row>
      </sheetData>
      <sheetData sheetId="5196">
        <row r="8">
          <cell r="D8" t="str">
            <v>Paramaz Avedisian Building</v>
          </cell>
        </row>
      </sheetData>
      <sheetData sheetId="5197">
        <row r="8">
          <cell r="D8" t="str">
            <v>Paramaz Avedisian Building</v>
          </cell>
        </row>
      </sheetData>
      <sheetData sheetId="5198">
        <row r="8">
          <cell r="D8" t="str">
            <v>Paramaz Avedisian Building</v>
          </cell>
        </row>
      </sheetData>
      <sheetData sheetId="5199">
        <row r="8">
          <cell r="D8" t="str">
            <v>Paramaz Avedisian Building</v>
          </cell>
        </row>
      </sheetData>
      <sheetData sheetId="5200">
        <row r="8">
          <cell r="D8" t="str">
            <v>Paramaz Avedisian Building</v>
          </cell>
        </row>
      </sheetData>
      <sheetData sheetId="5201">
        <row r="8">
          <cell r="D8" t="str">
            <v>Paramaz Avedisian Building</v>
          </cell>
        </row>
      </sheetData>
      <sheetData sheetId="5202">
        <row r="8">
          <cell r="D8" t="str">
            <v>Paramaz Avedisian Building</v>
          </cell>
        </row>
      </sheetData>
      <sheetData sheetId="5203">
        <row r="8">
          <cell r="D8" t="str">
            <v>Paramaz Avedisian Building</v>
          </cell>
        </row>
      </sheetData>
      <sheetData sheetId="5204">
        <row r="8">
          <cell r="D8" t="str">
            <v>Paramaz Avedisian Building</v>
          </cell>
        </row>
      </sheetData>
      <sheetData sheetId="5205">
        <row r="8">
          <cell r="D8" t="str">
            <v>Paramaz Avedisian Building</v>
          </cell>
        </row>
      </sheetData>
      <sheetData sheetId="5206">
        <row r="8">
          <cell r="D8" t="str">
            <v>Paramaz Avedisian Building</v>
          </cell>
        </row>
      </sheetData>
      <sheetData sheetId="5207">
        <row r="8">
          <cell r="D8" t="str">
            <v>Paramaz Avedisian Building</v>
          </cell>
        </row>
      </sheetData>
      <sheetData sheetId="5208">
        <row r="8">
          <cell r="D8" t="str">
            <v>Paramaz Avedisian Building</v>
          </cell>
        </row>
      </sheetData>
      <sheetData sheetId="5209">
        <row r="8">
          <cell r="D8" t="str">
            <v>Paramaz Avedisian Building</v>
          </cell>
        </row>
      </sheetData>
      <sheetData sheetId="5210">
        <row r="8">
          <cell r="D8" t="str">
            <v>Paramaz Avedisian Building</v>
          </cell>
        </row>
      </sheetData>
      <sheetData sheetId="5211">
        <row r="8">
          <cell r="D8" t="str">
            <v>Paramaz Avedisian Building</v>
          </cell>
        </row>
      </sheetData>
      <sheetData sheetId="5212">
        <row r="8">
          <cell r="D8" t="str">
            <v>Paramaz Avedisian Building</v>
          </cell>
        </row>
      </sheetData>
      <sheetData sheetId="5213">
        <row r="8">
          <cell r="D8" t="str">
            <v>Paramaz Avedisian Building</v>
          </cell>
        </row>
      </sheetData>
      <sheetData sheetId="5214">
        <row r="8">
          <cell r="D8" t="str">
            <v>Paramaz Avedisian Building</v>
          </cell>
        </row>
      </sheetData>
      <sheetData sheetId="5215">
        <row r="8">
          <cell r="D8" t="str">
            <v>Paramaz Avedisian Building</v>
          </cell>
        </row>
      </sheetData>
      <sheetData sheetId="5216">
        <row r="8">
          <cell r="D8" t="str">
            <v>Paramaz Avedisian Building</v>
          </cell>
        </row>
      </sheetData>
      <sheetData sheetId="5217">
        <row r="8">
          <cell r="D8" t="str">
            <v>Paramaz Avedisian Building</v>
          </cell>
        </row>
      </sheetData>
      <sheetData sheetId="5218">
        <row r="8">
          <cell r="D8" t="str">
            <v>Paramaz Avedisian Building</v>
          </cell>
        </row>
      </sheetData>
      <sheetData sheetId="5219">
        <row r="8">
          <cell r="D8" t="str">
            <v>Paramaz Avedisian Building</v>
          </cell>
        </row>
      </sheetData>
      <sheetData sheetId="5220">
        <row r="8">
          <cell r="D8" t="str">
            <v>Paramaz Avedisian Building</v>
          </cell>
        </row>
      </sheetData>
      <sheetData sheetId="5221">
        <row r="8">
          <cell r="D8" t="str">
            <v>Paramaz Avedisian Building</v>
          </cell>
        </row>
      </sheetData>
      <sheetData sheetId="5222">
        <row r="8">
          <cell r="D8" t="str">
            <v>Paramaz Avedisian Building</v>
          </cell>
        </row>
      </sheetData>
      <sheetData sheetId="5223">
        <row r="8">
          <cell r="D8" t="str">
            <v>Paramaz Avedisian Building</v>
          </cell>
        </row>
      </sheetData>
      <sheetData sheetId="5224">
        <row r="8">
          <cell r="D8" t="str">
            <v>Paramaz Avedisian Building</v>
          </cell>
        </row>
      </sheetData>
      <sheetData sheetId="5225">
        <row r="8">
          <cell r="D8" t="str">
            <v>Paramaz Avedisian Building</v>
          </cell>
        </row>
      </sheetData>
      <sheetData sheetId="5226">
        <row r="8">
          <cell r="D8" t="str">
            <v>Paramaz Avedisian Building</v>
          </cell>
        </row>
      </sheetData>
      <sheetData sheetId="5227">
        <row r="8">
          <cell r="D8" t="str">
            <v>Paramaz Avedisian Building</v>
          </cell>
        </row>
      </sheetData>
      <sheetData sheetId="5228">
        <row r="8">
          <cell r="D8" t="str">
            <v>Paramaz Avedisian Building</v>
          </cell>
        </row>
      </sheetData>
      <sheetData sheetId="5229">
        <row r="8">
          <cell r="D8" t="str">
            <v>Paramaz Avedisian Building</v>
          </cell>
        </row>
      </sheetData>
      <sheetData sheetId="5230">
        <row r="8">
          <cell r="D8" t="str">
            <v>Paramaz Avedisian Building</v>
          </cell>
        </row>
      </sheetData>
      <sheetData sheetId="5231">
        <row r="8">
          <cell r="D8" t="str">
            <v>Paramaz Avedisian Building</v>
          </cell>
        </row>
      </sheetData>
      <sheetData sheetId="5232">
        <row r="8">
          <cell r="D8" t="str">
            <v>Paramaz Avedisian Building</v>
          </cell>
        </row>
      </sheetData>
      <sheetData sheetId="5233">
        <row r="8">
          <cell r="D8" t="str">
            <v>Paramaz Avedisian Building</v>
          </cell>
        </row>
      </sheetData>
      <sheetData sheetId="5234">
        <row r="8">
          <cell r="D8" t="str">
            <v>Paramaz Avedisian Building</v>
          </cell>
        </row>
      </sheetData>
      <sheetData sheetId="5235">
        <row r="8">
          <cell r="D8" t="str">
            <v>Paramaz Avedisian Building</v>
          </cell>
        </row>
      </sheetData>
      <sheetData sheetId="5236">
        <row r="8">
          <cell r="D8" t="str">
            <v>Paramaz Avedisian Building</v>
          </cell>
        </row>
      </sheetData>
      <sheetData sheetId="5237">
        <row r="8">
          <cell r="D8" t="str">
            <v>Paramaz Avedisian Building</v>
          </cell>
        </row>
      </sheetData>
      <sheetData sheetId="5238">
        <row r="8">
          <cell r="D8" t="str">
            <v>Paramaz Avedisian Building</v>
          </cell>
        </row>
      </sheetData>
      <sheetData sheetId="5239">
        <row r="8">
          <cell r="D8" t="str">
            <v>Paramaz Avedisian Building</v>
          </cell>
        </row>
      </sheetData>
      <sheetData sheetId="5240">
        <row r="8">
          <cell r="D8" t="str">
            <v>Paramaz Avedisian Building</v>
          </cell>
        </row>
      </sheetData>
      <sheetData sheetId="5241">
        <row r="8">
          <cell r="D8" t="str">
            <v>Paramaz Avedisian Building</v>
          </cell>
        </row>
      </sheetData>
      <sheetData sheetId="5242">
        <row r="8">
          <cell r="D8" t="str">
            <v>Paramaz Avedisian Building</v>
          </cell>
        </row>
      </sheetData>
      <sheetData sheetId="5243">
        <row r="8">
          <cell r="D8" t="str">
            <v>Paramaz Avedisian Building</v>
          </cell>
        </row>
      </sheetData>
      <sheetData sheetId="5244">
        <row r="8">
          <cell r="D8" t="str">
            <v>Paramaz Avedisian Building</v>
          </cell>
        </row>
      </sheetData>
      <sheetData sheetId="5245">
        <row r="8">
          <cell r="D8" t="str">
            <v>Paramaz Avedisian Building</v>
          </cell>
        </row>
      </sheetData>
      <sheetData sheetId="5246">
        <row r="8">
          <cell r="D8" t="str">
            <v>Paramaz Avedisian Building</v>
          </cell>
        </row>
      </sheetData>
      <sheetData sheetId="5247">
        <row r="8">
          <cell r="D8" t="str">
            <v>Paramaz Avedisian Building</v>
          </cell>
        </row>
      </sheetData>
      <sheetData sheetId="5248">
        <row r="8">
          <cell r="D8" t="str">
            <v>Paramaz Avedisian Building</v>
          </cell>
        </row>
      </sheetData>
      <sheetData sheetId="5249">
        <row r="8">
          <cell r="D8" t="str">
            <v>Paramaz Avedisian Building</v>
          </cell>
        </row>
      </sheetData>
      <sheetData sheetId="5250">
        <row r="8">
          <cell r="D8" t="str">
            <v>Paramaz Avedisian Building</v>
          </cell>
        </row>
      </sheetData>
      <sheetData sheetId="5251">
        <row r="8">
          <cell r="D8" t="str">
            <v>Paramaz Avedisian Building</v>
          </cell>
        </row>
      </sheetData>
      <sheetData sheetId="5252">
        <row r="8">
          <cell r="D8" t="str">
            <v>Paramaz Avedisian Building</v>
          </cell>
        </row>
      </sheetData>
      <sheetData sheetId="5253">
        <row r="8">
          <cell r="D8" t="str">
            <v>Paramaz Avedisian Building</v>
          </cell>
        </row>
      </sheetData>
      <sheetData sheetId="5254">
        <row r="8">
          <cell r="D8" t="str">
            <v>Paramaz Avedisian Building</v>
          </cell>
        </row>
      </sheetData>
      <sheetData sheetId="5255">
        <row r="8">
          <cell r="D8" t="str">
            <v>Paramaz Avedisian Building</v>
          </cell>
        </row>
      </sheetData>
      <sheetData sheetId="5256">
        <row r="8">
          <cell r="D8" t="str">
            <v>Paramaz Avedisian Building</v>
          </cell>
        </row>
      </sheetData>
      <sheetData sheetId="5257">
        <row r="8">
          <cell r="D8" t="str">
            <v>Paramaz Avedisian Building</v>
          </cell>
        </row>
      </sheetData>
      <sheetData sheetId="5258">
        <row r="8">
          <cell r="D8" t="str">
            <v>Paramaz Avedisian Building</v>
          </cell>
        </row>
      </sheetData>
      <sheetData sheetId="5259">
        <row r="8">
          <cell r="D8" t="str">
            <v>Paramaz Avedisian Building</v>
          </cell>
        </row>
      </sheetData>
      <sheetData sheetId="5260">
        <row r="8">
          <cell r="D8" t="str">
            <v>Paramaz Avedisian Building</v>
          </cell>
        </row>
      </sheetData>
      <sheetData sheetId="5261">
        <row r="8">
          <cell r="D8" t="str">
            <v>Paramaz Avedisian Building</v>
          </cell>
        </row>
      </sheetData>
      <sheetData sheetId="5262">
        <row r="8">
          <cell r="D8" t="str">
            <v>Paramaz Avedisian Building</v>
          </cell>
        </row>
      </sheetData>
      <sheetData sheetId="5263">
        <row r="8">
          <cell r="D8" t="str">
            <v>Paramaz Avedisian Building</v>
          </cell>
        </row>
      </sheetData>
      <sheetData sheetId="5264">
        <row r="8">
          <cell r="D8" t="str">
            <v>Paramaz Avedisian Building</v>
          </cell>
        </row>
      </sheetData>
      <sheetData sheetId="5265">
        <row r="8">
          <cell r="D8" t="str">
            <v>Paramaz Avedisian Building</v>
          </cell>
        </row>
      </sheetData>
      <sheetData sheetId="5266">
        <row r="8">
          <cell r="D8" t="str">
            <v>Paramaz Avedisian Building</v>
          </cell>
        </row>
      </sheetData>
      <sheetData sheetId="5267">
        <row r="8">
          <cell r="D8" t="str">
            <v>Paramaz Avedisian Building</v>
          </cell>
        </row>
      </sheetData>
      <sheetData sheetId="5268">
        <row r="8">
          <cell r="D8" t="str">
            <v>Paramaz Avedisian Building</v>
          </cell>
        </row>
      </sheetData>
      <sheetData sheetId="5269">
        <row r="8">
          <cell r="D8" t="str">
            <v>Paramaz Avedisian Building</v>
          </cell>
        </row>
      </sheetData>
      <sheetData sheetId="5270">
        <row r="8">
          <cell r="D8" t="str">
            <v>Paramaz Avedisian Building</v>
          </cell>
        </row>
      </sheetData>
      <sheetData sheetId="5271">
        <row r="8">
          <cell r="D8" t="str">
            <v>Paramaz Avedisian Building</v>
          </cell>
        </row>
      </sheetData>
      <sheetData sheetId="5272">
        <row r="8">
          <cell r="D8" t="str">
            <v>Paramaz Avedisian Building</v>
          </cell>
        </row>
      </sheetData>
      <sheetData sheetId="5273">
        <row r="8">
          <cell r="D8" t="str">
            <v>Paramaz Avedisian Building</v>
          </cell>
        </row>
      </sheetData>
      <sheetData sheetId="5274">
        <row r="8">
          <cell r="D8" t="str">
            <v>Paramaz Avedisian Building</v>
          </cell>
        </row>
      </sheetData>
      <sheetData sheetId="5275">
        <row r="8">
          <cell r="D8" t="str">
            <v>Paramaz Avedisian Building</v>
          </cell>
        </row>
      </sheetData>
      <sheetData sheetId="5276">
        <row r="8">
          <cell r="D8" t="str">
            <v>Paramaz Avedisian Building</v>
          </cell>
        </row>
      </sheetData>
      <sheetData sheetId="5277">
        <row r="8">
          <cell r="D8" t="str">
            <v>Paramaz Avedisian Building</v>
          </cell>
        </row>
      </sheetData>
      <sheetData sheetId="5278">
        <row r="8">
          <cell r="D8" t="str">
            <v>Paramaz Avedisian Building</v>
          </cell>
        </row>
      </sheetData>
      <sheetData sheetId="5279">
        <row r="8">
          <cell r="D8" t="str">
            <v>Paramaz Avedisian Building</v>
          </cell>
        </row>
      </sheetData>
      <sheetData sheetId="5280">
        <row r="8">
          <cell r="D8" t="str">
            <v>Paramaz Avedisian Building</v>
          </cell>
        </row>
      </sheetData>
      <sheetData sheetId="5281">
        <row r="8">
          <cell r="D8" t="str">
            <v>Paramaz Avedisian Building</v>
          </cell>
        </row>
      </sheetData>
      <sheetData sheetId="5282">
        <row r="8">
          <cell r="D8" t="str">
            <v>Paramaz Avedisian Building</v>
          </cell>
        </row>
      </sheetData>
      <sheetData sheetId="5283">
        <row r="8">
          <cell r="D8" t="str">
            <v>Paramaz Avedisian Building</v>
          </cell>
        </row>
      </sheetData>
      <sheetData sheetId="5284">
        <row r="8">
          <cell r="D8" t="str">
            <v>Paramaz Avedisian Building</v>
          </cell>
        </row>
      </sheetData>
      <sheetData sheetId="5285">
        <row r="8">
          <cell r="D8" t="str">
            <v>Paramaz Avedisian Building</v>
          </cell>
        </row>
      </sheetData>
      <sheetData sheetId="5286">
        <row r="8">
          <cell r="D8" t="str">
            <v>Paramaz Avedisian Building</v>
          </cell>
        </row>
      </sheetData>
      <sheetData sheetId="5287">
        <row r="8">
          <cell r="D8" t="str">
            <v>Paramaz Avedisian Building</v>
          </cell>
        </row>
      </sheetData>
      <sheetData sheetId="5288">
        <row r="8">
          <cell r="D8" t="str">
            <v>Paramaz Avedisian Building</v>
          </cell>
        </row>
      </sheetData>
      <sheetData sheetId="5289">
        <row r="8">
          <cell r="D8" t="str">
            <v>Paramaz Avedisian Building</v>
          </cell>
        </row>
      </sheetData>
      <sheetData sheetId="5290">
        <row r="8">
          <cell r="D8" t="str">
            <v>Paramaz Avedisian Building</v>
          </cell>
        </row>
      </sheetData>
      <sheetData sheetId="5291">
        <row r="8">
          <cell r="D8" t="str">
            <v>Paramaz Avedisian Building</v>
          </cell>
        </row>
      </sheetData>
      <sheetData sheetId="5292">
        <row r="8">
          <cell r="D8" t="str">
            <v>Paramaz Avedisian Building</v>
          </cell>
        </row>
      </sheetData>
      <sheetData sheetId="5293">
        <row r="8">
          <cell r="D8" t="str">
            <v>Paramaz Avedisian Building</v>
          </cell>
        </row>
      </sheetData>
      <sheetData sheetId="5294">
        <row r="8">
          <cell r="D8" t="str">
            <v>Paramaz Avedisian Building</v>
          </cell>
        </row>
      </sheetData>
      <sheetData sheetId="5295">
        <row r="8">
          <cell r="D8" t="str">
            <v>Paramaz Avedisian Building</v>
          </cell>
        </row>
      </sheetData>
      <sheetData sheetId="5296">
        <row r="8">
          <cell r="D8" t="str">
            <v>Paramaz Avedisian Building</v>
          </cell>
        </row>
      </sheetData>
      <sheetData sheetId="5297">
        <row r="8">
          <cell r="D8" t="str">
            <v>Paramaz Avedisian Building</v>
          </cell>
        </row>
      </sheetData>
      <sheetData sheetId="5298">
        <row r="8">
          <cell r="D8" t="str">
            <v>Paramaz Avedisian Building</v>
          </cell>
        </row>
      </sheetData>
      <sheetData sheetId="5299">
        <row r="8">
          <cell r="D8" t="str">
            <v>Paramaz Avedisian Building</v>
          </cell>
        </row>
      </sheetData>
      <sheetData sheetId="5300">
        <row r="8">
          <cell r="D8" t="str">
            <v>Paramaz Avedisian Building</v>
          </cell>
        </row>
      </sheetData>
      <sheetData sheetId="5301">
        <row r="8">
          <cell r="D8" t="str">
            <v>Paramaz Avedisian Building</v>
          </cell>
        </row>
      </sheetData>
      <sheetData sheetId="5302">
        <row r="8">
          <cell r="D8" t="str">
            <v>Paramaz Avedisian Building</v>
          </cell>
        </row>
      </sheetData>
      <sheetData sheetId="5303">
        <row r="8">
          <cell r="D8" t="str">
            <v>Paramaz Avedisian Building</v>
          </cell>
        </row>
      </sheetData>
      <sheetData sheetId="5304">
        <row r="8">
          <cell r="D8" t="str">
            <v>Paramaz Avedisian Building</v>
          </cell>
        </row>
      </sheetData>
      <sheetData sheetId="5305">
        <row r="8">
          <cell r="D8" t="str">
            <v>Paramaz Avedisian Building</v>
          </cell>
        </row>
      </sheetData>
      <sheetData sheetId="5306">
        <row r="8">
          <cell r="D8" t="str">
            <v>Paramaz Avedisian Building</v>
          </cell>
        </row>
      </sheetData>
      <sheetData sheetId="5307">
        <row r="8">
          <cell r="D8" t="str">
            <v>Paramaz Avedisian Building</v>
          </cell>
        </row>
      </sheetData>
      <sheetData sheetId="5308">
        <row r="8">
          <cell r="D8" t="str">
            <v>Paramaz Avedisian Building</v>
          </cell>
        </row>
      </sheetData>
      <sheetData sheetId="5309">
        <row r="8">
          <cell r="D8" t="str">
            <v>Paramaz Avedisian Building</v>
          </cell>
        </row>
      </sheetData>
      <sheetData sheetId="5310">
        <row r="8">
          <cell r="D8" t="str">
            <v>Paramaz Avedisian Building</v>
          </cell>
        </row>
      </sheetData>
      <sheetData sheetId="5311">
        <row r="8">
          <cell r="D8" t="str">
            <v>Paramaz Avedisian Building</v>
          </cell>
        </row>
      </sheetData>
      <sheetData sheetId="5312">
        <row r="8">
          <cell r="D8" t="str">
            <v>Paramaz Avedisian Building</v>
          </cell>
        </row>
      </sheetData>
      <sheetData sheetId="5313">
        <row r="8">
          <cell r="D8" t="str">
            <v>Paramaz Avedisian Building</v>
          </cell>
        </row>
      </sheetData>
      <sheetData sheetId="5314">
        <row r="8">
          <cell r="D8" t="str">
            <v>Paramaz Avedisian Building</v>
          </cell>
        </row>
      </sheetData>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row r="8">
          <cell r="D8" t="str">
            <v>Paramaz Avedisian Building</v>
          </cell>
        </row>
      </sheetData>
      <sheetData sheetId="5324">
        <row r="8">
          <cell r="D8" t="str">
            <v>Paramaz Avedisian Building</v>
          </cell>
        </row>
      </sheetData>
      <sheetData sheetId="5325">
        <row r="8">
          <cell r="D8" t="str">
            <v>Paramaz Avedisian Building</v>
          </cell>
        </row>
      </sheetData>
      <sheetData sheetId="5326">
        <row r="8">
          <cell r="D8" t="str">
            <v>Paramaz Avedisian Building</v>
          </cell>
        </row>
      </sheetData>
      <sheetData sheetId="5327">
        <row r="8">
          <cell r="D8" t="str">
            <v>Paramaz Avedisian Building</v>
          </cell>
        </row>
      </sheetData>
      <sheetData sheetId="5328">
        <row r="8">
          <cell r="D8" t="str">
            <v>Paramaz Avedisian Building</v>
          </cell>
        </row>
      </sheetData>
      <sheetData sheetId="5329">
        <row r="8">
          <cell r="D8" t="str">
            <v>Paramaz Avedisian Building</v>
          </cell>
        </row>
      </sheetData>
      <sheetData sheetId="5330">
        <row r="8">
          <cell r="D8" t="str">
            <v>Paramaz Avedisian Building</v>
          </cell>
        </row>
      </sheetData>
      <sheetData sheetId="5331">
        <row r="8">
          <cell r="D8" t="str">
            <v>Paramaz Avedisian Building</v>
          </cell>
        </row>
      </sheetData>
      <sheetData sheetId="5332">
        <row r="8">
          <cell r="D8" t="str">
            <v>Paramaz Avedisian Building</v>
          </cell>
        </row>
      </sheetData>
      <sheetData sheetId="5333">
        <row r="8">
          <cell r="D8" t="str">
            <v>Paramaz Avedisian Building</v>
          </cell>
        </row>
      </sheetData>
      <sheetData sheetId="5334">
        <row r="8">
          <cell r="D8" t="str">
            <v>Paramaz Avedisian Building</v>
          </cell>
        </row>
      </sheetData>
      <sheetData sheetId="5335">
        <row r="8">
          <cell r="D8" t="str">
            <v>Paramaz Avedisian Building</v>
          </cell>
        </row>
      </sheetData>
      <sheetData sheetId="5336">
        <row r="8">
          <cell r="D8" t="str">
            <v>Paramaz Avedisian Building</v>
          </cell>
        </row>
      </sheetData>
      <sheetData sheetId="5337">
        <row r="8">
          <cell r="D8" t="str">
            <v>Paramaz Avedisian Building</v>
          </cell>
        </row>
      </sheetData>
      <sheetData sheetId="5338">
        <row r="8">
          <cell r="D8" t="str">
            <v>Paramaz Avedisian Building</v>
          </cell>
        </row>
      </sheetData>
      <sheetData sheetId="5339">
        <row r="8">
          <cell r="D8" t="str">
            <v>Paramaz Avedisian Building</v>
          </cell>
        </row>
      </sheetData>
      <sheetData sheetId="5340">
        <row r="8">
          <cell r="D8" t="str">
            <v>Paramaz Avedisian Building</v>
          </cell>
        </row>
      </sheetData>
      <sheetData sheetId="5341">
        <row r="8">
          <cell r="D8" t="str">
            <v>Paramaz Avedisian Building</v>
          </cell>
        </row>
      </sheetData>
      <sheetData sheetId="5342">
        <row r="8">
          <cell r="D8" t="str">
            <v>Paramaz Avedisian Building</v>
          </cell>
        </row>
      </sheetData>
      <sheetData sheetId="5343">
        <row r="8">
          <cell r="D8" t="str">
            <v>Paramaz Avedisian Building</v>
          </cell>
        </row>
      </sheetData>
      <sheetData sheetId="5344">
        <row r="8">
          <cell r="D8" t="str">
            <v>Paramaz Avedisian Building</v>
          </cell>
        </row>
      </sheetData>
      <sheetData sheetId="5345">
        <row r="8">
          <cell r="D8" t="str">
            <v>Paramaz Avedisian Building</v>
          </cell>
        </row>
      </sheetData>
      <sheetData sheetId="5346">
        <row r="8">
          <cell r="D8" t="str">
            <v>Paramaz Avedisian Building</v>
          </cell>
        </row>
      </sheetData>
      <sheetData sheetId="5347">
        <row r="8">
          <cell r="D8" t="str">
            <v>Paramaz Avedisian Building</v>
          </cell>
        </row>
      </sheetData>
      <sheetData sheetId="5348">
        <row r="8">
          <cell r="D8" t="str">
            <v>Paramaz Avedisian Building</v>
          </cell>
        </row>
      </sheetData>
      <sheetData sheetId="5349">
        <row r="8">
          <cell r="D8" t="str">
            <v>Paramaz Avedisian Building</v>
          </cell>
        </row>
      </sheetData>
      <sheetData sheetId="5350">
        <row r="8">
          <cell r="D8" t="str">
            <v>Paramaz Avedisian Building</v>
          </cell>
        </row>
      </sheetData>
      <sheetData sheetId="5351">
        <row r="8">
          <cell r="D8" t="str">
            <v>Paramaz Avedisian Building</v>
          </cell>
        </row>
      </sheetData>
      <sheetData sheetId="5352">
        <row r="8">
          <cell r="D8" t="str">
            <v>Paramaz Avedisian Building</v>
          </cell>
        </row>
      </sheetData>
      <sheetData sheetId="5353">
        <row r="8">
          <cell r="D8" t="str">
            <v>Paramaz Avedisian Building</v>
          </cell>
        </row>
      </sheetData>
      <sheetData sheetId="5354">
        <row r="8">
          <cell r="D8" t="str">
            <v>Paramaz Avedisian Building</v>
          </cell>
        </row>
      </sheetData>
      <sheetData sheetId="5355">
        <row r="8">
          <cell r="D8" t="str">
            <v>Paramaz Avedisian Building</v>
          </cell>
        </row>
      </sheetData>
      <sheetData sheetId="5356">
        <row r="8">
          <cell r="D8" t="str">
            <v>Paramaz Avedisian Building</v>
          </cell>
        </row>
      </sheetData>
      <sheetData sheetId="5357">
        <row r="8">
          <cell r="D8" t="str">
            <v>Paramaz Avedisian Building</v>
          </cell>
        </row>
      </sheetData>
      <sheetData sheetId="5358">
        <row r="8">
          <cell r="D8" t="str">
            <v>Paramaz Avedisian Building</v>
          </cell>
        </row>
      </sheetData>
      <sheetData sheetId="5359">
        <row r="8">
          <cell r="D8" t="str">
            <v>Paramaz Avedisian Building</v>
          </cell>
        </row>
      </sheetData>
      <sheetData sheetId="5360">
        <row r="8">
          <cell r="D8" t="str">
            <v>Paramaz Avedisian Building</v>
          </cell>
        </row>
      </sheetData>
      <sheetData sheetId="5361">
        <row r="8">
          <cell r="D8" t="str">
            <v>Paramaz Avedisian Building</v>
          </cell>
        </row>
      </sheetData>
      <sheetData sheetId="5362">
        <row r="8">
          <cell r="D8" t="str">
            <v>Paramaz Avedisian Building</v>
          </cell>
        </row>
      </sheetData>
      <sheetData sheetId="5363">
        <row r="8">
          <cell r="D8" t="str">
            <v>Paramaz Avedisian Building</v>
          </cell>
        </row>
      </sheetData>
      <sheetData sheetId="5364">
        <row r="8">
          <cell r="D8" t="str">
            <v>Paramaz Avedisian Building</v>
          </cell>
        </row>
      </sheetData>
      <sheetData sheetId="5365">
        <row r="8">
          <cell r="D8" t="str">
            <v>Paramaz Avedisian Building</v>
          </cell>
        </row>
      </sheetData>
      <sheetData sheetId="5366">
        <row r="8">
          <cell r="D8" t="str">
            <v>Paramaz Avedisian Building</v>
          </cell>
        </row>
      </sheetData>
      <sheetData sheetId="5367">
        <row r="8">
          <cell r="D8" t="str">
            <v>Paramaz Avedisian Building</v>
          </cell>
        </row>
      </sheetData>
      <sheetData sheetId="5368">
        <row r="8">
          <cell r="D8" t="str">
            <v>Paramaz Avedisian Building</v>
          </cell>
        </row>
      </sheetData>
      <sheetData sheetId="5369">
        <row r="8">
          <cell r="D8" t="str">
            <v>Paramaz Avedisian Building</v>
          </cell>
        </row>
      </sheetData>
      <sheetData sheetId="5370">
        <row r="8">
          <cell r="D8" t="str">
            <v>Paramaz Avedisian Building</v>
          </cell>
        </row>
      </sheetData>
      <sheetData sheetId="5371">
        <row r="8">
          <cell r="D8" t="str">
            <v>Paramaz Avedisian Building</v>
          </cell>
        </row>
      </sheetData>
      <sheetData sheetId="5372">
        <row r="8">
          <cell r="D8" t="str">
            <v>Paramaz Avedisian Building</v>
          </cell>
        </row>
      </sheetData>
      <sheetData sheetId="5373">
        <row r="8">
          <cell r="D8" t="str">
            <v>Paramaz Avedisian Building</v>
          </cell>
        </row>
      </sheetData>
      <sheetData sheetId="5374">
        <row r="8">
          <cell r="D8" t="str">
            <v>Paramaz Avedisian Building</v>
          </cell>
        </row>
      </sheetData>
      <sheetData sheetId="5375">
        <row r="8">
          <cell r="D8" t="str">
            <v>Paramaz Avedisian Building</v>
          </cell>
        </row>
      </sheetData>
      <sheetData sheetId="5376">
        <row r="8">
          <cell r="D8" t="str">
            <v>Paramaz Avedisian Building</v>
          </cell>
        </row>
      </sheetData>
      <sheetData sheetId="5377">
        <row r="8">
          <cell r="D8" t="str">
            <v>Paramaz Avedisian Building</v>
          </cell>
        </row>
      </sheetData>
      <sheetData sheetId="5378">
        <row r="8">
          <cell r="D8" t="str">
            <v>Paramaz Avedisian Building</v>
          </cell>
        </row>
      </sheetData>
      <sheetData sheetId="5379">
        <row r="8">
          <cell r="D8" t="str">
            <v>Paramaz Avedisian Building</v>
          </cell>
        </row>
      </sheetData>
      <sheetData sheetId="5380">
        <row r="8">
          <cell r="D8" t="str">
            <v>Paramaz Avedisian Building</v>
          </cell>
        </row>
      </sheetData>
      <sheetData sheetId="5381">
        <row r="8">
          <cell r="D8" t="str">
            <v>Paramaz Avedisian Building</v>
          </cell>
        </row>
      </sheetData>
      <sheetData sheetId="5382">
        <row r="8">
          <cell r="D8" t="str">
            <v>Paramaz Avedisian Building</v>
          </cell>
        </row>
      </sheetData>
      <sheetData sheetId="5383">
        <row r="8">
          <cell r="D8" t="str">
            <v>Paramaz Avedisian Building</v>
          </cell>
        </row>
      </sheetData>
      <sheetData sheetId="5384">
        <row r="8">
          <cell r="D8" t="str">
            <v>Paramaz Avedisian Building</v>
          </cell>
        </row>
      </sheetData>
      <sheetData sheetId="5385">
        <row r="8">
          <cell r="D8" t="str">
            <v>Paramaz Avedisian Building</v>
          </cell>
        </row>
      </sheetData>
      <sheetData sheetId="5386">
        <row r="8">
          <cell r="D8" t="str">
            <v>Paramaz Avedisian Building</v>
          </cell>
        </row>
      </sheetData>
      <sheetData sheetId="5387">
        <row r="8">
          <cell r="D8" t="str">
            <v>Paramaz Avedisian Building</v>
          </cell>
        </row>
      </sheetData>
      <sheetData sheetId="5388">
        <row r="8">
          <cell r="D8" t="str">
            <v>Paramaz Avedisian Building</v>
          </cell>
        </row>
      </sheetData>
      <sheetData sheetId="5389">
        <row r="8">
          <cell r="D8" t="str">
            <v>Paramaz Avedisian Building</v>
          </cell>
        </row>
      </sheetData>
      <sheetData sheetId="5390">
        <row r="8">
          <cell r="D8" t="str">
            <v>Paramaz Avedisian Building</v>
          </cell>
        </row>
      </sheetData>
      <sheetData sheetId="5391">
        <row r="8">
          <cell r="D8" t="str">
            <v>Paramaz Avedisian Building</v>
          </cell>
        </row>
      </sheetData>
      <sheetData sheetId="5392">
        <row r="8">
          <cell r="D8" t="str">
            <v>Paramaz Avedisian Building</v>
          </cell>
        </row>
      </sheetData>
      <sheetData sheetId="5393">
        <row r="8">
          <cell r="D8" t="str">
            <v>Paramaz Avedisian Building</v>
          </cell>
        </row>
      </sheetData>
      <sheetData sheetId="5394">
        <row r="8">
          <cell r="D8" t="str">
            <v>Paramaz Avedisian Building</v>
          </cell>
        </row>
      </sheetData>
      <sheetData sheetId="5395">
        <row r="8">
          <cell r="D8" t="str">
            <v>Paramaz Avedisian Building</v>
          </cell>
        </row>
      </sheetData>
      <sheetData sheetId="5396">
        <row r="8">
          <cell r="D8" t="str">
            <v>Paramaz Avedisian Building</v>
          </cell>
        </row>
      </sheetData>
      <sheetData sheetId="5397">
        <row r="8">
          <cell r="D8" t="str">
            <v>Paramaz Avedisian Building</v>
          </cell>
        </row>
      </sheetData>
      <sheetData sheetId="5398">
        <row r="8">
          <cell r="D8" t="str">
            <v>Paramaz Avedisian Building</v>
          </cell>
        </row>
      </sheetData>
      <sheetData sheetId="5399">
        <row r="8">
          <cell r="D8" t="str">
            <v>Paramaz Avedisian Building</v>
          </cell>
        </row>
      </sheetData>
      <sheetData sheetId="5400">
        <row r="8">
          <cell r="D8" t="str">
            <v>Paramaz Avedisian Building</v>
          </cell>
        </row>
      </sheetData>
      <sheetData sheetId="5401">
        <row r="8">
          <cell r="D8" t="str">
            <v>Paramaz Avedisian Building</v>
          </cell>
        </row>
      </sheetData>
      <sheetData sheetId="5402">
        <row r="8">
          <cell r="D8" t="str">
            <v>Paramaz Avedisian Building</v>
          </cell>
        </row>
      </sheetData>
      <sheetData sheetId="5403">
        <row r="8">
          <cell r="D8" t="str">
            <v>Paramaz Avedisian Building</v>
          </cell>
        </row>
      </sheetData>
      <sheetData sheetId="5404">
        <row r="8">
          <cell r="D8" t="str">
            <v>Paramaz Avedisian Building</v>
          </cell>
        </row>
      </sheetData>
      <sheetData sheetId="5405">
        <row r="8">
          <cell r="D8" t="str">
            <v>Paramaz Avedisian Building</v>
          </cell>
        </row>
      </sheetData>
      <sheetData sheetId="5406">
        <row r="8">
          <cell r="D8" t="str">
            <v>Paramaz Avedisian Building</v>
          </cell>
        </row>
      </sheetData>
      <sheetData sheetId="5407">
        <row r="8">
          <cell r="D8" t="str">
            <v>Paramaz Avedisian Building</v>
          </cell>
        </row>
      </sheetData>
      <sheetData sheetId="5408">
        <row r="8">
          <cell r="D8" t="str">
            <v>Paramaz Avedisian Building</v>
          </cell>
        </row>
      </sheetData>
      <sheetData sheetId="5409">
        <row r="8">
          <cell r="D8" t="str">
            <v>Paramaz Avedisian Building</v>
          </cell>
        </row>
      </sheetData>
      <sheetData sheetId="5410">
        <row r="8">
          <cell r="D8" t="str">
            <v>Paramaz Avedisian Building</v>
          </cell>
        </row>
      </sheetData>
      <sheetData sheetId="5411">
        <row r="8">
          <cell r="D8" t="str">
            <v>Paramaz Avedisian Building</v>
          </cell>
        </row>
      </sheetData>
      <sheetData sheetId="5412">
        <row r="8">
          <cell r="D8" t="str">
            <v>Paramaz Avedisian Building</v>
          </cell>
        </row>
      </sheetData>
      <sheetData sheetId="5413">
        <row r="8">
          <cell r="D8" t="str">
            <v>Paramaz Avedisian Building</v>
          </cell>
        </row>
      </sheetData>
      <sheetData sheetId="5414">
        <row r="8">
          <cell r="D8" t="str">
            <v>Paramaz Avedisian Building</v>
          </cell>
        </row>
      </sheetData>
      <sheetData sheetId="5415">
        <row r="8">
          <cell r="D8" t="str">
            <v>Paramaz Avedisian Building</v>
          </cell>
        </row>
      </sheetData>
      <sheetData sheetId="5416">
        <row r="8">
          <cell r="D8" t="str">
            <v>Paramaz Avedisian Building</v>
          </cell>
        </row>
      </sheetData>
      <sheetData sheetId="5417">
        <row r="8">
          <cell r="D8" t="str">
            <v>Paramaz Avedisian Building</v>
          </cell>
        </row>
      </sheetData>
      <sheetData sheetId="5418">
        <row r="8">
          <cell r="D8" t="str">
            <v>Paramaz Avedisian Building</v>
          </cell>
        </row>
      </sheetData>
      <sheetData sheetId="5419">
        <row r="8">
          <cell r="D8" t="str">
            <v>Paramaz Avedisian Building</v>
          </cell>
        </row>
      </sheetData>
      <sheetData sheetId="5420">
        <row r="8">
          <cell r="D8" t="str">
            <v>Paramaz Avedisian Building</v>
          </cell>
        </row>
      </sheetData>
      <sheetData sheetId="5421">
        <row r="8">
          <cell r="D8" t="str">
            <v>Paramaz Avedisian Building</v>
          </cell>
        </row>
      </sheetData>
      <sheetData sheetId="5422">
        <row r="8">
          <cell r="D8" t="str">
            <v>Paramaz Avedisian Building</v>
          </cell>
        </row>
      </sheetData>
      <sheetData sheetId="5423">
        <row r="8">
          <cell r="D8" t="str">
            <v>Paramaz Avedisian Building</v>
          </cell>
        </row>
      </sheetData>
      <sheetData sheetId="5424">
        <row r="8">
          <cell r="D8" t="str">
            <v>Paramaz Avedisian Building</v>
          </cell>
        </row>
      </sheetData>
      <sheetData sheetId="5425">
        <row r="8">
          <cell r="D8" t="str">
            <v>Paramaz Avedisian Building</v>
          </cell>
        </row>
      </sheetData>
      <sheetData sheetId="5426">
        <row r="8">
          <cell r="D8" t="str">
            <v>Paramaz Avedisian Building</v>
          </cell>
        </row>
      </sheetData>
      <sheetData sheetId="5427">
        <row r="8">
          <cell r="D8" t="str">
            <v>Paramaz Avedisian Building</v>
          </cell>
        </row>
      </sheetData>
      <sheetData sheetId="5428">
        <row r="8">
          <cell r="D8" t="str">
            <v>Paramaz Avedisian Building</v>
          </cell>
        </row>
      </sheetData>
      <sheetData sheetId="5429">
        <row r="8">
          <cell r="D8" t="str">
            <v>Paramaz Avedisian Building</v>
          </cell>
        </row>
      </sheetData>
      <sheetData sheetId="5430">
        <row r="8">
          <cell r="D8" t="str">
            <v>Paramaz Avedisian Building</v>
          </cell>
        </row>
      </sheetData>
      <sheetData sheetId="5431">
        <row r="8">
          <cell r="D8" t="str">
            <v>Paramaz Avedisian Building</v>
          </cell>
        </row>
      </sheetData>
      <sheetData sheetId="5432">
        <row r="8">
          <cell r="D8" t="str">
            <v>Paramaz Avedisian Building</v>
          </cell>
        </row>
      </sheetData>
      <sheetData sheetId="5433">
        <row r="8">
          <cell r="D8" t="str">
            <v>Paramaz Avedisian Building</v>
          </cell>
        </row>
      </sheetData>
      <sheetData sheetId="5434">
        <row r="8">
          <cell r="D8" t="str">
            <v>Paramaz Avedisian Building</v>
          </cell>
        </row>
      </sheetData>
      <sheetData sheetId="5435">
        <row r="8">
          <cell r="D8" t="str">
            <v>Paramaz Avedisian Building</v>
          </cell>
        </row>
      </sheetData>
      <sheetData sheetId="5436">
        <row r="8">
          <cell r="D8" t="str">
            <v>Paramaz Avedisian Building</v>
          </cell>
        </row>
      </sheetData>
      <sheetData sheetId="5437">
        <row r="8">
          <cell r="D8" t="str">
            <v>Paramaz Avedisian Building</v>
          </cell>
        </row>
      </sheetData>
      <sheetData sheetId="5438">
        <row r="8">
          <cell r="D8" t="str">
            <v>Paramaz Avedisian Building</v>
          </cell>
        </row>
      </sheetData>
      <sheetData sheetId="5439">
        <row r="8">
          <cell r="D8" t="str">
            <v>Paramaz Avedisian Building</v>
          </cell>
        </row>
      </sheetData>
      <sheetData sheetId="5440">
        <row r="8">
          <cell r="D8" t="str">
            <v>Paramaz Avedisian Building</v>
          </cell>
        </row>
      </sheetData>
      <sheetData sheetId="5441">
        <row r="8">
          <cell r="D8" t="str">
            <v>Paramaz Avedisian Building</v>
          </cell>
        </row>
      </sheetData>
      <sheetData sheetId="5442">
        <row r="8">
          <cell r="D8" t="str">
            <v>Paramaz Avedisian Building</v>
          </cell>
        </row>
      </sheetData>
      <sheetData sheetId="5443">
        <row r="8">
          <cell r="D8" t="str">
            <v>Paramaz Avedisian Building</v>
          </cell>
        </row>
      </sheetData>
      <sheetData sheetId="5444">
        <row r="8">
          <cell r="D8" t="str">
            <v>Paramaz Avedisian Building</v>
          </cell>
        </row>
      </sheetData>
      <sheetData sheetId="5445">
        <row r="8">
          <cell r="D8" t="str">
            <v>Paramaz Avedisian Building</v>
          </cell>
        </row>
      </sheetData>
      <sheetData sheetId="5446">
        <row r="8">
          <cell r="D8" t="str">
            <v>Paramaz Avedisian Building</v>
          </cell>
        </row>
      </sheetData>
      <sheetData sheetId="5447">
        <row r="8">
          <cell r="D8" t="str">
            <v>Paramaz Avedisian Building</v>
          </cell>
        </row>
      </sheetData>
      <sheetData sheetId="5448">
        <row r="8">
          <cell r="D8" t="str">
            <v>Paramaz Avedisian Building</v>
          </cell>
        </row>
      </sheetData>
      <sheetData sheetId="5449">
        <row r="8">
          <cell r="D8" t="str">
            <v>Paramaz Avedisian Building</v>
          </cell>
        </row>
      </sheetData>
      <sheetData sheetId="5450">
        <row r="8">
          <cell r="D8" t="str">
            <v>Paramaz Avedisian Building</v>
          </cell>
        </row>
      </sheetData>
      <sheetData sheetId="5451">
        <row r="8">
          <cell r="D8" t="str">
            <v>Paramaz Avedisian Building</v>
          </cell>
        </row>
      </sheetData>
      <sheetData sheetId="5452">
        <row r="8">
          <cell r="D8" t="str">
            <v>Paramaz Avedisian Building</v>
          </cell>
        </row>
      </sheetData>
      <sheetData sheetId="5453">
        <row r="8">
          <cell r="D8" t="str">
            <v>Paramaz Avedisian Building</v>
          </cell>
        </row>
      </sheetData>
      <sheetData sheetId="5454">
        <row r="8">
          <cell r="D8" t="str">
            <v>Paramaz Avedisian Building</v>
          </cell>
        </row>
      </sheetData>
      <sheetData sheetId="5455">
        <row r="8">
          <cell r="D8" t="str">
            <v>Paramaz Avedisian Building</v>
          </cell>
        </row>
      </sheetData>
      <sheetData sheetId="5456">
        <row r="8">
          <cell r="D8" t="str">
            <v>Paramaz Avedisian Building</v>
          </cell>
        </row>
      </sheetData>
      <sheetData sheetId="5457">
        <row r="8">
          <cell r="D8" t="str">
            <v>Paramaz Avedisian Building</v>
          </cell>
        </row>
      </sheetData>
      <sheetData sheetId="5458">
        <row r="8">
          <cell r="D8" t="str">
            <v>Paramaz Avedisian Building</v>
          </cell>
        </row>
      </sheetData>
      <sheetData sheetId="5459">
        <row r="8">
          <cell r="D8" t="str">
            <v>Paramaz Avedisian Building</v>
          </cell>
        </row>
      </sheetData>
      <sheetData sheetId="5460">
        <row r="8">
          <cell r="D8" t="str">
            <v>Paramaz Avedisian Building</v>
          </cell>
        </row>
      </sheetData>
      <sheetData sheetId="5461">
        <row r="8">
          <cell r="D8" t="str">
            <v>Paramaz Avedisian Building</v>
          </cell>
        </row>
      </sheetData>
      <sheetData sheetId="5462">
        <row r="8">
          <cell r="D8" t="str">
            <v>Paramaz Avedisian Building</v>
          </cell>
        </row>
      </sheetData>
      <sheetData sheetId="5463">
        <row r="8">
          <cell r="D8" t="str">
            <v>Paramaz Avedisian Building</v>
          </cell>
        </row>
      </sheetData>
      <sheetData sheetId="5464">
        <row r="8">
          <cell r="D8" t="str">
            <v>Paramaz Avedisian Building</v>
          </cell>
        </row>
      </sheetData>
      <sheetData sheetId="5465">
        <row r="8">
          <cell r="D8" t="str">
            <v>Paramaz Avedisian Building</v>
          </cell>
        </row>
      </sheetData>
      <sheetData sheetId="5466">
        <row r="8">
          <cell r="D8" t="str">
            <v>Paramaz Avedisian Building</v>
          </cell>
        </row>
      </sheetData>
      <sheetData sheetId="5467">
        <row r="8">
          <cell r="D8" t="str">
            <v>Paramaz Avedisian Building</v>
          </cell>
        </row>
      </sheetData>
      <sheetData sheetId="5468">
        <row r="8">
          <cell r="D8" t="str">
            <v>Paramaz Avedisian Building</v>
          </cell>
        </row>
      </sheetData>
      <sheetData sheetId="5469">
        <row r="8">
          <cell r="D8" t="str">
            <v>Paramaz Avedisian Building</v>
          </cell>
        </row>
      </sheetData>
      <sheetData sheetId="5470">
        <row r="8">
          <cell r="D8" t="str">
            <v>Paramaz Avedisian Building</v>
          </cell>
        </row>
      </sheetData>
      <sheetData sheetId="5471">
        <row r="8">
          <cell r="D8" t="str">
            <v>Paramaz Avedisian Building</v>
          </cell>
        </row>
      </sheetData>
      <sheetData sheetId="5472">
        <row r="8">
          <cell r="D8" t="str">
            <v>Paramaz Avedisian Building</v>
          </cell>
        </row>
      </sheetData>
      <sheetData sheetId="5473">
        <row r="8">
          <cell r="D8" t="str">
            <v>Paramaz Avedisian Building</v>
          </cell>
        </row>
      </sheetData>
      <sheetData sheetId="5474">
        <row r="8">
          <cell r="D8" t="str">
            <v>Paramaz Avedisian Building</v>
          </cell>
        </row>
      </sheetData>
      <sheetData sheetId="5475">
        <row r="8">
          <cell r="D8" t="str">
            <v>Paramaz Avedisian Building</v>
          </cell>
        </row>
      </sheetData>
      <sheetData sheetId="5476">
        <row r="8">
          <cell r="D8" t="str">
            <v>Paramaz Avedisian Building</v>
          </cell>
        </row>
      </sheetData>
      <sheetData sheetId="5477">
        <row r="8">
          <cell r="D8" t="str">
            <v>Paramaz Avedisian Building</v>
          </cell>
        </row>
      </sheetData>
      <sheetData sheetId="5478">
        <row r="8">
          <cell r="D8" t="str">
            <v>Paramaz Avedisian Building</v>
          </cell>
        </row>
      </sheetData>
      <sheetData sheetId="5479">
        <row r="8">
          <cell r="D8" t="str">
            <v>Paramaz Avedisian Building</v>
          </cell>
        </row>
      </sheetData>
      <sheetData sheetId="5480">
        <row r="8">
          <cell r="D8" t="str">
            <v>Paramaz Avedisian Building</v>
          </cell>
        </row>
      </sheetData>
      <sheetData sheetId="5481">
        <row r="8">
          <cell r="D8" t="str">
            <v>Paramaz Avedisian Building</v>
          </cell>
        </row>
      </sheetData>
      <sheetData sheetId="5482">
        <row r="8">
          <cell r="D8" t="str">
            <v>Paramaz Avedisian Building</v>
          </cell>
        </row>
      </sheetData>
      <sheetData sheetId="5483">
        <row r="8">
          <cell r="D8" t="str">
            <v>Paramaz Avedisian Building</v>
          </cell>
        </row>
      </sheetData>
      <sheetData sheetId="5484">
        <row r="8">
          <cell r="D8" t="str">
            <v>Paramaz Avedisian Building</v>
          </cell>
        </row>
      </sheetData>
      <sheetData sheetId="5485">
        <row r="8">
          <cell r="D8" t="str">
            <v>Paramaz Avedisian Building</v>
          </cell>
        </row>
      </sheetData>
      <sheetData sheetId="5486">
        <row r="8">
          <cell r="D8" t="str">
            <v>Paramaz Avedisian Building</v>
          </cell>
        </row>
      </sheetData>
      <sheetData sheetId="5487">
        <row r="8">
          <cell r="D8" t="str">
            <v>Paramaz Avedisian Building</v>
          </cell>
        </row>
      </sheetData>
      <sheetData sheetId="5488">
        <row r="8">
          <cell r="D8" t="str">
            <v>Paramaz Avedisian Building</v>
          </cell>
        </row>
      </sheetData>
      <sheetData sheetId="5489">
        <row r="8">
          <cell r="D8" t="str">
            <v>Paramaz Avedisian Building</v>
          </cell>
        </row>
      </sheetData>
      <sheetData sheetId="5490">
        <row r="8">
          <cell r="D8" t="str">
            <v>Paramaz Avedisian Building</v>
          </cell>
        </row>
      </sheetData>
      <sheetData sheetId="5491">
        <row r="8">
          <cell r="D8" t="str">
            <v>Paramaz Avedisian Building</v>
          </cell>
        </row>
      </sheetData>
      <sheetData sheetId="5492">
        <row r="8">
          <cell r="D8" t="str">
            <v>Paramaz Avedisian Building</v>
          </cell>
        </row>
      </sheetData>
      <sheetData sheetId="5493">
        <row r="8">
          <cell r="D8" t="str">
            <v>Paramaz Avedisian Building</v>
          </cell>
        </row>
      </sheetData>
      <sheetData sheetId="5494">
        <row r="8">
          <cell r="D8" t="str">
            <v>Paramaz Avedisian Building</v>
          </cell>
        </row>
      </sheetData>
      <sheetData sheetId="5495">
        <row r="8">
          <cell r="D8" t="str">
            <v>Paramaz Avedisian Building</v>
          </cell>
        </row>
      </sheetData>
      <sheetData sheetId="5496">
        <row r="8">
          <cell r="D8" t="str">
            <v>Paramaz Avedisian Building</v>
          </cell>
        </row>
      </sheetData>
      <sheetData sheetId="5497">
        <row r="8">
          <cell r="D8" t="str">
            <v>Paramaz Avedisian Building</v>
          </cell>
        </row>
      </sheetData>
      <sheetData sheetId="5498">
        <row r="8">
          <cell r="D8" t="str">
            <v>Paramaz Avedisian Building</v>
          </cell>
        </row>
      </sheetData>
      <sheetData sheetId="5499">
        <row r="8">
          <cell r="D8" t="str">
            <v>Paramaz Avedisian Building</v>
          </cell>
        </row>
      </sheetData>
      <sheetData sheetId="5500">
        <row r="8">
          <cell r="D8" t="str">
            <v>Paramaz Avedisian Building</v>
          </cell>
        </row>
      </sheetData>
      <sheetData sheetId="5501">
        <row r="8">
          <cell r="D8" t="str">
            <v>Paramaz Avedisian Building</v>
          </cell>
        </row>
      </sheetData>
      <sheetData sheetId="5502">
        <row r="8">
          <cell r="D8" t="str">
            <v>Paramaz Avedisian Building</v>
          </cell>
        </row>
      </sheetData>
      <sheetData sheetId="5503">
        <row r="8">
          <cell r="D8" t="str">
            <v>Paramaz Avedisian Building</v>
          </cell>
        </row>
      </sheetData>
      <sheetData sheetId="5504">
        <row r="8">
          <cell r="D8" t="str">
            <v>Paramaz Avedisian Building</v>
          </cell>
        </row>
      </sheetData>
      <sheetData sheetId="5505">
        <row r="8">
          <cell r="D8" t="str">
            <v>Paramaz Avedisian Building</v>
          </cell>
        </row>
      </sheetData>
      <sheetData sheetId="5506">
        <row r="8">
          <cell r="D8" t="str">
            <v>Paramaz Avedisian Building</v>
          </cell>
        </row>
      </sheetData>
      <sheetData sheetId="5507">
        <row r="8">
          <cell r="D8" t="str">
            <v>Paramaz Avedisian Building</v>
          </cell>
        </row>
      </sheetData>
      <sheetData sheetId="5508">
        <row r="8">
          <cell r="D8" t="str">
            <v>Paramaz Avedisian Building</v>
          </cell>
        </row>
      </sheetData>
      <sheetData sheetId="5509">
        <row r="8">
          <cell r="D8" t="str">
            <v>Paramaz Avedisian Building</v>
          </cell>
        </row>
      </sheetData>
      <sheetData sheetId="5510">
        <row r="8">
          <cell r="D8" t="str">
            <v>Paramaz Avedisian Building</v>
          </cell>
        </row>
      </sheetData>
      <sheetData sheetId="5511">
        <row r="8">
          <cell r="D8" t="str">
            <v>Paramaz Avedisian Building</v>
          </cell>
        </row>
      </sheetData>
      <sheetData sheetId="5512">
        <row r="8">
          <cell r="D8" t="str">
            <v>Paramaz Avedisian Building</v>
          </cell>
        </row>
      </sheetData>
      <sheetData sheetId="5513">
        <row r="8">
          <cell r="D8" t="str">
            <v>Paramaz Avedisian Building</v>
          </cell>
        </row>
      </sheetData>
      <sheetData sheetId="5514">
        <row r="8">
          <cell r="D8" t="str">
            <v>Paramaz Avedisian Building</v>
          </cell>
        </row>
      </sheetData>
      <sheetData sheetId="5515">
        <row r="8">
          <cell r="D8" t="str">
            <v>Paramaz Avedisian Building</v>
          </cell>
        </row>
      </sheetData>
      <sheetData sheetId="5516">
        <row r="8">
          <cell r="D8" t="str">
            <v>Paramaz Avedisian Building</v>
          </cell>
        </row>
      </sheetData>
      <sheetData sheetId="5517">
        <row r="8">
          <cell r="D8" t="str">
            <v>Paramaz Avedisian Building</v>
          </cell>
        </row>
      </sheetData>
      <sheetData sheetId="5518">
        <row r="8">
          <cell r="D8" t="str">
            <v>Paramaz Avedisian Building</v>
          </cell>
        </row>
      </sheetData>
      <sheetData sheetId="5519">
        <row r="8">
          <cell r="D8" t="str">
            <v>Paramaz Avedisian Building</v>
          </cell>
        </row>
      </sheetData>
      <sheetData sheetId="5520">
        <row r="8">
          <cell r="D8" t="str">
            <v>Paramaz Avedisian Building</v>
          </cell>
        </row>
      </sheetData>
      <sheetData sheetId="5521">
        <row r="8">
          <cell r="D8" t="str">
            <v>Paramaz Avedisian Building</v>
          </cell>
        </row>
      </sheetData>
      <sheetData sheetId="5522">
        <row r="8">
          <cell r="D8" t="str">
            <v>Paramaz Avedisian Building</v>
          </cell>
        </row>
      </sheetData>
      <sheetData sheetId="5523">
        <row r="8">
          <cell r="D8" t="str">
            <v>Paramaz Avedisian Building</v>
          </cell>
        </row>
      </sheetData>
      <sheetData sheetId="5524">
        <row r="8">
          <cell r="D8" t="str">
            <v>Paramaz Avedisian Building</v>
          </cell>
        </row>
      </sheetData>
      <sheetData sheetId="5525">
        <row r="8">
          <cell r="D8" t="str">
            <v>Paramaz Avedisian Building</v>
          </cell>
        </row>
      </sheetData>
      <sheetData sheetId="5526">
        <row r="8">
          <cell r="D8" t="str">
            <v>Paramaz Avedisian Building</v>
          </cell>
        </row>
      </sheetData>
      <sheetData sheetId="5527">
        <row r="8">
          <cell r="D8" t="str">
            <v>Paramaz Avedisian Building</v>
          </cell>
        </row>
      </sheetData>
      <sheetData sheetId="5528">
        <row r="8">
          <cell r="D8" t="str">
            <v>Paramaz Avedisian Building</v>
          </cell>
        </row>
      </sheetData>
      <sheetData sheetId="5529">
        <row r="8">
          <cell r="D8" t="str">
            <v>Paramaz Avedisian Building</v>
          </cell>
        </row>
      </sheetData>
      <sheetData sheetId="5530">
        <row r="8">
          <cell r="D8" t="str">
            <v>Paramaz Avedisian Building</v>
          </cell>
        </row>
      </sheetData>
      <sheetData sheetId="5531">
        <row r="8">
          <cell r="D8" t="str">
            <v>Paramaz Avedisian Building</v>
          </cell>
        </row>
      </sheetData>
      <sheetData sheetId="5532">
        <row r="8">
          <cell r="D8" t="str">
            <v>Paramaz Avedisian Building</v>
          </cell>
        </row>
      </sheetData>
      <sheetData sheetId="5533">
        <row r="8">
          <cell r="D8" t="str">
            <v>Paramaz Avedisian Building</v>
          </cell>
        </row>
      </sheetData>
      <sheetData sheetId="5534">
        <row r="8">
          <cell r="D8" t="str">
            <v>Paramaz Avedisian Building</v>
          </cell>
        </row>
      </sheetData>
      <sheetData sheetId="5535">
        <row r="8">
          <cell r="D8" t="str">
            <v>Paramaz Avedisian Building</v>
          </cell>
        </row>
      </sheetData>
      <sheetData sheetId="5536">
        <row r="8">
          <cell r="D8" t="str">
            <v>Paramaz Avedisian Building</v>
          </cell>
        </row>
      </sheetData>
      <sheetData sheetId="5537">
        <row r="8">
          <cell r="D8" t="str">
            <v>Paramaz Avedisian Building</v>
          </cell>
        </row>
      </sheetData>
      <sheetData sheetId="5538">
        <row r="8">
          <cell r="D8" t="str">
            <v>Paramaz Avedisian Building</v>
          </cell>
        </row>
      </sheetData>
      <sheetData sheetId="5539">
        <row r="8">
          <cell r="D8" t="str">
            <v>Paramaz Avedisian Building</v>
          </cell>
        </row>
      </sheetData>
      <sheetData sheetId="5540">
        <row r="8">
          <cell r="D8" t="str">
            <v>Paramaz Avedisian Building</v>
          </cell>
        </row>
      </sheetData>
      <sheetData sheetId="5541">
        <row r="8">
          <cell r="D8" t="str">
            <v>Paramaz Avedisian Building</v>
          </cell>
        </row>
      </sheetData>
      <sheetData sheetId="5542">
        <row r="8">
          <cell r="D8" t="str">
            <v>Paramaz Avedisian Building</v>
          </cell>
        </row>
      </sheetData>
      <sheetData sheetId="5543">
        <row r="8">
          <cell r="D8" t="str">
            <v>Paramaz Avedisian Building</v>
          </cell>
        </row>
      </sheetData>
      <sheetData sheetId="5544">
        <row r="8">
          <cell r="D8" t="str">
            <v>Paramaz Avedisian Building</v>
          </cell>
        </row>
      </sheetData>
      <sheetData sheetId="5545">
        <row r="8">
          <cell r="D8" t="str">
            <v>Paramaz Avedisian Building</v>
          </cell>
        </row>
      </sheetData>
      <sheetData sheetId="5546">
        <row r="8">
          <cell r="D8" t="str">
            <v>Paramaz Avedisian Building</v>
          </cell>
        </row>
      </sheetData>
      <sheetData sheetId="5547">
        <row r="8">
          <cell r="D8" t="str">
            <v>Paramaz Avedisian Building</v>
          </cell>
        </row>
      </sheetData>
      <sheetData sheetId="5548">
        <row r="8">
          <cell r="D8" t="str">
            <v>Paramaz Avedisian Building</v>
          </cell>
        </row>
      </sheetData>
      <sheetData sheetId="5549">
        <row r="8">
          <cell r="D8" t="str">
            <v>Paramaz Avedisian Building</v>
          </cell>
        </row>
      </sheetData>
      <sheetData sheetId="5550">
        <row r="8">
          <cell r="D8" t="str">
            <v>Paramaz Avedisian Building</v>
          </cell>
        </row>
      </sheetData>
      <sheetData sheetId="5551">
        <row r="8">
          <cell r="D8" t="str">
            <v>Paramaz Avedisian Building</v>
          </cell>
        </row>
      </sheetData>
      <sheetData sheetId="5552">
        <row r="8">
          <cell r="D8" t="str">
            <v>Paramaz Avedisian Building</v>
          </cell>
        </row>
      </sheetData>
      <sheetData sheetId="5553">
        <row r="8">
          <cell r="D8" t="str">
            <v>Paramaz Avedisian Building</v>
          </cell>
        </row>
      </sheetData>
      <sheetData sheetId="5554">
        <row r="8">
          <cell r="D8" t="str">
            <v>Paramaz Avedisian Building</v>
          </cell>
        </row>
      </sheetData>
      <sheetData sheetId="5555">
        <row r="8">
          <cell r="D8" t="str">
            <v>Paramaz Avedisian Building</v>
          </cell>
        </row>
      </sheetData>
      <sheetData sheetId="5556">
        <row r="8">
          <cell r="D8" t="str">
            <v>Paramaz Avedisian Building</v>
          </cell>
        </row>
      </sheetData>
      <sheetData sheetId="5557">
        <row r="8">
          <cell r="D8" t="str">
            <v>Paramaz Avedisian Building</v>
          </cell>
        </row>
      </sheetData>
      <sheetData sheetId="5558">
        <row r="8">
          <cell r="D8" t="str">
            <v>Paramaz Avedisian Building</v>
          </cell>
        </row>
      </sheetData>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row r="8">
          <cell r="D8" t="str">
            <v>Paramaz Avedisian Building</v>
          </cell>
        </row>
      </sheetData>
      <sheetData sheetId="5576">
        <row r="8">
          <cell r="D8" t="str">
            <v>Paramaz Avedisian Building</v>
          </cell>
        </row>
      </sheetData>
      <sheetData sheetId="5577">
        <row r="8">
          <cell r="D8" t="str">
            <v>Paramaz Avedisian Building</v>
          </cell>
        </row>
      </sheetData>
      <sheetData sheetId="5578">
        <row r="8">
          <cell r="D8" t="str">
            <v>Paramaz Avedisian Building</v>
          </cell>
        </row>
      </sheetData>
      <sheetData sheetId="5579">
        <row r="8">
          <cell r="D8" t="str">
            <v>Paramaz Avedisian Building</v>
          </cell>
        </row>
      </sheetData>
      <sheetData sheetId="5580">
        <row r="8">
          <cell r="D8" t="str">
            <v>Paramaz Avedisian Building</v>
          </cell>
        </row>
      </sheetData>
      <sheetData sheetId="5581">
        <row r="8">
          <cell r="D8" t="str">
            <v>Paramaz Avedisian Building</v>
          </cell>
        </row>
      </sheetData>
      <sheetData sheetId="5582">
        <row r="8">
          <cell r="D8" t="str">
            <v>Paramaz Avedisian Building</v>
          </cell>
        </row>
      </sheetData>
      <sheetData sheetId="5583">
        <row r="8">
          <cell r="D8" t="str">
            <v>Paramaz Avedisian Building</v>
          </cell>
        </row>
      </sheetData>
      <sheetData sheetId="5584">
        <row r="8">
          <cell r="D8" t="str">
            <v>Paramaz Avedisian Building</v>
          </cell>
        </row>
      </sheetData>
      <sheetData sheetId="5585">
        <row r="8">
          <cell r="D8" t="str">
            <v>Paramaz Avedisian Building</v>
          </cell>
        </row>
      </sheetData>
      <sheetData sheetId="5586">
        <row r="8">
          <cell r="D8" t="str">
            <v>Paramaz Avedisian Building</v>
          </cell>
        </row>
      </sheetData>
      <sheetData sheetId="5587">
        <row r="8">
          <cell r="D8" t="str">
            <v>Paramaz Avedisian Building</v>
          </cell>
        </row>
      </sheetData>
      <sheetData sheetId="5588">
        <row r="8">
          <cell r="D8" t="str">
            <v>Paramaz Avedisian Building</v>
          </cell>
        </row>
      </sheetData>
      <sheetData sheetId="5589">
        <row r="8">
          <cell r="D8" t="str">
            <v>Paramaz Avedisian Building</v>
          </cell>
        </row>
      </sheetData>
      <sheetData sheetId="5590">
        <row r="8">
          <cell r="D8" t="str">
            <v>Paramaz Avedisian Building</v>
          </cell>
        </row>
      </sheetData>
      <sheetData sheetId="5591">
        <row r="8">
          <cell r="D8" t="str">
            <v>Paramaz Avedisian Building</v>
          </cell>
        </row>
      </sheetData>
      <sheetData sheetId="5592">
        <row r="8">
          <cell r="D8" t="str">
            <v>Paramaz Avedisian Building</v>
          </cell>
        </row>
      </sheetData>
      <sheetData sheetId="5593">
        <row r="8">
          <cell r="D8" t="str">
            <v>Paramaz Avedisian Building</v>
          </cell>
        </row>
      </sheetData>
      <sheetData sheetId="5594">
        <row r="8">
          <cell r="D8" t="str">
            <v>Paramaz Avedisian Building</v>
          </cell>
        </row>
      </sheetData>
      <sheetData sheetId="5595">
        <row r="8">
          <cell r="D8" t="str">
            <v>Paramaz Avedisian Building</v>
          </cell>
        </row>
      </sheetData>
      <sheetData sheetId="5596">
        <row r="8">
          <cell r="D8" t="str">
            <v>Paramaz Avedisian Building</v>
          </cell>
        </row>
      </sheetData>
      <sheetData sheetId="5597">
        <row r="8">
          <cell r="D8" t="str">
            <v>Paramaz Avedisian Building</v>
          </cell>
        </row>
      </sheetData>
      <sheetData sheetId="5598">
        <row r="8">
          <cell r="D8" t="str">
            <v>Paramaz Avedisian Building</v>
          </cell>
        </row>
      </sheetData>
      <sheetData sheetId="5599">
        <row r="8">
          <cell r="D8" t="str">
            <v>Paramaz Avedisian Building</v>
          </cell>
        </row>
      </sheetData>
      <sheetData sheetId="5600">
        <row r="8">
          <cell r="D8" t="str">
            <v>Paramaz Avedisian Building</v>
          </cell>
        </row>
      </sheetData>
      <sheetData sheetId="5601">
        <row r="8">
          <cell r="D8" t="str">
            <v>Paramaz Avedisian Building</v>
          </cell>
        </row>
      </sheetData>
      <sheetData sheetId="5602">
        <row r="8">
          <cell r="D8" t="str">
            <v>Paramaz Avedisian Building</v>
          </cell>
        </row>
      </sheetData>
      <sheetData sheetId="5603">
        <row r="8">
          <cell r="D8" t="str">
            <v>Paramaz Avedisian Building</v>
          </cell>
        </row>
      </sheetData>
      <sheetData sheetId="5604">
        <row r="8">
          <cell r="D8" t="str">
            <v>Paramaz Avedisian Building</v>
          </cell>
        </row>
      </sheetData>
      <sheetData sheetId="5605">
        <row r="8">
          <cell r="D8" t="str">
            <v>Paramaz Avedisian Building</v>
          </cell>
        </row>
      </sheetData>
      <sheetData sheetId="5606">
        <row r="8">
          <cell r="D8" t="str">
            <v>Paramaz Avedisian Building</v>
          </cell>
        </row>
      </sheetData>
      <sheetData sheetId="5607">
        <row r="8">
          <cell r="D8" t="str">
            <v>Paramaz Avedisian Building</v>
          </cell>
        </row>
      </sheetData>
      <sheetData sheetId="5608">
        <row r="8">
          <cell r="D8" t="str">
            <v>Paramaz Avedisian Building</v>
          </cell>
        </row>
      </sheetData>
      <sheetData sheetId="5609">
        <row r="8">
          <cell r="D8" t="str">
            <v>Paramaz Avedisian Building</v>
          </cell>
        </row>
      </sheetData>
      <sheetData sheetId="5610">
        <row r="8">
          <cell r="D8" t="str">
            <v>Paramaz Avedisian Building</v>
          </cell>
        </row>
      </sheetData>
      <sheetData sheetId="5611">
        <row r="8">
          <cell r="D8" t="str">
            <v>Paramaz Avedisian Building</v>
          </cell>
        </row>
      </sheetData>
      <sheetData sheetId="5612">
        <row r="8">
          <cell r="D8" t="str">
            <v>Paramaz Avedisian Building</v>
          </cell>
        </row>
      </sheetData>
      <sheetData sheetId="5613">
        <row r="8">
          <cell r="D8" t="str">
            <v>Paramaz Avedisian Building</v>
          </cell>
        </row>
      </sheetData>
      <sheetData sheetId="5614">
        <row r="8">
          <cell r="D8" t="str">
            <v>Paramaz Avedisian Building</v>
          </cell>
        </row>
      </sheetData>
      <sheetData sheetId="5615">
        <row r="8">
          <cell r="D8" t="str">
            <v>Paramaz Avedisian Building</v>
          </cell>
        </row>
      </sheetData>
      <sheetData sheetId="5616">
        <row r="8">
          <cell r="D8" t="str">
            <v>Paramaz Avedisian Building</v>
          </cell>
        </row>
      </sheetData>
      <sheetData sheetId="5617">
        <row r="8">
          <cell r="D8" t="str">
            <v>Paramaz Avedisian Building</v>
          </cell>
        </row>
      </sheetData>
      <sheetData sheetId="5618">
        <row r="8">
          <cell r="D8" t="str">
            <v>Paramaz Avedisian Building</v>
          </cell>
        </row>
      </sheetData>
      <sheetData sheetId="5619">
        <row r="8">
          <cell r="D8" t="str">
            <v>Paramaz Avedisian Building</v>
          </cell>
        </row>
      </sheetData>
      <sheetData sheetId="5620">
        <row r="8">
          <cell r="D8" t="str">
            <v>Paramaz Avedisian Building</v>
          </cell>
        </row>
      </sheetData>
      <sheetData sheetId="5621">
        <row r="8">
          <cell r="D8" t="str">
            <v>Paramaz Avedisian Building</v>
          </cell>
        </row>
      </sheetData>
      <sheetData sheetId="5622">
        <row r="8">
          <cell r="D8" t="str">
            <v>Paramaz Avedisian Building</v>
          </cell>
        </row>
      </sheetData>
      <sheetData sheetId="5623">
        <row r="8">
          <cell r="D8" t="str">
            <v>Paramaz Avedisian Building</v>
          </cell>
        </row>
      </sheetData>
      <sheetData sheetId="5624">
        <row r="8">
          <cell r="D8" t="str">
            <v>Paramaz Avedisian Building</v>
          </cell>
        </row>
      </sheetData>
      <sheetData sheetId="5625">
        <row r="8">
          <cell r="D8" t="str">
            <v>Paramaz Avedisian Building</v>
          </cell>
        </row>
      </sheetData>
      <sheetData sheetId="5626">
        <row r="8">
          <cell r="D8" t="str">
            <v>Paramaz Avedisian Building</v>
          </cell>
        </row>
      </sheetData>
      <sheetData sheetId="5627">
        <row r="8">
          <cell r="D8" t="str">
            <v>Paramaz Avedisian Building</v>
          </cell>
        </row>
      </sheetData>
      <sheetData sheetId="5628">
        <row r="8">
          <cell r="D8" t="str">
            <v>Paramaz Avedisian Building</v>
          </cell>
        </row>
      </sheetData>
      <sheetData sheetId="5629">
        <row r="8">
          <cell r="D8" t="str">
            <v>Paramaz Avedisian Building</v>
          </cell>
        </row>
      </sheetData>
      <sheetData sheetId="5630">
        <row r="8">
          <cell r="D8" t="str">
            <v>Paramaz Avedisian Building</v>
          </cell>
        </row>
      </sheetData>
      <sheetData sheetId="5631">
        <row r="8">
          <cell r="D8" t="str">
            <v>Paramaz Avedisian Building</v>
          </cell>
        </row>
      </sheetData>
      <sheetData sheetId="5632">
        <row r="8">
          <cell r="D8" t="str">
            <v>Paramaz Avedisian Building</v>
          </cell>
        </row>
      </sheetData>
      <sheetData sheetId="5633">
        <row r="8">
          <cell r="D8" t="str">
            <v>Paramaz Avedisian Building</v>
          </cell>
        </row>
      </sheetData>
      <sheetData sheetId="5634">
        <row r="8">
          <cell r="D8" t="str">
            <v>Paramaz Avedisian Building</v>
          </cell>
        </row>
      </sheetData>
      <sheetData sheetId="5635">
        <row r="8">
          <cell r="D8" t="str">
            <v>Paramaz Avedisian Building</v>
          </cell>
        </row>
      </sheetData>
      <sheetData sheetId="5636">
        <row r="8">
          <cell r="D8" t="str">
            <v>Paramaz Avedisian Building</v>
          </cell>
        </row>
      </sheetData>
      <sheetData sheetId="5637">
        <row r="8">
          <cell r="D8" t="str">
            <v>Paramaz Avedisian Building</v>
          </cell>
        </row>
      </sheetData>
      <sheetData sheetId="5638">
        <row r="8">
          <cell r="D8" t="str">
            <v>Paramaz Avedisian Building</v>
          </cell>
        </row>
      </sheetData>
      <sheetData sheetId="5639">
        <row r="8">
          <cell r="D8" t="str">
            <v>Paramaz Avedisian Building</v>
          </cell>
        </row>
      </sheetData>
      <sheetData sheetId="5640">
        <row r="8">
          <cell r="D8" t="str">
            <v>Paramaz Avedisian Building</v>
          </cell>
        </row>
      </sheetData>
      <sheetData sheetId="5641">
        <row r="8">
          <cell r="D8" t="str">
            <v>Paramaz Avedisian Building</v>
          </cell>
        </row>
      </sheetData>
      <sheetData sheetId="5642">
        <row r="8">
          <cell r="D8" t="str">
            <v>Paramaz Avedisian Building</v>
          </cell>
        </row>
      </sheetData>
      <sheetData sheetId="5643">
        <row r="8">
          <cell r="D8" t="str">
            <v>Paramaz Avedisian Building</v>
          </cell>
        </row>
      </sheetData>
      <sheetData sheetId="5644">
        <row r="8">
          <cell r="D8" t="str">
            <v>Paramaz Avedisian Building</v>
          </cell>
        </row>
      </sheetData>
      <sheetData sheetId="5645">
        <row r="8">
          <cell r="D8" t="str">
            <v>Paramaz Avedisian Building</v>
          </cell>
        </row>
      </sheetData>
      <sheetData sheetId="5646">
        <row r="8">
          <cell r="D8" t="str">
            <v>Paramaz Avedisian Building</v>
          </cell>
        </row>
      </sheetData>
      <sheetData sheetId="5647">
        <row r="8">
          <cell r="D8" t="str">
            <v>Paramaz Avedisian Building</v>
          </cell>
        </row>
      </sheetData>
      <sheetData sheetId="5648">
        <row r="8">
          <cell r="D8" t="str">
            <v>Paramaz Avedisian Building</v>
          </cell>
        </row>
      </sheetData>
      <sheetData sheetId="5649">
        <row r="8">
          <cell r="D8" t="str">
            <v>Paramaz Avedisian Building</v>
          </cell>
        </row>
      </sheetData>
      <sheetData sheetId="5650">
        <row r="8">
          <cell r="D8" t="str">
            <v>Paramaz Avedisian Building</v>
          </cell>
        </row>
      </sheetData>
      <sheetData sheetId="5651">
        <row r="8">
          <cell r="D8" t="str">
            <v>Paramaz Avedisian Building</v>
          </cell>
        </row>
      </sheetData>
      <sheetData sheetId="5652">
        <row r="8">
          <cell r="D8" t="str">
            <v>Paramaz Avedisian Building</v>
          </cell>
        </row>
      </sheetData>
      <sheetData sheetId="5653">
        <row r="8">
          <cell r="D8" t="str">
            <v>Paramaz Avedisian Building</v>
          </cell>
        </row>
      </sheetData>
      <sheetData sheetId="5654">
        <row r="8">
          <cell r="D8" t="str">
            <v>Paramaz Avedisian Building</v>
          </cell>
        </row>
      </sheetData>
      <sheetData sheetId="5655">
        <row r="8">
          <cell r="D8" t="str">
            <v>Paramaz Avedisian Building</v>
          </cell>
        </row>
      </sheetData>
      <sheetData sheetId="5656">
        <row r="8">
          <cell r="D8" t="str">
            <v>Paramaz Avedisian Building</v>
          </cell>
        </row>
      </sheetData>
      <sheetData sheetId="5657">
        <row r="8">
          <cell r="D8" t="str">
            <v>Paramaz Avedisian Building</v>
          </cell>
        </row>
      </sheetData>
      <sheetData sheetId="5658">
        <row r="8">
          <cell r="D8" t="str">
            <v>Paramaz Avedisian Building</v>
          </cell>
        </row>
      </sheetData>
      <sheetData sheetId="5659">
        <row r="8">
          <cell r="D8" t="str">
            <v>Paramaz Avedisian Building</v>
          </cell>
        </row>
      </sheetData>
      <sheetData sheetId="5660">
        <row r="8">
          <cell r="D8" t="str">
            <v>Paramaz Avedisian Building</v>
          </cell>
        </row>
      </sheetData>
      <sheetData sheetId="5661">
        <row r="8">
          <cell r="D8" t="str">
            <v>Paramaz Avedisian Building</v>
          </cell>
        </row>
      </sheetData>
      <sheetData sheetId="5662">
        <row r="8">
          <cell r="D8" t="str">
            <v>Paramaz Avedisian Building</v>
          </cell>
        </row>
      </sheetData>
      <sheetData sheetId="5663">
        <row r="8">
          <cell r="D8" t="str">
            <v>Paramaz Avedisian Building</v>
          </cell>
        </row>
      </sheetData>
      <sheetData sheetId="5664">
        <row r="8">
          <cell r="D8" t="str">
            <v>Paramaz Avedisian Building</v>
          </cell>
        </row>
      </sheetData>
      <sheetData sheetId="5665">
        <row r="8">
          <cell r="D8" t="str">
            <v>Paramaz Avedisian Building</v>
          </cell>
        </row>
      </sheetData>
      <sheetData sheetId="5666">
        <row r="8">
          <cell r="D8" t="str">
            <v>Paramaz Avedisian Building</v>
          </cell>
        </row>
      </sheetData>
      <sheetData sheetId="5667">
        <row r="8">
          <cell r="D8" t="str">
            <v>Paramaz Avedisian Building</v>
          </cell>
        </row>
      </sheetData>
      <sheetData sheetId="5668">
        <row r="8">
          <cell r="D8" t="str">
            <v>Paramaz Avedisian Building</v>
          </cell>
        </row>
      </sheetData>
      <sheetData sheetId="5669">
        <row r="8">
          <cell r="D8" t="str">
            <v>Paramaz Avedisian Building</v>
          </cell>
        </row>
      </sheetData>
      <sheetData sheetId="5670">
        <row r="8">
          <cell r="D8" t="str">
            <v>Paramaz Avedisian Building</v>
          </cell>
        </row>
      </sheetData>
      <sheetData sheetId="5671">
        <row r="8">
          <cell r="D8" t="str">
            <v>Paramaz Avedisian Building</v>
          </cell>
        </row>
      </sheetData>
      <sheetData sheetId="5672">
        <row r="8">
          <cell r="D8" t="str">
            <v>Paramaz Avedisian Building</v>
          </cell>
        </row>
      </sheetData>
      <sheetData sheetId="5673">
        <row r="8">
          <cell r="D8" t="str">
            <v>Paramaz Avedisian Building</v>
          </cell>
        </row>
      </sheetData>
      <sheetData sheetId="5674">
        <row r="8">
          <cell r="D8" t="str">
            <v>Paramaz Avedisian Building</v>
          </cell>
        </row>
      </sheetData>
      <sheetData sheetId="5675">
        <row r="8">
          <cell r="D8" t="str">
            <v>Paramaz Avedisian Building</v>
          </cell>
        </row>
      </sheetData>
      <sheetData sheetId="5676">
        <row r="8">
          <cell r="D8" t="str">
            <v>Paramaz Avedisian Building</v>
          </cell>
        </row>
      </sheetData>
      <sheetData sheetId="5677">
        <row r="8">
          <cell r="D8" t="str">
            <v>Paramaz Avedisian Building</v>
          </cell>
        </row>
      </sheetData>
      <sheetData sheetId="5678">
        <row r="8">
          <cell r="D8" t="str">
            <v>Paramaz Avedisian Building</v>
          </cell>
        </row>
      </sheetData>
      <sheetData sheetId="5679">
        <row r="8">
          <cell r="D8" t="str">
            <v>Paramaz Avedisian Building</v>
          </cell>
        </row>
      </sheetData>
      <sheetData sheetId="5680">
        <row r="8">
          <cell r="D8" t="str">
            <v>Paramaz Avedisian Building</v>
          </cell>
        </row>
      </sheetData>
      <sheetData sheetId="5681">
        <row r="8">
          <cell r="D8" t="str">
            <v>Paramaz Avedisian Building</v>
          </cell>
        </row>
      </sheetData>
      <sheetData sheetId="5682">
        <row r="8">
          <cell r="D8" t="str">
            <v>Paramaz Avedisian Building</v>
          </cell>
        </row>
      </sheetData>
      <sheetData sheetId="5683">
        <row r="8">
          <cell r="D8" t="str">
            <v>Paramaz Avedisian Building</v>
          </cell>
        </row>
      </sheetData>
      <sheetData sheetId="5684">
        <row r="8">
          <cell r="D8" t="str">
            <v>Paramaz Avedisian Building</v>
          </cell>
        </row>
      </sheetData>
      <sheetData sheetId="5685">
        <row r="8">
          <cell r="D8" t="str">
            <v>Paramaz Avedisian Building</v>
          </cell>
        </row>
      </sheetData>
      <sheetData sheetId="5686">
        <row r="8">
          <cell r="D8" t="str">
            <v>Paramaz Avedisian Building</v>
          </cell>
        </row>
      </sheetData>
      <sheetData sheetId="5687">
        <row r="8">
          <cell r="D8" t="str">
            <v>Paramaz Avedisian Building</v>
          </cell>
        </row>
      </sheetData>
      <sheetData sheetId="5688">
        <row r="8">
          <cell r="D8" t="str">
            <v>Paramaz Avedisian Building</v>
          </cell>
        </row>
      </sheetData>
      <sheetData sheetId="5689">
        <row r="8">
          <cell r="D8" t="str">
            <v>Paramaz Avedisian Building</v>
          </cell>
        </row>
      </sheetData>
      <sheetData sheetId="5690">
        <row r="8">
          <cell r="D8" t="str">
            <v>Paramaz Avedisian Building</v>
          </cell>
        </row>
      </sheetData>
      <sheetData sheetId="5691">
        <row r="8">
          <cell r="D8" t="str">
            <v>Paramaz Avedisian Building</v>
          </cell>
        </row>
      </sheetData>
      <sheetData sheetId="5692">
        <row r="8">
          <cell r="D8" t="str">
            <v>Paramaz Avedisian Building</v>
          </cell>
        </row>
      </sheetData>
      <sheetData sheetId="5693">
        <row r="8">
          <cell r="D8" t="str">
            <v>Paramaz Avedisian Building</v>
          </cell>
        </row>
      </sheetData>
      <sheetData sheetId="5694">
        <row r="8">
          <cell r="D8" t="str">
            <v>Paramaz Avedisian Building</v>
          </cell>
        </row>
      </sheetData>
      <sheetData sheetId="5695">
        <row r="8">
          <cell r="D8" t="str">
            <v>Paramaz Avedisian Building</v>
          </cell>
        </row>
      </sheetData>
      <sheetData sheetId="5696">
        <row r="8">
          <cell r="D8" t="str">
            <v>Paramaz Avedisian Building</v>
          </cell>
        </row>
      </sheetData>
      <sheetData sheetId="5697">
        <row r="8">
          <cell r="D8" t="str">
            <v>Paramaz Avedisian Building</v>
          </cell>
        </row>
      </sheetData>
      <sheetData sheetId="5698">
        <row r="8">
          <cell r="D8" t="str">
            <v>Paramaz Avedisian Building</v>
          </cell>
        </row>
      </sheetData>
      <sheetData sheetId="5699">
        <row r="8">
          <cell r="D8" t="str">
            <v>Paramaz Avedisian Building</v>
          </cell>
        </row>
      </sheetData>
      <sheetData sheetId="5700">
        <row r="8">
          <cell r="D8" t="str">
            <v>Paramaz Avedisian Building</v>
          </cell>
        </row>
      </sheetData>
      <sheetData sheetId="5701">
        <row r="8">
          <cell r="D8" t="str">
            <v>Paramaz Avedisian Building</v>
          </cell>
        </row>
      </sheetData>
      <sheetData sheetId="5702">
        <row r="8">
          <cell r="D8" t="str">
            <v>Paramaz Avedisian Building</v>
          </cell>
        </row>
      </sheetData>
      <sheetData sheetId="5703">
        <row r="8">
          <cell r="D8" t="str">
            <v>Paramaz Avedisian Building</v>
          </cell>
        </row>
      </sheetData>
      <sheetData sheetId="5704">
        <row r="8">
          <cell r="D8" t="str">
            <v>Paramaz Avedisian Building</v>
          </cell>
        </row>
      </sheetData>
      <sheetData sheetId="5705">
        <row r="8">
          <cell r="D8" t="str">
            <v>Paramaz Avedisian Building</v>
          </cell>
        </row>
      </sheetData>
      <sheetData sheetId="5706">
        <row r="8">
          <cell r="D8" t="str">
            <v>Paramaz Avedisian Building</v>
          </cell>
        </row>
      </sheetData>
      <sheetData sheetId="5707">
        <row r="8">
          <cell r="D8" t="str">
            <v>Paramaz Avedisian Building</v>
          </cell>
        </row>
      </sheetData>
      <sheetData sheetId="5708">
        <row r="8">
          <cell r="D8" t="str">
            <v>Paramaz Avedisian Building</v>
          </cell>
        </row>
      </sheetData>
      <sheetData sheetId="5709">
        <row r="8">
          <cell r="D8" t="str">
            <v>Paramaz Avedisian Building</v>
          </cell>
        </row>
      </sheetData>
      <sheetData sheetId="5710">
        <row r="8">
          <cell r="D8" t="str">
            <v>Paramaz Avedisian Building</v>
          </cell>
        </row>
      </sheetData>
      <sheetData sheetId="5711">
        <row r="8">
          <cell r="D8" t="str">
            <v>Paramaz Avedisian Building</v>
          </cell>
        </row>
      </sheetData>
      <sheetData sheetId="5712">
        <row r="8">
          <cell r="D8" t="str">
            <v>Paramaz Avedisian Building</v>
          </cell>
        </row>
      </sheetData>
      <sheetData sheetId="5713">
        <row r="8">
          <cell r="D8" t="str">
            <v>Paramaz Avedisian Building</v>
          </cell>
        </row>
      </sheetData>
      <sheetData sheetId="5714">
        <row r="8">
          <cell r="D8" t="str">
            <v>Paramaz Avedisian Building</v>
          </cell>
        </row>
      </sheetData>
      <sheetData sheetId="5715">
        <row r="8">
          <cell r="D8" t="str">
            <v>Paramaz Avedisian Building</v>
          </cell>
        </row>
      </sheetData>
      <sheetData sheetId="5716">
        <row r="8">
          <cell r="D8" t="str">
            <v>Paramaz Avedisian Building</v>
          </cell>
        </row>
      </sheetData>
      <sheetData sheetId="5717">
        <row r="8">
          <cell r="D8" t="str">
            <v>Paramaz Avedisian Building</v>
          </cell>
        </row>
      </sheetData>
      <sheetData sheetId="5718">
        <row r="8">
          <cell r="D8" t="str">
            <v>Paramaz Avedisian Building</v>
          </cell>
        </row>
      </sheetData>
      <sheetData sheetId="5719">
        <row r="8">
          <cell r="D8" t="str">
            <v>Paramaz Avedisian Building</v>
          </cell>
        </row>
      </sheetData>
      <sheetData sheetId="5720">
        <row r="8">
          <cell r="D8" t="str">
            <v>Paramaz Avedisian Building</v>
          </cell>
        </row>
      </sheetData>
      <sheetData sheetId="5721">
        <row r="8">
          <cell r="D8" t="str">
            <v>Paramaz Avedisian Building</v>
          </cell>
        </row>
      </sheetData>
      <sheetData sheetId="5722">
        <row r="8">
          <cell r="D8" t="str">
            <v>Paramaz Avedisian Building</v>
          </cell>
        </row>
      </sheetData>
      <sheetData sheetId="5723">
        <row r="8">
          <cell r="D8" t="str">
            <v>Paramaz Avedisian Building</v>
          </cell>
        </row>
      </sheetData>
      <sheetData sheetId="5724">
        <row r="8">
          <cell r="D8" t="str">
            <v>Paramaz Avedisian Building</v>
          </cell>
        </row>
      </sheetData>
      <sheetData sheetId="5725">
        <row r="8">
          <cell r="D8" t="str">
            <v>Paramaz Avedisian Building</v>
          </cell>
        </row>
      </sheetData>
      <sheetData sheetId="5726">
        <row r="8">
          <cell r="D8" t="str">
            <v>Paramaz Avedisian Building</v>
          </cell>
        </row>
      </sheetData>
      <sheetData sheetId="5727">
        <row r="8">
          <cell r="D8" t="str">
            <v>Paramaz Avedisian Building</v>
          </cell>
        </row>
      </sheetData>
      <sheetData sheetId="5728">
        <row r="8">
          <cell r="D8" t="str">
            <v>Paramaz Avedisian Building</v>
          </cell>
        </row>
      </sheetData>
      <sheetData sheetId="5729">
        <row r="8">
          <cell r="D8" t="str">
            <v>Paramaz Avedisian Building</v>
          </cell>
        </row>
      </sheetData>
      <sheetData sheetId="5730">
        <row r="8">
          <cell r="D8" t="str">
            <v>Paramaz Avedisian Building</v>
          </cell>
        </row>
      </sheetData>
      <sheetData sheetId="5731">
        <row r="8">
          <cell r="D8" t="str">
            <v>Paramaz Avedisian Building</v>
          </cell>
        </row>
      </sheetData>
      <sheetData sheetId="5732">
        <row r="8">
          <cell r="D8" t="str">
            <v>Paramaz Avedisian Building</v>
          </cell>
        </row>
      </sheetData>
      <sheetData sheetId="5733">
        <row r="8">
          <cell r="D8" t="str">
            <v>Paramaz Avedisian Building</v>
          </cell>
        </row>
      </sheetData>
      <sheetData sheetId="5734">
        <row r="8">
          <cell r="D8" t="str">
            <v>Paramaz Avedisian Building</v>
          </cell>
        </row>
      </sheetData>
      <sheetData sheetId="5735">
        <row r="8">
          <cell r="D8" t="str">
            <v>Paramaz Avedisian Building</v>
          </cell>
        </row>
      </sheetData>
      <sheetData sheetId="5736">
        <row r="8">
          <cell r="D8" t="str">
            <v>Paramaz Avedisian Building</v>
          </cell>
        </row>
      </sheetData>
      <sheetData sheetId="5737">
        <row r="8">
          <cell r="D8" t="str">
            <v>Paramaz Avedisian Building</v>
          </cell>
        </row>
      </sheetData>
      <sheetData sheetId="5738">
        <row r="8">
          <cell r="D8" t="str">
            <v>Paramaz Avedisian Building</v>
          </cell>
        </row>
      </sheetData>
      <sheetData sheetId="5739">
        <row r="8">
          <cell r="D8" t="str">
            <v>Paramaz Avedisian Building</v>
          </cell>
        </row>
      </sheetData>
      <sheetData sheetId="5740">
        <row r="8">
          <cell r="D8" t="str">
            <v>Paramaz Avedisian Building</v>
          </cell>
        </row>
      </sheetData>
      <sheetData sheetId="5741">
        <row r="8">
          <cell r="D8" t="str">
            <v>Paramaz Avedisian Building</v>
          </cell>
        </row>
      </sheetData>
      <sheetData sheetId="5742">
        <row r="8">
          <cell r="D8" t="str">
            <v>Paramaz Avedisian Building</v>
          </cell>
        </row>
      </sheetData>
      <sheetData sheetId="5743">
        <row r="8">
          <cell r="D8" t="str">
            <v>Paramaz Avedisian Building</v>
          </cell>
        </row>
      </sheetData>
      <sheetData sheetId="5744">
        <row r="8">
          <cell r="D8" t="str">
            <v>Paramaz Avedisian Building</v>
          </cell>
        </row>
      </sheetData>
      <sheetData sheetId="5745">
        <row r="8">
          <cell r="D8" t="str">
            <v>Paramaz Avedisian Building</v>
          </cell>
        </row>
      </sheetData>
      <sheetData sheetId="5746">
        <row r="8">
          <cell r="D8" t="str">
            <v>Paramaz Avedisian Building</v>
          </cell>
        </row>
      </sheetData>
      <sheetData sheetId="5747">
        <row r="8">
          <cell r="D8" t="str">
            <v>Paramaz Avedisian Building</v>
          </cell>
        </row>
      </sheetData>
      <sheetData sheetId="5748">
        <row r="8">
          <cell r="D8" t="str">
            <v>Paramaz Avedisian Building</v>
          </cell>
        </row>
      </sheetData>
      <sheetData sheetId="5749">
        <row r="8">
          <cell r="D8" t="str">
            <v>Paramaz Avedisian Building</v>
          </cell>
        </row>
      </sheetData>
      <sheetData sheetId="5750">
        <row r="8">
          <cell r="D8" t="str">
            <v>Paramaz Avedisian Building</v>
          </cell>
        </row>
      </sheetData>
      <sheetData sheetId="5751">
        <row r="8">
          <cell r="D8" t="str">
            <v>Paramaz Avedisian Building</v>
          </cell>
        </row>
      </sheetData>
      <sheetData sheetId="5752">
        <row r="8">
          <cell r="D8" t="str">
            <v>Paramaz Avedisian Building</v>
          </cell>
        </row>
      </sheetData>
      <sheetData sheetId="5753">
        <row r="8">
          <cell r="D8" t="str">
            <v>Paramaz Avedisian Building</v>
          </cell>
        </row>
      </sheetData>
      <sheetData sheetId="5754">
        <row r="8">
          <cell r="D8" t="str">
            <v>Paramaz Avedisian Building</v>
          </cell>
        </row>
      </sheetData>
      <sheetData sheetId="5755">
        <row r="8">
          <cell r="D8" t="str">
            <v>Paramaz Avedisian Building</v>
          </cell>
        </row>
      </sheetData>
      <sheetData sheetId="5756">
        <row r="8">
          <cell r="D8" t="str">
            <v>Paramaz Avedisian Building</v>
          </cell>
        </row>
      </sheetData>
      <sheetData sheetId="5757">
        <row r="8">
          <cell r="D8" t="str">
            <v>Paramaz Avedisian Building</v>
          </cell>
        </row>
      </sheetData>
      <sheetData sheetId="5758">
        <row r="8">
          <cell r="D8" t="str">
            <v>Paramaz Avedisian Building</v>
          </cell>
        </row>
      </sheetData>
      <sheetData sheetId="5759">
        <row r="8">
          <cell r="D8" t="str">
            <v>Paramaz Avedisian Building</v>
          </cell>
        </row>
      </sheetData>
      <sheetData sheetId="5760">
        <row r="8">
          <cell r="D8" t="str">
            <v>Paramaz Avedisian Building</v>
          </cell>
        </row>
      </sheetData>
      <sheetData sheetId="5761">
        <row r="8">
          <cell r="D8" t="str">
            <v>Paramaz Avedisian Building</v>
          </cell>
        </row>
      </sheetData>
      <sheetData sheetId="5762">
        <row r="8">
          <cell r="D8" t="str">
            <v>Paramaz Avedisian Building</v>
          </cell>
        </row>
      </sheetData>
      <sheetData sheetId="5763">
        <row r="8">
          <cell r="D8" t="str">
            <v>Paramaz Avedisian Building</v>
          </cell>
        </row>
      </sheetData>
      <sheetData sheetId="5764">
        <row r="8">
          <cell r="D8" t="str">
            <v>Paramaz Avedisian Building</v>
          </cell>
        </row>
      </sheetData>
      <sheetData sheetId="5765">
        <row r="8">
          <cell r="D8" t="str">
            <v>Paramaz Avedisian Building</v>
          </cell>
        </row>
      </sheetData>
      <sheetData sheetId="5766">
        <row r="8">
          <cell r="D8" t="str">
            <v>Paramaz Avedisian Building</v>
          </cell>
        </row>
      </sheetData>
      <sheetData sheetId="5767">
        <row r="8">
          <cell r="D8" t="str">
            <v>Paramaz Avedisian Building</v>
          </cell>
        </row>
      </sheetData>
      <sheetData sheetId="5768">
        <row r="8">
          <cell r="D8" t="str">
            <v>Paramaz Avedisian Building</v>
          </cell>
        </row>
      </sheetData>
      <sheetData sheetId="5769">
        <row r="8">
          <cell r="D8" t="str">
            <v>Paramaz Avedisian Building</v>
          </cell>
        </row>
      </sheetData>
      <sheetData sheetId="5770">
        <row r="8">
          <cell r="D8" t="str">
            <v>Paramaz Avedisian Building</v>
          </cell>
        </row>
      </sheetData>
      <sheetData sheetId="5771">
        <row r="8">
          <cell r="D8" t="str">
            <v>Paramaz Avedisian Building</v>
          </cell>
        </row>
      </sheetData>
      <sheetData sheetId="5772">
        <row r="8">
          <cell r="D8" t="str">
            <v>Paramaz Avedisian Building</v>
          </cell>
        </row>
      </sheetData>
      <sheetData sheetId="5773">
        <row r="8">
          <cell r="D8" t="str">
            <v>Paramaz Avedisian Building</v>
          </cell>
        </row>
      </sheetData>
      <sheetData sheetId="5774">
        <row r="8">
          <cell r="D8" t="str">
            <v>Paramaz Avedisian Building</v>
          </cell>
        </row>
      </sheetData>
      <sheetData sheetId="5775">
        <row r="8">
          <cell r="D8" t="str">
            <v>Paramaz Avedisian Building</v>
          </cell>
        </row>
      </sheetData>
      <sheetData sheetId="5776">
        <row r="8">
          <cell r="D8" t="str">
            <v>Paramaz Avedisian Building</v>
          </cell>
        </row>
      </sheetData>
      <sheetData sheetId="5777">
        <row r="8">
          <cell r="D8" t="str">
            <v>Paramaz Avedisian Building</v>
          </cell>
        </row>
      </sheetData>
      <sheetData sheetId="5778">
        <row r="8">
          <cell r="D8" t="str">
            <v>Paramaz Avedisian Building</v>
          </cell>
        </row>
      </sheetData>
      <sheetData sheetId="5779">
        <row r="8">
          <cell r="D8" t="str">
            <v>Paramaz Avedisian Building</v>
          </cell>
        </row>
      </sheetData>
      <sheetData sheetId="5780">
        <row r="8">
          <cell r="D8" t="str">
            <v>Paramaz Avedisian Building</v>
          </cell>
        </row>
      </sheetData>
      <sheetData sheetId="5781">
        <row r="8">
          <cell r="D8" t="str">
            <v>Paramaz Avedisian Building</v>
          </cell>
        </row>
      </sheetData>
      <sheetData sheetId="5782">
        <row r="8">
          <cell r="D8" t="str">
            <v>Paramaz Avedisian Building</v>
          </cell>
        </row>
      </sheetData>
      <sheetData sheetId="5783">
        <row r="8">
          <cell r="D8" t="str">
            <v>Paramaz Avedisian Building</v>
          </cell>
        </row>
      </sheetData>
      <sheetData sheetId="5784">
        <row r="8">
          <cell r="D8" t="str">
            <v>Paramaz Avedisian Building</v>
          </cell>
        </row>
      </sheetData>
      <sheetData sheetId="5785">
        <row r="8">
          <cell r="D8" t="str">
            <v>Paramaz Avedisian Building</v>
          </cell>
        </row>
      </sheetData>
      <sheetData sheetId="5786">
        <row r="8">
          <cell r="D8" t="str">
            <v>Paramaz Avedisian Building</v>
          </cell>
        </row>
      </sheetData>
      <sheetData sheetId="5787">
        <row r="8">
          <cell r="D8" t="str">
            <v>Paramaz Avedisian Building</v>
          </cell>
        </row>
      </sheetData>
      <sheetData sheetId="5788">
        <row r="8">
          <cell r="D8" t="str">
            <v>Paramaz Avedisian Building</v>
          </cell>
        </row>
      </sheetData>
      <sheetData sheetId="5789">
        <row r="8">
          <cell r="D8" t="str">
            <v>Paramaz Avedisian Building</v>
          </cell>
        </row>
      </sheetData>
      <sheetData sheetId="5790">
        <row r="8">
          <cell r="D8" t="str">
            <v>Paramaz Avedisian Building</v>
          </cell>
        </row>
      </sheetData>
      <sheetData sheetId="5791">
        <row r="8">
          <cell r="D8" t="str">
            <v>Paramaz Avedisian Building</v>
          </cell>
        </row>
      </sheetData>
      <sheetData sheetId="5792">
        <row r="8">
          <cell r="D8" t="str">
            <v>Paramaz Avedisian Building</v>
          </cell>
        </row>
      </sheetData>
      <sheetData sheetId="5793">
        <row r="8">
          <cell r="D8" t="str">
            <v>Paramaz Avedisian Building</v>
          </cell>
        </row>
      </sheetData>
      <sheetData sheetId="5794">
        <row r="8">
          <cell r="D8" t="str">
            <v>Paramaz Avedisian Building</v>
          </cell>
        </row>
      </sheetData>
      <sheetData sheetId="5795">
        <row r="8">
          <cell r="D8" t="str">
            <v>Paramaz Avedisian Building</v>
          </cell>
        </row>
      </sheetData>
      <sheetData sheetId="5796">
        <row r="8">
          <cell r="D8" t="str">
            <v>Paramaz Avedisian Building</v>
          </cell>
        </row>
      </sheetData>
      <sheetData sheetId="5797">
        <row r="8">
          <cell r="D8" t="str">
            <v>Paramaz Avedisian Building</v>
          </cell>
        </row>
      </sheetData>
      <sheetData sheetId="5798">
        <row r="8">
          <cell r="D8" t="str">
            <v>Paramaz Avedisian Building</v>
          </cell>
        </row>
      </sheetData>
      <sheetData sheetId="5799">
        <row r="8">
          <cell r="D8" t="str">
            <v>Paramaz Avedisian Building</v>
          </cell>
        </row>
      </sheetData>
      <sheetData sheetId="5800">
        <row r="8">
          <cell r="D8" t="str">
            <v>Paramaz Avedisian Building</v>
          </cell>
        </row>
      </sheetData>
      <sheetData sheetId="5801">
        <row r="8">
          <cell r="D8" t="str">
            <v>Paramaz Avedisian Building</v>
          </cell>
        </row>
      </sheetData>
      <sheetData sheetId="5802">
        <row r="8">
          <cell r="D8" t="str">
            <v>Paramaz Avedisian Building</v>
          </cell>
        </row>
      </sheetData>
      <sheetData sheetId="5803">
        <row r="8">
          <cell r="D8" t="str">
            <v>Paramaz Avedisian Building</v>
          </cell>
        </row>
      </sheetData>
      <sheetData sheetId="5804">
        <row r="8">
          <cell r="D8" t="str">
            <v>Paramaz Avedisian Building</v>
          </cell>
        </row>
      </sheetData>
      <sheetData sheetId="5805">
        <row r="8">
          <cell r="D8" t="str">
            <v>Paramaz Avedisian Building</v>
          </cell>
        </row>
      </sheetData>
      <sheetData sheetId="5806">
        <row r="8">
          <cell r="D8" t="str">
            <v>Paramaz Avedisian Building</v>
          </cell>
        </row>
      </sheetData>
      <sheetData sheetId="5807">
        <row r="8">
          <cell r="D8" t="str">
            <v>Paramaz Avedisian Building</v>
          </cell>
        </row>
      </sheetData>
      <sheetData sheetId="5808">
        <row r="8">
          <cell r="D8" t="str">
            <v>Paramaz Avedisian Building</v>
          </cell>
        </row>
      </sheetData>
      <sheetData sheetId="5809">
        <row r="8">
          <cell r="D8" t="str">
            <v>Paramaz Avedisian Building</v>
          </cell>
        </row>
      </sheetData>
      <sheetData sheetId="5810">
        <row r="8">
          <cell r="D8" t="str">
            <v>Paramaz Avedisian Building</v>
          </cell>
        </row>
      </sheetData>
      <sheetData sheetId="5811">
        <row r="8">
          <cell r="D8" t="str">
            <v>Paramaz Avedisian Building</v>
          </cell>
        </row>
      </sheetData>
      <sheetData sheetId="5812">
        <row r="8">
          <cell r="D8" t="str">
            <v>Paramaz Avedisian Building</v>
          </cell>
        </row>
      </sheetData>
      <sheetData sheetId="5813">
        <row r="8">
          <cell r="D8" t="str">
            <v>Paramaz Avedisian Building</v>
          </cell>
        </row>
      </sheetData>
      <sheetData sheetId="5814">
        <row r="8">
          <cell r="D8" t="str">
            <v>Paramaz Avedisian Building</v>
          </cell>
        </row>
      </sheetData>
      <sheetData sheetId="5815">
        <row r="8">
          <cell r="D8" t="str">
            <v>Paramaz Avedisian Building</v>
          </cell>
        </row>
      </sheetData>
      <sheetData sheetId="5816">
        <row r="8">
          <cell r="D8" t="str">
            <v>Paramaz Avedisian Building</v>
          </cell>
        </row>
      </sheetData>
      <sheetData sheetId="5817">
        <row r="8">
          <cell r="D8" t="str">
            <v>Paramaz Avedisian Building</v>
          </cell>
        </row>
      </sheetData>
      <sheetData sheetId="5818">
        <row r="8">
          <cell r="D8" t="str">
            <v>Paramaz Avedisian Building</v>
          </cell>
        </row>
      </sheetData>
      <sheetData sheetId="5819">
        <row r="8">
          <cell r="D8" t="str">
            <v>Paramaz Avedisian Building</v>
          </cell>
        </row>
      </sheetData>
      <sheetData sheetId="5820">
        <row r="8">
          <cell r="D8" t="str">
            <v>Paramaz Avedisian Building</v>
          </cell>
        </row>
      </sheetData>
      <sheetData sheetId="5821">
        <row r="8">
          <cell r="D8" t="str">
            <v>Paramaz Avedisian Building</v>
          </cell>
        </row>
      </sheetData>
      <sheetData sheetId="5822">
        <row r="8">
          <cell r="D8" t="str">
            <v>Paramaz Avedisian Building</v>
          </cell>
        </row>
      </sheetData>
      <sheetData sheetId="5823">
        <row r="8">
          <cell r="D8" t="str">
            <v>Paramaz Avedisian Building</v>
          </cell>
        </row>
      </sheetData>
      <sheetData sheetId="5824">
        <row r="8">
          <cell r="D8" t="str">
            <v>Paramaz Avedisian Building</v>
          </cell>
        </row>
      </sheetData>
      <sheetData sheetId="5825">
        <row r="8">
          <cell r="D8" t="str">
            <v>Paramaz Avedisian Building</v>
          </cell>
        </row>
      </sheetData>
      <sheetData sheetId="5826">
        <row r="8">
          <cell r="D8" t="str">
            <v>Paramaz Avedisian Building</v>
          </cell>
        </row>
      </sheetData>
      <sheetData sheetId="5827">
        <row r="8">
          <cell r="D8" t="str">
            <v>Paramaz Avedisian Building</v>
          </cell>
        </row>
      </sheetData>
      <sheetData sheetId="5828">
        <row r="8">
          <cell r="D8" t="str">
            <v>Paramaz Avedisian Building</v>
          </cell>
        </row>
      </sheetData>
      <sheetData sheetId="5829">
        <row r="8">
          <cell r="D8" t="str">
            <v>Paramaz Avedisian Building</v>
          </cell>
        </row>
      </sheetData>
      <sheetData sheetId="5830">
        <row r="8">
          <cell r="D8" t="str">
            <v>Paramaz Avedisian Building</v>
          </cell>
        </row>
      </sheetData>
      <sheetData sheetId="5831">
        <row r="8">
          <cell r="D8" t="str">
            <v>Paramaz Avedisian Building</v>
          </cell>
        </row>
      </sheetData>
      <sheetData sheetId="5832">
        <row r="8">
          <cell r="D8" t="str">
            <v>Paramaz Avedisian Building</v>
          </cell>
        </row>
      </sheetData>
      <sheetData sheetId="5833">
        <row r="8">
          <cell r="D8" t="str">
            <v>Paramaz Avedisian Building</v>
          </cell>
        </row>
      </sheetData>
      <sheetData sheetId="5834">
        <row r="8">
          <cell r="D8" t="str">
            <v>Paramaz Avedisian Building</v>
          </cell>
        </row>
      </sheetData>
      <sheetData sheetId="5835">
        <row r="8">
          <cell r="D8" t="str">
            <v>Paramaz Avedisian Building</v>
          </cell>
        </row>
      </sheetData>
      <sheetData sheetId="5836">
        <row r="8">
          <cell r="D8" t="str">
            <v>Paramaz Avedisian Building</v>
          </cell>
        </row>
      </sheetData>
      <sheetData sheetId="5837">
        <row r="8">
          <cell r="D8" t="str">
            <v>Paramaz Avedisian Building</v>
          </cell>
        </row>
      </sheetData>
      <sheetData sheetId="5838">
        <row r="8">
          <cell r="D8" t="str">
            <v>Paramaz Avedisian Building</v>
          </cell>
        </row>
      </sheetData>
      <sheetData sheetId="5839">
        <row r="8">
          <cell r="D8" t="str">
            <v>Paramaz Avedisian Building</v>
          </cell>
        </row>
      </sheetData>
      <sheetData sheetId="5840">
        <row r="8">
          <cell r="D8" t="str">
            <v>Paramaz Avedisian Building</v>
          </cell>
        </row>
      </sheetData>
      <sheetData sheetId="5841">
        <row r="8">
          <cell r="D8" t="str">
            <v>Paramaz Avedisian Building</v>
          </cell>
        </row>
      </sheetData>
      <sheetData sheetId="5842">
        <row r="8">
          <cell r="D8" t="str">
            <v>Paramaz Avedisian Building</v>
          </cell>
        </row>
      </sheetData>
      <sheetData sheetId="5843">
        <row r="8">
          <cell r="D8" t="str">
            <v>Paramaz Avedisian Building</v>
          </cell>
        </row>
      </sheetData>
      <sheetData sheetId="5844">
        <row r="8">
          <cell r="D8" t="str">
            <v>Paramaz Avedisian Building</v>
          </cell>
        </row>
      </sheetData>
      <sheetData sheetId="5845">
        <row r="8">
          <cell r="D8" t="str">
            <v>Paramaz Avedisian Building</v>
          </cell>
        </row>
      </sheetData>
      <sheetData sheetId="5846">
        <row r="8">
          <cell r="D8" t="str">
            <v>Paramaz Avedisian Building</v>
          </cell>
        </row>
      </sheetData>
      <sheetData sheetId="5847">
        <row r="8">
          <cell r="D8" t="str">
            <v>Paramaz Avedisian Building</v>
          </cell>
        </row>
      </sheetData>
      <sheetData sheetId="5848">
        <row r="8">
          <cell r="D8" t="str">
            <v>Paramaz Avedisian Building</v>
          </cell>
        </row>
      </sheetData>
      <sheetData sheetId="5849">
        <row r="8">
          <cell r="D8" t="str">
            <v>Paramaz Avedisian Building</v>
          </cell>
        </row>
      </sheetData>
      <sheetData sheetId="5850">
        <row r="8">
          <cell r="D8" t="str">
            <v>Paramaz Avedisian Building</v>
          </cell>
        </row>
      </sheetData>
      <sheetData sheetId="5851">
        <row r="8">
          <cell r="D8" t="str">
            <v>Paramaz Avedisian Building</v>
          </cell>
        </row>
      </sheetData>
      <sheetData sheetId="5852">
        <row r="8">
          <cell r="D8" t="str">
            <v>Paramaz Avedisian Building</v>
          </cell>
        </row>
      </sheetData>
      <sheetData sheetId="5853">
        <row r="8">
          <cell r="D8" t="str">
            <v>Paramaz Avedisian Building</v>
          </cell>
        </row>
      </sheetData>
      <sheetData sheetId="5854">
        <row r="8">
          <cell r="D8" t="str">
            <v>Paramaz Avedisian Building</v>
          </cell>
        </row>
      </sheetData>
      <sheetData sheetId="5855">
        <row r="8">
          <cell r="D8" t="str">
            <v>Paramaz Avedisian Building</v>
          </cell>
        </row>
      </sheetData>
      <sheetData sheetId="5856">
        <row r="8">
          <cell r="D8" t="str">
            <v>Paramaz Avedisian Building</v>
          </cell>
        </row>
      </sheetData>
      <sheetData sheetId="5857">
        <row r="8">
          <cell r="D8" t="str">
            <v>Paramaz Avedisian Building</v>
          </cell>
        </row>
      </sheetData>
      <sheetData sheetId="5858">
        <row r="8">
          <cell r="D8" t="str">
            <v>Paramaz Avedisian Building</v>
          </cell>
        </row>
      </sheetData>
      <sheetData sheetId="5859">
        <row r="8">
          <cell r="D8" t="str">
            <v>Paramaz Avedisian Building</v>
          </cell>
        </row>
      </sheetData>
      <sheetData sheetId="5860">
        <row r="8">
          <cell r="D8" t="str">
            <v>Paramaz Avedisian Building</v>
          </cell>
        </row>
      </sheetData>
      <sheetData sheetId="5861">
        <row r="8">
          <cell r="D8" t="str">
            <v>Paramaz Avedisian Building</v>
          </cell>
        </row>
      </sheetData>
      <sheetData sheetId="5862">
        <row r="8">
          <cell r="D8" t="str">
            <v>Paramaz Avedisian Building</v>
          </cell>
        </row>
      </sheetData>
      <sheetData sheetId="5863">
        <row r="8">
          <cell r="D8" t="str">
            <v>Paramaz Avedisian Building</v>
          </cell>
        </row>
      </sheetData>
      <sheetData sheetId="5864">
        <row r="8">
          <cell r="D8" t="str">
            <v>Paramaz Avedisian Building</v>
          </cell>
        </row>
      </sheetData>
      <sheetData sheetId="5865">
        <row r="8">
          <cell r="D8" t="str">
            <v>Paramaz Avedisian Building</v>
          </cell>
        </row>
      </sheetData>
      <sheetData sheetId="5866">
        <row r="8">
          <cell r="D8" t="str">
            <v>Paramaz Avedisian Building</v>
          </cell>
        </row>
      </sheetData>
      <sheetData sheetId="5867">
        <row r="8">
          <cell r="D8" t="str">
            <v>Paramaz Avedisian Building</v>
          </cell>
        </row>
      </sheetData>
      <sheetData sheetId="5868">
        <row r="8">
          <cell r="D8" t="str">
            <v>Paramaz Avedisian Building</v>
          </cell>
        </row>
      </sheetData>
      <sheetData sheetId="5869">
        <row r="8">
          <cell r="D8" t="str">
            <v>Paramaz Avedisian Building</v>
          </cell>
        </row>
      </sheetData>
      <sheetData sheetId="5870">
        <row r="8">
          <cell r="D8" t="str">
            <v>Paramaz Avedisian Building</v>
          </cell>
        </row>
      </sheetData>
      <sheetData sheetId="5871">
        <row r="8">
          <cell r="D8" t="str">
            <v>Paramaz Avedisian Building</v>
          </cell>
        </row>
      </sheetData>
      <sheetData sheetId="5872">
        <row r="8">
          <cell r="D8" t="str">
            <v>Paramaz Avedisian Building</v>
          </cell>
        </row>
      </sheetData>
      <sheetData sheetId="5873">
        <row r="8">
          <cell r="D8" t="str">
            <v>Paramaz Avedisian Building</v>
          </cell>
        </row>
      </sheetData>
      <sheetData sheetId="5874">
        <row r="8">
          <cell r="D8" t="str">
            <v>Paramaz Avedisian Building</v>
          </cell>
        </row>
      </sheetData>
      <sheetData sheetId="5875">
        <row r="8">
          <cell r="D8" t="str">
            <v>Paramaz Avedisian Building</v>
          </cell>
        </row>
      </sheetData>
      <sheetData sheetId="5876">
        <row r="8">
          <cell r="D8" t="str">
            <v>Paramaz Avedisian Building</v>
          </cell>
        </row>
      </sheetData>
      <sheetData sheetId="5877">
        <row r="8">
          <cell r="D8" t="str">
            <v>Paramaz Avedisian Building</v>
          </cell>
        </row>
      </sheetData>
      <sheetData sheetId="5878">
        <row r="8">
          <cell r="D8" t="str">
            <v>Paramaz Avedisian Building</v>
          </cell>
        </row>
      </sheetData>
      <sheetData sheetId="5879">
        <row r="8">
          <cell r="D8" t="str">
            <v>Paramaz Avedisian Building</v>
          </cell>
        </row>
      </sheetData>
      <sheetData sheetId="5880">
        <row r="8">
          <cell r="D8" t="str">
            <v>Paramaz Avedisian Building</v>
          </cell>
        </row>
      </sheetData>
      <sheetData sheetId="5881">
        <row r="8">
          <cell r="D8" t="str">
            <v>Paramaz Avedisian Building</v>
          </cell>
        </row>
      </sheetData>
      <sheetData sheetId="5882">
        <row r="8">
          <cell r="D8" t="str">
            <v>Paramaz Avedisian Building</v>
          </cell>
        </row>
      </sheetData>
      <sheetData sheetId="5883">
        <row r="8">
          <cell r="D8" t="str">
            <v>Paramaz Avedisian Building</v>
          </cell>
        </row>
      </sheetData>
      <sheetData sheetId="5884">
        <row r="8">
          <cell r="D8" t="str">
            <v>Paramaz Avedisian Building</v>
          </cell>
        </row>
      </sheetData>
      <sheetData sheetId="5885">
        <row r="8">
          <cell r="D8" t="str">
            <v>Paramaz Avedisian Building</v>
          </cell>
        </row>
      </sheetData>
      <sheetData sheetId="5886">
        <row r="8">
          <cell r="D8" t="str">
            <v>Paramaz Avedisian Building</v>
          </cell>
        </row>
      </sheetData>
      <sheetData sheetId="5887">
        <row r="8">
          <cell r="D8" t="str">
            <v>Paramaz Avedisian Building</v>
          </cell>
        </row>
      </sheetData>
      <sheetData sheetId="5888">
        <row r="8">
          <cell r="D8" t="str">
            <v>Paramaz Avedisian Building</v>
          </cell>
        </row>
      </sheetData>
      <sheetData sheetId="5889">
        <row r="8">
          <cell r="D8" t="str">
            <v>Paramaz Avedisian Building</v>
          </cell>
        </row>
      </sheetData>
      <sheetData sheetId="5890">
        <row r="8">
          <cell r="D8" t="str">
            <v>Paramaz Avedisian Building</v>
          </cell>
        </row>
      </sheetData>
      <sheetData sheetId="5891">
        <row r="8">
          <cell r="D8" t="str">
            <v>Paramaz Avedisian Building</v>
          </cell>
        </row>
      </sheetData>
      <sheetData sheetId="5892">
        <row r="8">
          <cell r="D8" t="str">
            <v>Paramaz Avedisian Building</v>
          </cell>
        </row>
      </sheetData>
      <sheetData sheetId="5893">
        <row r="8">
          <cell r="D8" t="str">
            <v>Paramaz Avedisian Building</v>
          </cell>
        </row>
      </sheetData>
      <sheetData sheetId="5894">
        <row r="8">
          <cell r="D8" t="str">
            <v>Paramaz Avedisian Building</v>
          </cell>
        </row>
      </sheetData>
      <sheetData sheetId="5895">
        <row r="8">
          <cell r="D8" t="str">
            <v>Paramaz Avedisian Building</v>
          </cell>
        </row>
      </sheetData>
      <sheetData sheetId="5896">
        <row r="8">
          <cell r="D8" t="str">
            <v>Paramaz Avedisian Building</v>
          </cell>
        </row>
      </sheetData>
      <sheetData sheetId="5897">
        <row r="8">
          <cell r="D8" t="str">
            <v>Paramaz Avedisian Building</v>
          </cell>
        </row>
      </sheetData>
      <sheetData sheetId="5898">
        <row r="8">
          <cell r="D8" t="str">
            <v>Paramaz Avedisian Building</v>
          </cell>
        </row>
      </sheetData>
      <sheetData sheetId="5899">
        <row r="8">
          <cell r="D8" t="str">
            <v>Paramaz Avedisian Building</v>
          </cell>
        </row>
      </sheetData>
      <sheetData sheetId="5900">
        <row r="8">
          <cell r="D8" t="str">
            <v>Paramaz Avedisian Building</v>
          </cell>
        </row>
      </sheetData>
      <sheetData sheetId="5901">
        <row r="8">
          <cell r="D8" t="str">
            <v>Paramaz Avedisian Building</v>
          </cell>
        </row>
      </sheetData>
      <sheetData sheetId="5902">
        <row r="8">
          <cell r="D8" t="str">
            <v>Paramaz Avedisian Building</v>
          </cell>
        </row>
      </sheetData>
      <sheetData sheetId="5903">
        <row r="8">
          <cell r="D8" t="str">
            <v>Paramaz Avedisian Building</v>
          </cell>
        </row>
      </sheetData>
      <sheetData sheetId="5904">
        <row r="8">
          <cell r="D8" t="str">
            <v>Paramaz Avedisian Building</v>
          </cell>
        </row>
      </sheetData>
      <sheetData sheetId="5905">
        <row r="8">
          <cell r="D8" t="str">
            <v>Paramaz Avedisian Building</v>
          </cell>
        </row>
      </sheetData>
      <sheetData sheetId="5906">
        <row r="8">
          <cell r="D8" t="str">
            <v>Paramaz Avedisian Building</v>
          </cell>
        </row>
      </sheetData>
      <sheetData sheetId="5907">
        <row r="8">
          <cell r="D8" t="str">
            <v>Paramaz Avedisian Building</v>
          </cell>
        </row>
      </sheetData>
      <sheetData sheetId="5908">
        <row r="8">
          <cell r="D8" t="str">
            <v>Paramaz Avedisian Building</v>
          </cell>
        </row>
      </sheetData>
      <sheetData sheetId="5909">
        <row r="8">
          <cell r="D8" t="str">
            <v>Paramaz Avedisian Building</v>
          </cell>
        </row>
      </sheetData>
      <sheetData sheetId="5910">
        <row r="8">
          <cell r="D8" t="str">
            <v>Paramaz Avedisian Building</v>
          </cell>
        </row>
      </sheetData>
      <sheetData sheetId="5911">
        <row r="8">
          <cell r="D8" t="str">
            <v>Paramaz Avedisian Building</v>
          </cell>
        </row>
      </sheetData>
      <sheetData sheetId="5912">
        <row r="8">
          <cell r="D8" t="str">
            <v>Paramaz Avedisian Building</v>
          </cell>
        </row>
      </sheetData>
      <sheetData sheetId="5913">
        <row r="8">
          <cell r="D8" t="str">
            <v>Paramaz Avedisian Building</v>
          </cell>
        </row>
      </sheetData>
      <sheetData sheetId="5914">
        <row r="8">
          <cell r="D8" t="str">
            <v>Paramaz Avedisian Building</v>
          </cell>
        </row>
      </sheetData>
      <sheetData sheetId="5915">
        <row r="8">
          <cell r="D8" t="str">
            <v>Paramaz Avedisian Building</v>
          </cell>
        </row>
      </sheetData>
      <sheetData sheetId="5916">
        <row r="8">
          <cell r="D8" t="str">
            <v>Paramaz Avedisian Building</v>
          </cell>
        </row>
      </sheetData>
      <sheetData sheetId="5917">
        <row r="8">
          <cell r="D8" t="str">
            <v>Paramaz Avedisian Building</v>
          </cell>
        </row>
      </sheetData>
      <sheetData sheetId="5918">
        <row r="8">
          <cell r="D8" t="str">
            <v>Paramaz Avedisian Building</v>
          </cell>
        </row>
      </sheetData>
      <sheetData sheetId="5919">
        <row r="8">
          <cell r="D8" t="str">
            <v>Paramaz Avedisian Building</v>
          </cell>
        </row>
      </sheetData>
      <sheetData sheetId="5920">
        <row r="8">
          <cell r="D8" t="str">
            <v>Paramaz Avedisian Building</v>
          </cell>
        </row>
      </sheetData>
      <sheetData sheetId="5921">
        <row r="8">
          <cell r="D8" t="str">
            <v>Paramaz Avedisian Building</v>
          </cell>
        </row>
      </sheetData>
      <sheetData sheetId="5922">
        <row r="8">
          <cell r="D8" t="str">
            <v>Paramaz Avedisian Building</v>
          </cell>
        </row>
      </sheetData>
      <sheetData sheetId="5923">
        <row r="8">
          <cell r="D8" t="str">
            <v>Paramaz Avedisian Building</v>
          </cell>
        </row>
      </sheetData>
      <sheetData sheetId="5924">
        <row r="8">
          <cell r="D8" t="str">
            <v>Paramaz Avedisian Building</v>
          </cell>
        </row>
      </sheetData>
      <sheetData sheetId="5925">
        <row r="8">
          <cell r="D8" t="str">
            <v>Paramaz Avedisian Building</v>
          </cell>
        </row>
      </sheetData>
      <sheetData sheetId="5926">
        <row r="8">
          <cell r="D8" t="str">
            <v>Paramaz Avedisian Building</v>
          </cell>
        </row>
      </sheetData>
      <sheetData sheetId="5927">
        <row r="8">
          <cell r="D8" t="str">
            <v>Paramaz Avedisian Building</v>
          </cell>
        </row>
      </sheetData>
      <sheetData sheetId="5928">
        <row r="8">
          <cell r="D8" t="str">
            <v>Paramaz Avedisian Building</v>
          </cell>
        </row>
      </sheetData>
      <sheetData sheetId="5929">
        <row r="8">
          <cell r="D8" t="str">
            <v>Paramaz Avedisian Building</v>
          </cell>
        </row>
      </sheetData>
      <sheetData sheetId="5930">
        <row r="8">
          <cell r="D8" t="str">
            <v>Paramaz Avedisian Building</v>
          </cell>
        </row>
      </sheetData>
      <sheetData sheetId="5931">
        <row r="8">
          <cell r="D8" t="str">
            <v>Paramaz Avedisian Building</v>
          </cell>
        </row>
      </sheetData>
      <sheetData sheetId="5932">
        <row r="8">
          <cell r="D8" t="str">
            <v>Paramaz Avedisian Building</v>
          </cell>
        </row>
      </sheetData>
      <sheetData sheetId="5933">
        <row r="8">
          <cell r="D8" t="str">
            <v>Paramaz Avedisian Building</v>
          </cell>
        </row>
      </sheetData>
      <sheetData sheetId="5934">
        <row r="8">
          <cell r="D8" t="str">
            <v>Paramaz Avedisian Building</v>
          </cell>
        </row>
      </sheetData>
      <sheetData sheetId="5935">
        <row r="8">
          <cell r="D8" t="str">
            <v>Paramaz Avedisian Building</v>
          </cell>
        </row>
      </sheetData>
      <sheetData sheetId="5936">
        <row r="8">
          <cell r="D8" t="str">
            <v>Paramaz Avedisian Building</v>
          </cell>
        </row>
      </sheetData>
      <sheetData sheetId="5937">
        <row r="8">
          <cell r="D8" t="str">
            <v>Paramaz Avedisian Building</v>
          </cell>
        </row>
      </sheetData>
      <sheetData sheetId="5938">
        <row r="8">
          <cell r="D8" t="str">
            <v>Paramaz Avedisian Building</v>
          </cell>
        </row>
      </sheetData>
      <sheetData sheetId="5939">
        <row r="8">
          <cell r="D8" t="str">
            <v>Paramaz Avedisian Building</v>
          </cell>
        </row>
      </sheetData>
      <sheetData sheetId="5940"/>
      <sheetData sheetId="5941"/>
      <sheetData sheetId="5942"/>
      <sheetData sheetId="5943"/>
      <sheetData sheetId="5944"/>
      <sheetData sheetId="5945"/>
      <sheetData sheetId="5946"/>
      <sheetData sheetId="5947">
        <row r="8">
          <cell r="D8" t="str">
            <v>Paramaz Avedisian Building</v>
          </cell>
        </row>
      </sheetData>
      <sheetData sheetId="5948"/>
      <sheetData sheetId="5949"/>
      <sheetData sheetId="5950"/>
      <sheetData sheetId="5951">
        <row r="8">
          <cell r="D8" t="str">
            <v>Paramaz Avedisian Building</v>
          </cell>
        </row>
      </sheetData>
      <sheetData sheetId="5952">
        <row r="8">
          <cell r="D8" t="str">
            <v>Paramaz Avedisian Building</v>
          </cell>
        </row>
      </sheetData>
      <sheetData sheetId="5953"/>
      <sheetData sheetId="5954"/>
      <sheetData sheetId="5955">
        <row r="8">
          <cell r="D8" t="str">
            <v>Paramaz Avedisian Building</v>
          </cell>
        </row>
      </sheetData>
      <sheetData sheetId="5956">
        <row r="8">
          <cell r="D8" t="str">
            <v>Paramaz Avedisian Building</v>
          </cell>
        </row>
      </sheetData>
      <sheetData sheetId="5957">
        <row r="8">
          <cell r="D8" t="str">
            <v>Paramaz Avedisian Building</v>
          </cell>
        </row>
      </sheetData>
      <sheetData sheetId="5958">
        <row r="8">
          <cell r="D8" t="str">
            <v>Paramaz Avedisian Building</v>
          </cell>
        </row>
      </sheetData>
      <sheetData sheetId="5959">
        <row r="8">
          <cell r="D8" t="str">
            <v>Paramaz Avedisian Building</v>
          </cell>
        </row>
      </sheetData>
      <sheetData sheetId="5960"/>
      <sheetData sheetId="5961">
        <row r="8">
          <cell r="D8" t="str">
            <v>Paramaz Avedisian Building</v>
          </cell>
        </row>
      </sheetData>
      <sheetData sheetId="5962">
        <row r="8">
          <cell r="D8" t="str">
            <v>Paramaz Avedisian Building</v>
          </cell>
        </row>
      </sheetData>
      <sheetData sheetId="5963">
        <row r="8">
          <cell r="D8" t="str">
            <v>Paramaz Avedisian Building</v>
          </cell>
        </row>
      </sheetData>
      <sheetData sheetId="5964">
        <row r="8">
          <cell r="D8" t="str">
            <v>Paramaz Avedisian Building</v>
          </cell>
        </row>
      </sheetData>
      <sheetData sheetId="5965">
        <row r="8">
          <cell r="D8" t="str">
            <v>Paramaz Avedisian Building</v>
          </cell>
        </row>
      </sheetData>
      <sheetData sheetId="5966">
        <row r="8">
          <cell r="D8" t="str">
            <v>Paramaz Avedisian Building</v>
          </cell>
        </row>
      </sheetData>
      <sheetData sheetId="5967">
        <row r="8">
          <cell r="D8" t="str">
            <v>Paramaz Avedisian Building</v>
          </cell>
        </row>
      </sheetData>
      <sheetData sheetId="5968">
        <row r="8">
          <cell r="D8" t="str">
            <v>Paramaz Avedisian Building</v>
          </cell>
        </row>
      </sheetData>
      <sheetData sheetId="5969">
        <row r="8">
          <cell r="D8" t="str">
            <v>Paramaz Avedisian Building</v>
          </cell>
        </row>
      </sheetData>
      <sheetData sheetId="5970">
        <row r="8">
          <cell r="D8" t="str">
            <v>Paramaz Avedisian Building</v>
          </cell>
        </row>
      </sheetData>
      <sheetData sheetId="5971">
        <row r="8">
          <cell r="D8" t="str">
            <v>Paramaz Avedisian Building</v>
          </cell>
        </row>
      </sheetData>
      <sheetData sheetId="5972">
        <row r="8">
          <cell r="D8" t="str">
            <v>Paramaz Avedisian Building</v>
          </cell>
        </row>
      </sheetData>
      <sheetData sheetId="5973">
        <row r="8">
          <cell r="D8" t="str">
            <v>Paramaz Avedisian Building</v>
          </cell>
        </row>
      </sheetData>
      <sheetData sheetId="5974">
        <row r="8">
          <cell r="D8" t="str">
            <v>Paramaz Avedisian Building</v>
          </cell>
        </row>
      </sheetData>
      <sheetData sheetId="5975">
        <row r="8">
          <cell r="D8" t="str">
            <v>Paramaz Avedisian Building</v>
          </cell>
        </row>
      </sheetData>
      <sheetData sheetId="5976">
        <row r="8">
          <cell r="D8" t="str">
            <v>Paramaz Avedisian Building</v>
          </cell>
        </row>
      </sheetData>
      <sheetData sheetId="5977">
        <row r="8">
          <cell r="D8" t="str">
            <v>Paramaz Avedisian Building</v>
          </cell>
        </row>
      </sheetData>
      <sheetData sheetId="5978">
        <row r="8">
          <cell r="D8" t="str">
            <v>Paramaz Avedisian Building</v>
          </cell>
        </row>
      </sheetData>
      <sheetData sheetId="5979">
        <row r="8">
          <cell r="D8" t="str">
            <v>Paramaz Avedisian Building</v>
          </cell>
        </row>
      </sheetData>
      <sheetData sheetId="5980">
        <row r="8">
          <cell r="D8" t="str">
            <v>Paramaz Avedisian Building</v>
          </cell>
        </row>
      </sheetData>
      <sheetData sheetId="5981">
        <row r="8">
          <cell r="D8" t="str">
            <v>Paramaz Avedisian Building</v>
          </cell>
        </row>
      </sheetData>
      <sheetData sheetId="5982">
        <row r="8">
          <cell r="D8" t="str">
            <v>Paramaz Avedisian Building</v>
          </cell>
        </row>
      </sheetData>
      <sheetData sheetId="5983">
        <row r="8">
          <cell r="D8" t="str">
            <v>Paramaz Avedisian Building</v>
          </cell>
        </row>
      </sheetData>
      <sheetData sheetId="5984">
        <row r="8">
          <cell r="D8" t="str">
            <v>Paramaz Avedisian Building</v>
          </cell>
        </row>
      </sheetData>
      <sheetData sheetId="5985">
        <row r="8">
          <cell r="D8" t="str">
            <v>Paramaz Avedisian Building</v>
          </cell>
        </row>
      </sheetData>
      <sheetData sheetId="5986">
        <row r="8">
          <cell r="D8" t="str">
            <v>Paramaz Avedisian Building</v>
          </cell>
        </row>
      </sheetData>
      <sheetData sheetId="5987">
        <row r="8">
          <cell r="D8" t="str">
            <v>Paramaz Avedisian Building</v>
          </cell>
        </row>
      </sheetData>
      <sheetData sheetId="5988">
        <row r="8">
          <cell r="D8" t="str">
            <v>Paramaz Avedisian Building</v>
          </cell>
        </row>
      </sheetData>
      <sheetData sheetId="5989">
        <row r="8">
          <cell r="D8" t="str">
            <v>Paramaz Avedisian Building</v>
          </cell>
        </row>
      </sheetData>
      <sheetData sheetId="5990">
        <row r="8">
          <cell r="D8" t="str">
            <v>Paramaz Avedisian Building</v>
          </cell>
        </row>
      </sheetData>
      <sheetData sheetId="5991">
        <row r="8">
          <cell r="D8" t="str">
            <v>Paramaz Avedisian Building</v>
          </cell>
        </row>
      </sheetData>
      <sheetData sheetId="5992">
        <row r="8">
          <cell r="D8" t="str">
            <v>Paramaz Avedisian Building</v>
          </cell>
        </row>
      </sheetData>
      <sheetData sheetId="5993">
        <row r="8">
          <cell r="D8" t="str">
            <v>Paramaz Avedisian Building</v>
          </cell>
        </row>
      </sheetData>
      <sheetData sheetId="5994">
        <row r="8">
          <cell r="D8" t="str">
            <v>Paramaz Avedisian Building</v>
          </cell>
        </row>
      </sheetData>
      <sheetData sheetId="5995">
        <row r="8">
          <cell r="D8" t="str">
            <v>Paramaz Avedisian Building</v>
          </cell>
        </row>
      </sheetData>
      <sheetData sheetId="5996">
        <row r="8">
          <cell r="D8" t="str">
            <v>Paramaz Avedisian Building</v>
          </cell>
        </row>
      </sheetData>
      <sheetData sheetId="5997">
        <row r="8">
          <cell r="D8" t="str">
            <v>Paramaz Avedisian Building</v>
          </cell>
        </row>
      </sheetData>
      <sheetData sheetId="5998">
        <row r="8">
          <cell r="D8" t="str">
            <v>Paramaz Avedisian Building</v>
          </cell>
        </row>
      </sheetData>
      <sheetData sheetId="5999">
        <row r="8">
          <cell r="D8" t="str">
            <v>Paramaz Avedisian Building</v>
          </cell>
        </row>
      </sheetData>
      <sheetData sheetId="6000">
        <row r="8">
          <cell r="D8" t="str">
            <v>Paramaz Avedisian Building</v>
          </cell>
        </row>
      </sheetData>
      <sheetData sheetId="6001">
        <row r="8">
          <cell r="D8" t="str">
            <v>Paramaz Avedisian Building</v>
          </cell>
        </row>
      </sheetData>
      <sheetData sheetId="6002">
        <row r="8">
          <cell r="D8" t="str">
            <v>Paramaz Avedisian Building</v>
          </cell>
        </row>
      </sheetData>
      <sheetData sheetId="6003">
        <row r="8">
          <cell r="D8" t="str">
            <v>Paramaz Avedisian Building</v>
          </cell>
        </row>
      </sheetData>
      <sheetData sheetId="6004">
        <row r="8">
          <cell r="D8" t="str">
            <v>Paramaz Avedisian Building</v>
          </cell>
        </row>
      </sheetData>
      <sheetData sheetId="6005">
        <row r="8">
          <cell r="D8" t="str">
            <v>Paramaz Avedisian Building</v>
          </cell>
        </row>
      </sheetData>
      <sheetData sheetId="6006">
        <row r="8">
          <cell r="D8" t="str">
            <v>Paramaz Avedisian Building</v>
          </cell>
        </row>
      </sheetData>
      <sheetData sheetId="6007">
        <row r="8">
          <cell r="D8" t="str">
            <v>Paramaz Avedisian Building</v>
          </cell>
        </row>
      </sheetData>
      <sheetData sheetId="6008">
        <row r="8">
          <cell r="D8" t="str">
            <v>Paramaz Avedisian Building</v>
          </cell>
        </row>
      </sheetData>
      <sheetData sheetId="6009">
        <row r="8">
          <cell r="D8" t="str">
            <v>Paramaz Avedisian Building</v>
          </cell>
        </row>
      </sheetData>
      <sheetData sheetId="6010">
        <row r="8">
          <cell r="D8" t="str">
            <v>Paramaz Avedisian Building</v>
          </cell>
        </row>
      </sheetData>
      <sheetData sheetId="6011">
        <row r="8">
          <cell r="D8" t="str">
            <v>Paramaz Avedisian Building</v>
          </cell>
        </row>
      </sheetData>
      <sheetData sheetId="6012">
        <row r="8">
          <cell r="D8" t="str">
            <v>Paramaz Avedisian Building</v>
          </cell>
        </row>
      </sheetData>
      <sheetData sheetId="6013">
        <row r="8">
          <cell r="D8" t="str">
            <v>Paramaz Avedisian Building</v>
          </cell>
        </row>
      </sheetData>
      <sheetData sheetId="6014">
        <row r="8">
          <cell r="D8" t="str">
            <v>Paramaz Avedisian Building</v>
          </cell>
        </row>
      </sheetData>
      <sheetData sheetId="6015">
        <row r="8">
          <cell r="D8" t="str">
            <v>Paramaz Avedisian Building</v>
          </cell>
        </row>
      </sheetData>
      <sheetData sheetId="6016">
        <row r="8">
          <cell r="D8" t="str">
            <v>Paramaz Avedisian Building</v>
          </cell>
        </row>
      </sheetData>
      <sheetData sheetId="6017">
        <row r="8">
          <cell r="D8" t="str">
            <v>Paramaz Avedisian Building</v>
          </cell>
        </row>
      </sheetData>
      <sheetData sheetId="6018">
        <row r="8">
          <cell r="D8" t="str">
            <v>Paramaz Avedisian Building</v>
          </cell>
        </row>
      </sheetData>
      <sheetData sheetId="6019">
        <row r="8">
          <cell r="D8" t="str">
            <v>Paramaz Avedisian Building</v>
          </cell>
        </row>
      </sheetData>
      <sheetData sheetId="6020">
        <row r="8">
          <cell r="D8" t="str">
            <v>Paramaz Avedisian Building</v>
          </cell>
        </row>
      </sheetData>
      <sheetData sheetId="6021">
        <row r="8">
          <cell r="D8" t="str">
            <v>Paramaz Avedisian Building</v>
          </cell>
        </row>
      </sheetData>
      <sheetData sheetId="6022">
        <row r="8">
          <cell r="D8" t="str">
            <v>Paramaz Avedisian Building</v>
          </cell>
        </row>
      </sheetData>
      <sheetData sheetId="6023">
        <row r="8">
          <cell r="D8" t="str">
            <v>Paramaz Avedisian Building</v>
          </cell>
        </row>
      </sheetData>
      <sheetData sheetId="6024">
        <row r="8">
          <cell r="D8" t="str">
            <v>Paramaz Avedisian Building</v>
          </cell>
        </row>
      </sheetData>
      <sheetData sheetId="6025">
        <row r="8">
          <cell r="D8" t="str">
            <v>Paramaz Avedisian Building</v>
          </cell>
        </row>
      </sheetData>
      <sheetData sheetId="6026">
        <row r="8">
          <cell r="D8" t="str">
            <v>Paramaz Avedisian Building</v>
          </cell>
        </row>
      </sheetData>
      <sheetData sheetId="6027">
        <row r="8">
          <cell r="D8" t="str">
            <v>Paramaz Avedisian Building</v>
          </cell>
        </row>
      </sheetData>
      <sheetData sheetId="6028">
        <row r="8">
          <cell r="D8" t="str">
            <v>Paramaz Avedisian Building</v>
          </cell>
        </row>
      </sheetData>
      <sheetData sheetId="6029">
        <row r="8">
          <cell r="D8" t="str">
            <v>Paramaz Avedisian Building</v>
          </cell>
        </row>
      </sheetData>
      <sheetData sheetId="6030">
        <row r="8">
          <cell r="D8" t="str">
            <v>Paramaz Avedisian Building</v>
          </cell>
        </row>
      </sheetData>
      <sheetData sheetId="6031">
        <row r="8">
          <cell r="D8" t="str">
            <v>Paramaz Avedisian Building</v>
          </cell>
        </row>
      </sheetData>
      <sheetData sheetId="6032">
        <row r="8">
          <cell r="D8" t="str">
            <v>Paramaz Avedisian Building</v>
          </cell>
        </row>
      </sheetData>
      <sheetData sheetId="6033">
        <row r="8">
          <cell r="D8" t="str">
            <v>Paramaz Avedisian Building</v>
          </cell>
        </row>
      </sheetData>
      <sheetData sheetId="6034">
        <row r="8">
          <cell r="D8" t="str">
            <v>Paramaz Avedisian Building</v>
          </cell>
        </row>
      </sheetData>
      <sheetData sheetId="6035">
        <row r="8">
          <cell r="D8" t="str">
            <v>Paramaz Avedisian Building</v>
          </cell>
        </row>
      </sheetData>
      <sheetData sheetId="6036">
        <row r="8">
          <cell r="D8" t="str">
            <v>Paramaz Avedisian Building</v>
          </cell>
        </row>
      </sheetData>
      <sheetData sheetId="6037">
        <row r="8">
          <cell r="D8" t="str">
            <v>Paramaz Avedisian Building</v>
          </cell>
        </row>
      </sheetData>
      <sheetData sheetId="6038">
        <row r="8">
          <cell r="D8" t="str">
            <v>Paramaz Avedisian Building</v>
          </cell>
        </row>
      </sheetData>
      <sheetData sheetId="6039">
        <row r="8">
          <cell r="D8" t="str">
            <v>Paramaz Avedisian Building</v>
          </cell>
        </row>
      </sheetData>
      <sheetData sheetId="6040">
        <row r="8">
          <cell r="D8" t="str">
            <v>Paramaz Avedisian Building</v>
          </cell>
        </row>
      </sheetData>
      <sheetData sheetId="6041">
        <row r="8">
          <cell r="D8" t="str">
            <v>Paramaz Avedisian Building</v>
          </cell>
        </row>
      </sheetData>
      <sheetData sheetId="6042">
        <row r="8">
          <cell r="D8" t="str">
            <v>Paramaz Avedisian Building</v>
          </cell>
        </row>
      </sheetData>
      <sheetData sheetId="6043">
        <row r="8">
          <cell r="D8" t="str">
            <v>Paramaz Avedisian Building</v>
          </cell>
        </row>
      </sheetData>
      <sheetData sheetId="6044">
        <row r="8">
          <cell r="D8" t="str">
            <v>Paramaz Avedisian Building</v>
          </cell>
        </row>
      </sheetData>
      <sheetData sheetId="6045">
        <row r="8">
          <cell r="D8" t="str">
            <v>Paramaz Avedisian Building</v>
          </cell>
        </row>
      </sheetData>
      <sheetData sheetId="6046">
        <row r="8">
          <cell r="D8" t="str">
            <v>Paramaz Avedisian Building</v>
          </cell>
        </row>
      </sheetData>
      <sheetData sheetId="6047">
        <row r="8">
          <cell r="D8" t="str">
            <v>Paramaz Avedisian Building</v>
          </cell>
        </row>
      </sheetData>
      <sheetData sheetId="6048">
        <row r="8">
          <cell r="D8" t="str">
            <v>Paramaz Avedisian Building</v>
          </cell>
        </row>
      </sheetData>
      <sheetData sheetId="6049">
        <row r="8">
          <cell r="D8" t="str">
            <v>Paramaz Avedisian Building</v>
          </cell>
        </row>
      </sheetData>
      <sheetData sheetId="6050">
        <row r="8">
          <cell r="D8" t="str">
            <v>Paramaz Avedisian Building</v>
          </cell>
        </row>
      </sheetData>
      <sheetData sheetId="6051">
        <row r="8">
          <cell r="D8" t="str">
            <v>Paramaz Avedisian Building</v>
          </cell>
        </row>
      </sheetData>
      <sheetData sheetId="6052">
        <row r="8">
          <cell r="D8" t="str">
            <v>Paramaz Avedisian Building</v>
          </cell>
        </row>
      </sheetData>
      <sheetData sheetId="6053">
        <row r="8">
          <cell r="D8" t="str">
            <v>Paramaz Avedisian Building</v>
          </cell>
        </row>
      </sheetData>
      <sheetData sheetId="6054">
        <row r="8">
          <cell r="D8" t="str">
            <v>Paramaz Avedisian Building</v>
          </cell>
        </row>
      </sheetData>
      <sheetData sheetId="6055">
        <row r="8">
          <cell r="D8" t="str">
            <v>Paramaz Avedisian Building</v>
          </cell>
        </row>
      </sheetData>
      <sheetData sheetId="6056">
        <row r="8">
          <cell r="D8" t="str">
            <v>Paramaz Avedisian Building</v>
          </cell>
        </row>
      </sheetData>
      <sheetData sheetId="6057">
        <row r="8">
          <cell r="D8" t="str">
            <v>Paramaz Avedisian Building</v>
          </cell>
        </row>
      </sheetData>
      <sheetData sheetId="6058">
        <row r="8">
          <cell r="D8" t="str">
            <v>Paramaz Avedisian Building</v>
          </cell>
        </row>
      </sheetData>
      <sheetData sheetId="6059">
        <row r="8">
          <cell r="D8" t="str">
            <v>Paramaz Avedisian Building</v>
          </cell>
        </row>
      </sheetData>
      <sheetData sheetId="6060">
        <row r="8">
          <cell r="D8" t="str">
            <v>Paramaz Avedisian Building</v>
          </cell>
        </row>
      </sheetData>
      <sheetData sheetId="6061">
        <row r="8">
          <cell r="D8" t="str">
            <v>Paramaz Avedisian Building</v>
          </cell>
        </row>
      </sheetData>
      <sheetData sheetId="6062">
        <row r="8">
          <cell r="D8" t="str">
            <v>Paramaz Avedisian Building</v>
          </cell>
        </row>
      </sheetData>
      <sheetData sheetId="6063">
        <row r="8">
          <cell r="D8" t="str">
            <v>Paramaz Avedisian Building</v>
          </cell>
        </row>
      </sheetData>
      <sheetData sheetId="6064">
        <row r="8">
          <cell r="D8" t="str">
            <v>Paramaz Avedisian Building</v>
          </cell>
        </row>
      </sheetData>
      <sheetData sheetId="6065">
        <row r="8">
          <cell r="D8" t="str">
            <v>Paramaz Avedisian Building</v>
          </cell>
        </row>
      </sheetData>
      <sheetData sheetId="6066">
        <row r="8">
          <cell r="D8" t="str">
            <v>Paramaz Avedisian Building</v>
          </cell>
        </row>
      </sheetData>
      <sheetData sheetId="6067">
        <row r="8">
          <cell r="D8" t="str">
            <v>Paramaz Avedisian Building</v>
          </cell>
        </row>
      </sheetData>
      <sheetData sheetId="6068">
        <row r="8">
          <cell r="D8" t="str">
            <v>Paramaz Avedisian Building</v>
          </cell>
        </row>
      </sheetData>
      <sheetData sheetId="6069">
        <row r="8">
          <cell r="D8" t="str">
            <v>Paramaz Avedisian Building</v>
          </cell>
        </row>
      </sheetData>
      <sheetData sheetId="6070">
        <row r="8">
          <cell r="D8" t="str">
            <v>Paramaz Avedisian Building</v>
          </cell>
        </row>
      </sheetData>
      <sheetData sheetId="6071">
        <row r="8">
          <cell r="D8" t="str">
            <v>Paramaz Avedisian Building</v>
          </cell>
        </row>
      </sheetData>
      <sheetData sheetId="6072">
        <row r="8">
          <cell r="D8" t="str">
            <v>Paramaz Avedisian Building</v>
          </cell>
        </row>
      </sheetData>
      <sheetData sheetId="6073">
        <row r="8">
          <cell r="D8" t="str">
            <v>Paramaz Avedisian Building</v>
          </cell>
        </row>
      </sheetData>
      <sheetData sheetId="6074">
        <row r="8">
          <cell r="D8" t="str">
            <v>Paramaz Avedisian Building</v>
          </cell>
        </row>
      </sheetData>
      <sheetData sheetId="6075">
        <row r="8">
          <cell r="D8" t="str">
            <v>Paramaz Avedisian Building</v>
          </cell>
        </row>
      </sheetData>
      <sheetData sheetId="6076">
        <row r="8">
          <cell r="D8" t="str">
            <v>Paramaz Avedisian Building</v>
          </cell>
        </row>
      </sheetData>
      <sheetData sheetId="6077">
        <row r="8">
          <cell r="D8" t="str">
            <v>Paramaz Avedisian Building</v>
          </cell>
        </row>
      </sheetData>
      <sheetData sheetId="6078">
        <row r="8">
          <cell r="D8" t="str">
            <v>Paramaz Avedisian Building</v>
          </cell>
        </row>
      </sheetData>
      <sheetData sheetId="6079">
        <row r="8">
          <cell r="D8" t="str">
            <v>Paramaz Avedisian Building</v>
          </cell>
        </row>
      </sheetData>
      <sheetData sheetId="6080">
        <row r="8">
          <cell r="D8" t="str">
            <v>Paramaz Avedisian Building</v>
          </cell>
        </row>
      </sheetData>
      <sheetData sheetId="6081">
        <row r="8">
          <cell r="D8" t="str">
            <v>Paramaz Avedisian Building</v>
          </cell>
        </row>
      </sheetData>
      <sheetData sheetId="6082">
        <row r="8">
          <cell r="D8" t="str">
            <v>Paramaz Avedisian Building</v>
          </cell>
        </row>
      </sheetData>
      <sheetData sheetId="6083">
        <row r="8">
          <cell r="D8" t="str">
            <v>Paramaz Avedisian Building</v>
          </cell>
        </row>
      </sheetData>
      <sheetData sheetId="6084">
        <row r="8">
          <cell r="D8" t="str">
            <v>Paramaz Avedisian Building</v>
          </cell>
        </row>
      </sheetData>
      <sheetData sheetId="6085">
        <row r="8">
          <cell r="D8" t="str">
            <v>Paramaz Avedisian Building</v>
          </cell>
        </row>
      </sheetData>
      <sheetData sheetId="6086">
        <row r="8">
          <cell r="D8" t="str">
            <v>Paramaz Avedisian Building</v>
          </cell>
        </row>
      </sheetData>
      <sheetData sheetId="6087">
        <row r="8">
          <cell r="D8" t="str">
            <v>Paramaz Avedisian Building</v>
          </cell>
        </row>
      </sheetData>
      <sheetData sheetId="6088">
        <row r="8">
          <cell r="D8" t="str">
            <v>Paramaz Avedisian Building</v>
          </cell>
        </row>
      </sheetData>
      <sheetData sheetId="6089">
        <row r="8">
          <cell r="D8" t="str">
            <v>Paramaz Avedisian Building</v>
          </cell>
        </row>
      </sheetData>
      <sheetData sheetId="6090">
        <row r="8">
          <cell r="D8" t="str">
            <v>Paramaz Avedisian Building</v>
          </cell>
        </row>
      </sheetData>
      <sheetData sheetId="6091">
        <row r="8">
          <cell r="D8" t="str">
            <v>Paramaz Avedisian Building</v>
          </cell>
        </row>
      </sheetData>
      <sheetData sheetId="6092">
        <row r="8">
          <cell r="D8" t="str">
            <v>Paramaz Avedisian Building</v>
          </cell>
        </row>
      </sheetData>
      <sheetData sheetId="6093">
        <row r="8">
          <cell r="D8" t="str">
            <v>Paramaz Avedisian Building</v>
          </cell>
        </row>
      </sheetData>
      <sheetData sheetId="6094">
        <row r="8">
          <cell r="D8" t="str">
            <v>Paramaz Avedisian Building</v>
          </cell>
        </row>
      </sheetData>
      <sheetData sheetId="6095">
        <row r="8">
          <cell r="D8" t="str">
            <v>Paramaz Avedisian Building</v>
          </cell>
        </row>
      </sheetData>
      <sheetData sheetId="6096">
        <row r="8">
          <cell r="D8" t="str">
            <v>Paramaz Avedisian Building</v>
          </cell>
        </row>
      </sheetData>
      <sheetData sheetId="6097">
        <row r="8">
          <cell r="D8" t="str">
            <v>Paramaz Avedisian Building</v>
          </cell>
        </row>
      </sheetData>
      <sheetData sheetId="6098">
        <row r="8">
          <cell r="D8" t="str">
            <v>Paramaz Avedisian Building</v>
          </cell>
        </row>
      </sheetData>
      <sheetData sheetId="6099">
        <row r="8">
          <cell r="D8" t="str">
            <v>Paramaz Avedisian Building</v>
          </cell>
        </row>
      </sheetData>
      <sheetData sheetId="6100">
        <row r="8">
          <cell r="D8" t="str">
            <v>Paramaz Avedisian Building</v>
          </cell>
        </row>
      </sheetData>
      <sheetData sheetId="6101">
        <row r="8">
          <cell r="D8" t="str">
            <v>Paramaz Avedisian Building</v>
          </cell>
        </row>
      </sheetData>
      <sheetData sheetId="6102">
        <row r="8">
          <cell r="D8" t="str">
            <v>Paramaz Avedisian Building</v>
          </cell>
        </row>
      </sheetData>
      <sheetData sheetId="6103">
        <row r="8">
          <cell r="D8" t="str">
            <v>Paramaz Avedisian Building</v>
          </cell>
        </row>
      </sheetData>
      <sheetData sheetId="6104">
        <row r="8">
          <cell r="D8" t="str">
            <v>Paramaz Avedisian Building</v>
          </cell>
        </row>
      </sheetData>
      <sheetData sheetId="6105">
        <row r="8">
          <cell r="D8" t="str">
            <v>Paramaz Avedisian Building</v>
          </cell>
        </row>
      </sheetData>
      <sheetData sheetId="6106">
        <row r="8">
          <cell r="D8" t="str">
            <v>Paramaz Avedisian Building</v>
          </cell>
        </row>
      </sheetData>
      <sheetData sheetId="6107">
        <row r="8">
          <cell r="D8" t="str">
            <v>Paramaz Avedisian Building</v>
          </cell>
        </row>
      </sheetData>
      <sheetData sheetId="6108">
        <row r="8">
          <cell r="D8" t="str">
            <v>Paramaz Avedisian Building</v>
          </cell>
        </row>
      </sheetData>
      <sheetData sheetId="6109">
        <row r="8">
          <cell r="D8" t="str">
            <v>Paramaz Avedisian Building</v>
          </cell>
        </row>
      </sheetData>
      <sheetData sheetId="6110">
        <row r="8">
          <cell r="D8" t="str">
            <v>Paramaz Avedisian Building</v>
          </cell>
        </row>
      </sheetData>
      <sheetData sheetId="6111">
        <row r="8">
          <cell r="D8" t="str">
            <v>Paramaz Avedisian Building</v>
          </cell>
        </row>
      </sheetData>
      <sheetData sheetId="6112">
        <row r="8">
          <cell r="D8" t="str">
            <v>Paramaz Avedisian Building</v>
          </cell>
        </row>
      </sheetData>
      <sheetData sheetId="6113">
        <row r="8">
          <cell r="D8" t="str">
            <v>Paramaz Avedisian Building</v>
          </cell>
        </row>
      </sheetData>
      <sheetData sheetId="6114">
        <row r="8">
          <cell r="D8" t="str">
            <v>Paramaz Avedisian Building</v>
          </cell>
        </row>
      </sheetData>
      <sheetData sheetId="6115">
        <row r="8">
          <cell r="D8" t="str">
            <v>Paramaz Avedisian Building</v>
          </cell>
        </row>
      </sheetData>
      <sheetData sheetId="6116">
        <row r="8">
          <cell r="D8" t="str">
            <v>Paramaz Avedisian Building</v>
          </cell>
        </row>
      </sheetData>
      <sheetData sheetId="6117">
        <row r="8">
          <cell r="D8" t="str">
            <v>Paramaz Avedisian Building</v>
          </cell>
        </row>
      </sheetData>
      <sheetData sheetId="6118">
        <row r="8">
          <cell r="D8" t="str">
            <v>Paramaz Avedisian Building</v>
          </cell>
        </row>
      </sheetData>
      <sheetData sheetId="6119">
        <row r="8">
          <cell r="D8" t="str">
            <v>Paramaz Avedisian Building</v>
          </cell>
        </row>
      </sheetData>
      <sheetData sheetId="6120">
        <row r="8">
          <cell r="D8" t="str">
            <v>Paramaz Avedisian Building</v>
          </cell>
        </row>
      </sheetData>
      <sheetData sheetId="6121">
        <row r="8">
          <cell r="D8" t="str">
            <v>Paramaz Avedisian Building</v>
          </cell>
        </row>
      </sheetData>
      <sheetData sheetId="6122">
        <row r="8">
          <cell r="D8" t="str">
            <v>Paramaz Avedisian Building</v>
          </cell>
        </row>
      </sheetData>
      <sheetData sheetId="6123">
        <row r="8">
          <cell r="D8" t="str">
            <v>Paramaz Avedisian Building</v>
          </cell>
        </row>
      </sheetData>
      <sheetData sheetId="6124">
        <row r="8">
          <cell r="D8" t="str">
            <v>Paramaz Avedisian Building</v>
          </cell>
        </row>
      </sheetData>
      <sheetData sheetId="6125">
        <row r="8">
          <cell r="D8" t="str">
            <v>Paramaz Avedisian Building</v>
          </cell>
        </row>
      </sheetData>
      <sheetData sheetId="6126">
        <row r="8">
          <cell r="D8" t="str">
            <v>Paramaz Avedisian Building</v>
          </cell>
        </row>
      </sheetData>
      <sheetData sheetId="6127">
        <row r="8">
          <cell r="D8" t="str">
            <v>Paramaz Avedisian Building</v>
          </cell>
        </row>
      </sheetData>
      <sheetData sheetId="6128">
        <row r="8">
          <cell r="D8" t="str">
            <v>Paramaz Avedisian Building</v>
          </cell>
        </row>
      </sheetData>
      <sheetData sheetId="6129">
        <row r="8">
          <cell r="D8" t="str">
            <v>Paramaz Avedisian Building</v>
          </cell>
        </row>
      </sheetData>
      <sheetData sheetId="6130">
        <row r="8">
          <cell r="D8" t="str">
            <v>Paramaz Avedisian Building</v>
          </cell>
        </row>
      </sheetData>
      <sheetData sheetId="6131">
        <row r="8">
          <cell r="D8" t="str">
            <v>Paramaz Avedisian Building</v>
          </cell>
        </row>
      </sheetData>
      <sheetData sheetId="6132">
        <row r="8">
          <cell r="D8" t="str">
            <v>Paramaz Avedisian Building</v>
          </cell>
        </row>
      </sheetData>
      <sheetData sheetId="6133">
        <row r="8">
          <cell r="D8" t="str">
            <v>Paramaz Avedisian Building</v>
          </cell>
        </row>
      </sheetData>
      <sheetData sheetId="6134">
        <row r="8">
          <cell r="D8" t="str">
            <v>Paramaz Avedisian Building</v>
          </cell>
        </row>
      </sheetData>
      <sheetData sheetId="6135">
        <row r="8">
          <cell r="D8" t="str">
            <v>Paramaz Avedisian Building</v>
          </cell>
        </row>
      </sheetData>
      <sheetData sheetId="6136">
        <row r="8">
          <cell r="D8" t="str">
            <v>Paramaz Avedisian Building</v>
          </cell>
        </row>
      </sheetData>
      <sheetData sheetId="6137">
        <row r="8">
          <cell r="D8" t="str">
            <v>Paramaz Avedisian Building</v>
          </cell>
        </row>
      </sheetData>
      <sheetData sheetId="6138">
        <row r="8">
          <cell r="D8" t="str">
            <v>Paramaz Avedisian Building</v>
          </cell>
        </row>
      </sheetData>
      <sheetData sheetId="6139">
        <row r="8">
          <cell r="D8" t="str">
            <v>Paramaz Avedisian Building</v>
          </cell>
        </row>
      </sheetData>
      <sheetData sheetId="6140">
        <row r="8">
          <cell r="D8" t="str">
            <v>Paramaz Avedisian Building</v>
          </cell>
        </row>
      </sheetData>
      <sheetData sheetId="6141">
        <row r="8">
          <cell r="D8" t="str">
            <v>Paramaz Avedisian Building</v>
          </cell>
        </row>
      </sheetData>
      <sheetData sheetId="6142">
        <row r="8">
          <cell r="D8" t="str">
            <v>Paramaz Avedisian Building</v>
          </cell>
        </row>
      </sheetData>
      <sheetData sheetId="6143">
        <row r="8">
          <cell r="D8" t="str">
            <v>Paramaz Avedisian Building</v>
          </cell>
        </row>
      </sheetData>
      <sheetData sheetId="6144">
        <row r="8">
          <cell r="D8" t="str">
            <v>Paramaz Avedisian Building</v>
          </cell>
        </row>
      </sheetData>
      <sheetData sheetId="6145">
        <row r="8">
          <cell r="D8" t="str">
            <v>Paramaz Avedisian Building</v>
          </cell>
        </row>
      </sheetData>
      <sheetData sheetId="6146">
        <row r="8">
          <cell r="D8" t="str">
            <v>Paramaz Avedisian Building</v>
          </cell>
        </row>
      </sheetData>
      <sheetData sheetId="6147">
        <row r="8">
          <cell r="D8" t="str">
            <v>Paramaz Avedisian Building</v>
          </cell>
        </row>
      </sheetData>
      <sheetData sheetId="6148">
        <row r="8">
          <cell r="D8" t="str">
            <v>Paramaz Avedisian Building</v>
          </cell>
        </row>
      </sheetData>
      <sheetData sheetId="6149">
        <row r="8">
          <cell r="D8" t="str">
            <v>Paramaz Avedisian Building</v>
          </cell>
        </row>
      </sheetData>
      <sheetData sheetId="6150">
        <row r="8">
          <cell r="D8" t="str">
            <v>Paramaz Avedisian Building</v>
          </cell>
        </row>
      </sheetData>
      <sheetData sheetId="6151">
        <row r="8">
          <cell r="D8" t="str">
            <v>Paramaz Avedisian Building</v>
          </cell>
        </row>
      </sheetData>
      <sheetData sheetId="6152">
        <row r="8">
          <cell r="D8" t="str">
            <v>Paramaz Avedisian Building</v>
          </cell>
        </row>
      </sheetData>
      <sheetData sheetId="6153">
        <row r="8">
          <cell r="D8" t="str">
            <v>Paramaz Avedisian Building</v>
          </cell>
        </row>
      </sheetData>
      <sheetData sheetId="6154">
        <row r="8">
          <cell r="D8" t="str">
            <v>Paramaz Avedisian Building</v>
          </cell>
        </row>
      </sheetData>
      <sheetData sheetId="6155">
        <row r="8">
          <cell r="D8" t="str">
            <v>Paramaz Avedisian Building</v>
          </cell>
        </row>
      </sheetData>
      <sheetData sheetId="6156">
        <row r="8">
          <cell r="D8" t="str">
            <v>Paramaz Avedisian Building</v>
          </cell>
        </row>
      </sheetData>
      <sheetData sheetId="6157">
        <row r="8">
          <cell r="D8" t="str">
            <v>Paramaz Avedisian Building</v>
          </cell>
        </row>
      </sheetData>
      <sheetData sheetId="6158">
        <row r="8">
          <cell r="D8" t="str">
            <v>Paramaz Avedisian Building</v>
          </cell>
        </row>
      </sheetData>
      <sheetData sheetId="6159">
        <row r="8">
          <cell r="D8" t="str">
            <v>Paramaz Avedisian Building</v>
          </cell>
        </row>
      </sheetData>
      <sheetData sheetId="6160">
        <row r="8">
          <cell r="D8" t="str">
            <v>Paramaz Avedisian Building</v>
          </cell>
        </row>
      </sheetData>
      <sheetData sheetId="6161">
        <row r="8">
          <cell r="D8" t="str">
            <v>Paramaz Avedisian Building</v>
          </cell>
        </row>
      </sheetData>
      <sheetData sheetId="6162">
        <row r="8">
          <cell r="D8" t="str">
            <v>Paramaz Avedisian Building</v>
          </cell>
        </row>
      </sheetData>
      <sheetData sheetId="6163">
        <row r="8">
          <cell r="D8" t="str">
            <v>Paramaz Avedisian Building</v>
          </cell>
        </row>
      </sheetData>
      <sheetData sheetId="6164">
        <row r="8">
          <cell r="D8" t="str">
            <v>Paramaz Avedisian Building</v>
          </cell>
        </row>
      </sheetData>
      <sheetData sheetId="6165">
        <row r="8">
          <cell r="D8" t="str">
            <v>Paramaz Avedisian Building</v>
          </cell>
        </row>
      </sheetData>
      <sheetData sheetId="6166">
        <row r="8">
          <cell r="D8" t="str">
            <v>Paramaz Avedisian Building</v>
          </cell>
        </row>
      </sheetData>
      <sheetData sheetId="6167">
        <row r="8">
          <cell r="D8" t="str">
            <v>Paramaz Avedisian Building</v>
          </cell>
        </row>
      </sheetData>
      <sheetData sheetId="6168">
        <row r="8">
          <cell r="D8" t="str">
            <v>Paramaz Avedisian Building</v>
          </cell>
        </row>
      </sheetData>
      <sheetData sheetId="6169">
        <row r="8">
          <cell r="D8" t="str">
            <v>Paramaz Avedisian Building</v>
          </cell>
        </row>
      </sheetData>
      <sheetData sheetId="6170">
        <row r="8">
          <cell r="D8" t="str">
            <v>Paramaz Avedisian Building</v>
          </cell>
        </row>
      </sheetData>
      <sheetData sheetId="6171">
        <row r="8">
          <cell r="D8" t="str">
            <v>Paramaz Avedisian Building</v>
          </cell>
        </row>
      </sheetData>
      <sheetData sheetId="6172">
        <row r="8">
          <cell r="D8" t="str">
            <v>Paramaz Avedisian Building</v>
          </cell>
        </row>
      </sheetData>
      <sheetData sheetId="6173">
        <row r="8">
          <cell r="D8" t="str">
            <v>Paramaz Avedisian Building</v>
          </cell>
        </row>
      </sheetData>
      <sheetData sheetId="6174">
        <row r="8">
          <cell r="D8" t="str">
            <v>Paramaz Avedisian Building</v>
          </cell>
        </row>
      </sheetData>
      <sheetData sheetId="6175">
        <row r="8">
          <cell r="D8" t="str">
            <v>Paramaz Avedisian Building</v>
          </cell>
        </row>
      </sheetData>
      <sheetData sheetId="6176">
        <row r="8">
          <cell r="D8" t="str">
            <v>Paramaz Avedisian Building</v>
          </cell>
        </row>
      </sheetData>
      <sheetData sheetId="6177">
        <row r="8">
          <cell r="D8" t="str">
            <v>Paramaz Avedisian Building</v>
          </cell>
        </row>
      </sheetData>
      <sheetData sheetId="6178">
        <row r="8">
          <cell r="D8" t="str">
            <v>Paramaz Avedisian Building</v>
          </cell>
        </row>
      </sheetData>
      <sheetData sheetId="6179">
        <row r="8">
          <cell r="D8" t="str">
            <v>Paramaz Avedisian Building</v>
          </cell>
        </row>
      </sheetData>
      <sheetData sheetId="6180">
        <row r="8">
          <cell r="D8" t="str">
            <v>Paramaz Avedisian Building</v>
          </cell>
        </row>
      </sheetData>
      <sheetData sheetId="6181">
        <row r="8">
          <cell r="D8" t="str">
            <v>Paramaz Avedisian Building</v>
          </cell>
        </row>
      </sheetData>
      <sheetData sheetId="6182">
        <row r="8">
          <cell r="D8" t="str">
            <v>Paramaz Avedisian Building</v>
          </cell>
        </row>
      </sheetData>
      <sheetData sheetId="6183">
        <row r="8">
          <cell r="D8" t="str">
            <v>Paramaz Avedisian Building</v>
          </cell>
        </row>
      </sheetData>
      <sheetData sheetId="6184">
        <row r="8">
          <cell r="D8" t="str">
            <v>Paramaz Avedisian Building</v>
          </cell>
        </row>
      </sheetData>
      <sheetData sheetId="6185">
        <row r="8">
          <cell r="D8" t="str">
            <v>Paramaz Avedisian Building</v>
          </cell>
        </row>
      </sheetData>
      <sheetData sheetId="6186">
        <row r="8">
          <cell r="D8" t="str">
            <v>Paramaz Avedisian Building</v>
          </cell>
        </row>
      </sheetData>
      <sheetData sheetId="6187">
        <row r="8">
          <cell r="D8" t="str">
            <v>Paramaz Avedisian Building</v>
          </cell>
        </row>
      </sheetData>
      <sheetData sheetId="6188">
        <row r="8">
          <cell r="D8" t="str">
            <v>Paramaz Avedisian Building</v>
          </cell>
        </row>
      </sheetData>
      <sheetData sheetId="6189">
        <row r="8">
          <cell r="D8" t="str">
            <v>Paramaz Avedisian Building</v>
          </cell>
        </row>
      </sheetData>
      <sheetData sheetId="6190">
        <row r="8">
          <cell r="D8" t="str">
            <v>Paramaz Avedisian Building</v>
          </cell>
        </row>
      </sheetData>
      <sheetData sheetId="6191">
        <row r="8">
          <cell r="D8" t="str">
            <v>Paramaz Avedisian Building</v>
          </cell>
        </row>
      </sheetData>
      <sheetData sheetId="6192">
        <row r="8">
          <cell r="D8" t="str">
            <v>Paramaz Avedisian Building</v>
          </cell>
        </row>
      </sheetData>
      <sheetData sheetId="6193">
        <row r="8">
          <cell r="D8" t="str">
            <v>Paramaz Avedisian Building</v>
          </cell>
        </row>
      </sheetData>
      <sheetData sheetId="6194">
        <row r="8">
          <cell r="D8" t="str">
            <v>Paramaz Avedisian Building</v>
          </cell>
        </row>
      </sheetData>
      <sheetData sheetId="6195">
        <row r="8">
          <cell r="D8" t="str">
            <v>Paramaz Avedisian Building</v>
          </cell>
        </row>
      </sheetData>
      <sheetData sheetId="6196">
        <row r="8">
          <cell r="D8" t="str">
            <v>Paramaz Avedisian Building</v>
          </cell>
        </row>
      </sheetData>
      <sheetData sheetId="6197">
        <row r="8">
          <cell r="D8" t="str">
            <v>Paramaz Avedisian Building</v>
          </cell>
        </row>
      </sheetData>
      <sheetData sheetId="6198">
        <row r="8">
          <cell r="D8" t="str">
            <v>Paramaz Avedisian Building</v>
          </cell>
        </row>
      </sheetData>
      <sheetData sheetId="6199">
        <row r="8">
          <cell r="D8" t="str">
            <v>Paramaz Avedisian Building</v>
          </cell>
        </row>
      </sheetData>
      <sheetData sheetId="6200">
        <row r="8">
          <cell r="D8" t="str">
            <v>Paramaz Avedisian Building</v>
          </cell>
        </row>
      </sheetData>
      <sheetData sheetId="6201">
        <row r="8">
          <cell r="D8" t="str">
            <v>Paramaz Avedisian Building</v>
          </cell>
        </row>
      </sheetData>
      <sheetData sheetId="6202">
        <row r="8">
          <cell r="D8" t="str">
            <v>Paramaz Avedisian Building</v>
          </cell>
        </row>
      </sheetData>
      <sheetData sheetId="6203">
        <row r="8">
          <cell r="D8" t="str">
            <v>Paramaz Avedisian Building</v>
          </cell>
        </row>
      </sheetData>
      <sheetData sheetId="6204">
        <row r="8">
          <cell r="D8" t="str">
            <v>Paramaz Avedisian Building</v>
          </cell>
        </row>
      </sheetData>
      <sheetData sheetId="6205">
        <row r="8">
          <cell r="D8" t="str">
            <v>Paramaz Avedisian Building</v>
          </cell>
        </row>
      </sheetData>
      <sheetData sheetId="6206">
        <row r="8">
          <cell r="D8" t="str">
            <v>Paramaz Avedisian Building</v>
          </cell>
        </row>
      </sheetData>
      <sheetData sheetId="6207">
        <row r="8">
          <cell r="D8" t="str">
            <v>Paramaz Avedisian Building</v>
          </cell>
        </row>
      </sheetData>
      <sheetData sheetId="6208">
        <row r="8">
          <cell r="D8" t="str">
            <v>Paramaz Avedisian Building</v>
          </cell>
        </row>
      </sheetData>
      <sheetData sheetId="6209">
        <row r="8">
          <cell r="D8" t="str">
            <v>Paramaz Avedisian Building</v>
          </cell>
        </row>
      </sheetData>
      <sheetData sheetId="6210">
        <row r="8">
          <cell r="D8" t="str">
            <v>Paramaz Avedisian Building</v>
          </cell>
        </row>
      </sheetData>
      <sheetData sheetId="6211">
        <row r="8">
          <cell r="D8" t="str">
            <v>Paramaz Avedisian Building</v>
          </cell>
        </row>
      </sheetData>
      <sheetData sheetId="6212">
        <row r="8">
          <cell r="D8" t="str">
            <v>Paramaz Avedisian Building</v>
          </cell>
        </row>
      </sheetData>
      <sheetData sheetId="6213">
        <row r="8">
          <cell r="D8" t="str">
            <v>Paramaz Avedisian Building</v>
          </cell>
        </row>
      </sheetData>
      <sheetData sheetId="6214">
        <row r="8">
          <cell r="D8" t="str">
            <v>Paramaz Avedisian Building</v>
          </cell>
        </row>
      </sheetData>
      <sheetData sheetId="6215">
        <row r="8">
          <cell r="D8" t="str">
            <v>Paramaz Avedisian Building</v>
          </cell>
        </row>
      </sheetData>
      <sheetData sheetId="6216">
        <row r="8">
          <cell r="D8" t="str">
            <v>Paramaz Avedisian Building</v>
          </cell>
        </row>
      </sheetData>
      <sheetData sheetId="6217">
        <row r="8">
          <cell r="D8" t="str">
            <v>Paramaz Avedisian Building</v>
          </cell>
        </row>
      </sheetData>
      <sheetData sheetId="6218">
        <row r="8">
          <cell r="D8" t="str">
            <v>Paramaz Avedisian Building</v>
          </cell>
        </row>
      </sheetData>
      <sheetData sheetId="6219">
        <row r="8">
          <cell r="D8" t="str">
            <v>Paramaz Avedisian Building</v>
          </cell>
        </row>
      </sheetData>
      <sheetData sheetId="6220">
        <row r="8">
          <cell r="D8" t="str">
            <v>Paramaz Avedisian Building</v>
          </cell>
        </row>
      </sheetData>
      <sheetData sheetId="6221">
        <row r="8">
          <cell r="D8" t="str">
            <v>Paramaz Avedisian Building</v>
          </cell>
        </row>
      </sheetData>
      <sheetData sheetId="6222">
        <row r="8">
          <cell r="D8" t="str">
            <v>Paramaz Avedisian Building</v>
          </cell>
        </row>
      </sheetData>
      <sheetData sheetId="6223">
        <row r="8">
          <cell r="D8" t="str">
            <v>Paramaz Avedisian Building</v>
          </cell>
        </row>
      </sheetData>
      <sheetData sheetId="6224">
        <row r="8">
          <cell r="D8" t="str">
            <v>Paramaz Avedisian Building</v>
          </cell>
        </row>
      </sheetData>
      <sheetData sheetId="6225">
        <row r="8">
          <cell r="D8" t="str">
            <v>Paramaz Avedisian Building</v>
          </cell>
        </row>
      </sheetData>
      <sheetData sheetId="6226">
        <row r="8">
          <cell r="D8" t="str">
            <v>Paramaz Avedisian Building</v>
          </cell>
        </row>
      </sheetData>
      <sheetData sheetId="6227">
        <row r="8">
          <cell r="D8" t="str">
            <v>Paramaz Avedisian Building</v>
          </cell>
        </row>
      </sheetData>
      <sheetData sheetId="6228">
        <row r="8">
          <cell r="D8" t="str">
            <v>Paramaz Avedisian Building</v>
          </cell>
        </row>
      </sheetData>
      <sheetData sheetId="6229">
        <row r="8">
          <cell r="D8" t="str">
            <v>Paramaz Avedisian Building</v>
          </cell>
        </row>
      </sheetData>
      <sheetData sheetId="6230">
        <row r="8">
          <cell r="D8" t="str">
            <v>Paramaz Avedisian Building</v>
          </cell>
        </row>
      </sheetData>
      <sheetData sheetId="6231">
        <row r="8">
          <cell r="D8" t="str">
            <v>Paramaz Avedisian Building</v>
          </cell>
        </row>
      </sheetData>
      <sheetData sheetId="6232">
        <row r="8">
          <cell r="D8" t="str">
            <v>Paramaz Avedisian Building</v>
          </cell>
        </row>
      </sheetData>
      <sheetData sheetId="6233">
        <row r="8">
          <cell r="D8" t="str">
            <v>Paramaz Avedisian Building</v>
          </cell>
        </row>
      </sheetData>
      <sheetData sheetId="6234">
        <row r="8">
          <cell r="D8" t="str">
            <v>Paramaz Avedisian Building</v>
          </cell>
        </row>
      </sheetData>
      <sheetData sheetId="6235">
        <row r="8">
          <cell r="D8" t="str">
            <v>Paramaz Avedisian Building</v>
          </cell>
        </row>
      </sheetData>
      <sheetData sheetId="6236">
        <row r="8">
          <cell r="D8" t="str">
            <v>Paramaz Avedisian Building</v>
          </cell>
        </row>
      </sheetData>
      <sheetData sheetId="6237">
        <row r="8">
          <cell r="D8" t="str">
            <v>Paramaz Avedisian Building</v>
          </cell>
        </row>
      </sheetData>
      <sheetData sheetId="6238">
        <row r="8">
          <cell r="D8" t="str">
            <v>Paramaz Avedisian Building</v>
          </cell>
        </row>
      </sheetData>
      <sheetData sheetId="6239">
        <row r="8">
          <cell r="D8" t="str">
            <v>Paramaz Avedisian Building</v>
          </cell>
        </row>
      </sheetData>
      <sheetData sheetId="6240">
        <row r="8">
          <cell r="D8" t="str">
            <v>Paramaz Avedisian Building</v>
          </cell>
        </row>
      </sheetData>
      <sheetData sheetId="6241">
        <row r="8">
          <cell r="D8" t="str">
            <v>Paramaz Avedisian Building</v>
          </cell>
        </row>
      </sheetData>
      <sheetData sheetId="6242">
        <row r="8">
          <cell r="D8" t="str">
            <v>Paramaz Avedisian Building</v>
          </cell>
        </row>
      </sheetData>
      <sheetData sheetId="6243">
        <row r="8">
          <cell r="D8" t="str">
            <v>Paramaz Avedisian Building</v>
          </cell>
        </row>
      </sheetData>
      <sheetData sheetId="6244">
        <row r="8">
          <cell r="D8" t="str">
            <v>Paramaz Avedisian Building</v>
          </cell>
        </row>
      </sheetData>
      <sheetData sheetId="6245">
        <row r="8">
          <cell r="D8" t="str">
            <v>Paramaz Avedisian Building</v>
          </cell>
        </row>
      </sheetData>
      <sheetData sheetId="6246">
        <row r="8">
          <cell r="D8" t="str">
            <v>Paramaz Avedisian Building</v>
          </cell>
        </row>
      </sheetData>
      <sheetData sheetId="6247">
        <row r="8">
          <cell r="D8" t="str">
            <v>Paramaz Avedisian Building</v>
          </cell>
        </row>
      </sheetData>
      <sheetData sheetId="6248">
        <row r="8">
          <cell r="D8" t="str">
            <v>Paramaz Avedisian Building</v>
          </cell>
        </row>
      </sheetData>
      <sheetData sheetId="6249">
        <row r="8">
          <cell r="D8" t="str">
            <v>Paramaz Avedisian Building</v>
          </cell>
        </row>
      </sheetData>
      <sheetData sheetId="6250">
        <row r="8">
          <cell r="D8" t="str">
            <v>Paramaz Avedisian Building</v>
          </cell>
        </row>
      </sheetData>
      <sheetData sheetId="6251">
        <row r="8">
          <cell r="D8" t="str">
            <v>Paramaz Avedisian Building</v>
          </cell>
        </row>
      </sheetData>
      <sheetData sheetId="6252">
        <row r="8">
          <cell r="D8" t="str">
            <v>Paramaz Avedisian Building</v>
          </cell>
        </row>
      </sheetData>
      <sheetData sheetId="6253">
        <row r="8">
          <cell r="D8" t="str">
            <v>Paramaz Avedisian Building</v>
          </cell>
        </row>
      </sheetData>
      <sheetData sheetId="6254">
        <row r="8">
          <cell r="D8" t="str">
            <v>Paramaz Avedisian Building</v>
          </cell>
        </row>
      </sheetData>
      <sheetData sheetId="6255">
        <row r="8">
          <cell r="D8" t="str">
            <v>Paramaz Avedisian Building</v>
          </cell>
        </row>
      </sheetData>
      <sheetData sheetId="6256">
        <row r="8">
          <cell r="D8" t="str">
            <v>Paramaz Avedisian Building</v>
          </cell>
        </row>
      </sheetData>
      <sheetData sheetId="6257">
        <row r="8">
          <cell r="D8" t="str">
            <v>Paramaz Avedisian Building</v>
          </cell>
        </row>
      </sheetData>
      <sheetData sheetId="6258">
        <row r="8">
          <cell r="D8" t="str">
            <v>Paramaz Avedisian Building</v>
          </cell>
        </row>
      </sheetData>
      <sheetData sheetId="6259">
        <row r="8">
          <cell r="D8" t="str">
            <v>Paramaz Avedisian Building</v>
          </cell>
        </row>
      </sheetData>
      <sheetData sheetId="6260">
        <row r="8">
          <cell r="D8" t="str">
            <v>Paramaz Avedisian Building</v>
          </cell>
        </row>
      </sheetData>
      <sheetData sheetId="6261">
        <row r="8">
          <cell r="D8" t="str">
            <v>Paramaz Avedisian Building</v>
          </cell>
        </row>
      </sheetData>
      <sheetData sheetId="6262">
        <row r="8">
          <cell r="D8" t="str">
            <v>Paramaz Avedisian Building</v>
          </cell>
        </row>
      </sheetData>
      <sheetData sheetId="6263">
        <row r="8">
          <cell r="D8" t="str">
            <v>Paramaz Avedisian Building</v>
          </cell>
        </row>
      </sheetData>
      <sheetData sheetId="6264">
        <row r="8">
          <cell r="D8" t="str">
            <v>Paramaz Avedisian Building</v>
          </cell>
        </row>
      </sheetData>
      <sheetData sheetId="6265">
        <row r="8">
          <cell r="D8" t="str">
            <v>Paramaz Avedisian Building</v>
          </cell>
        </row>
      </sheetData>
      <sheetData sheetId="6266">
        <row r="8">
          <cell r="D8" t="str">
            <v>Paramaz Avedisian Building</v>
          </cell>
        </row>
      </sheetData>
      <sheetData sheetId="6267">
        <row r="8">
          <cell r="D8" t="str">
            <v>Paramaz Avedisian Building</v>
          </cell>
        </row>
      </sheetData>
      <sheetData sheetId="6268">
        <row r="8">
          <cell r="D8" t="str">
            <v>Paramaz Avedisian Building</v>
          </cell>
        </row>
      </sheetData>
      <sheetData sheetId="6269">
        <row r="8">
          <cell r="D8" t="str">
            <v>Paramaz Avedisian Building</v>
          </cell>
        </row>
      </sheetData>
      <sheetData sheetId="6270">
        <row r="8">
          <cell r="D8" t="str">
            <v>Paramaz Avedisian Building</v>
          </cell>
        </row>
      </sheetData>
      <sheetData sheetId="6271">
        <row r="8">
          <cell r="D8" t="str">
            <v>Paramaz Avedisian Building</v>
          </cell>
        </row>
      </sheetData>
      <sheetData sheetId="6272">
        <row r="8">
          <cell r="D8" t="str">
            <v>Paramaz Avedisian Building</v>
          </cell>
        </row>
      </sheetData>
      <sheetData sheetId="6273">
        <row r="8">
          <cell r="D8" t="str">
            <v>Paramaz Avedisian Building</v>
          </cell>
        </row>
      </sheetData>
      <sheetData sheetId="6274">
        <row r="8">
          <cell r="D8" t="str">
            <v>Paramaz Avedisian Building</v>
          </cell>
        </row>
      </sheetData>
      <sheetData sheetId="6275">
        <row r="8">
          <cell r="D8" t="str">
            <v>Paramaz Avedisian Building</v>
          </cell>
        </row>
      </sheetData>
      <sheetData sheetId="6276">
        <row r="8">
          <cell r="D8" t="str">
            <v>Paramaz Avedisian Building</v>
          </cell>
        </row>
      </sheetData>
      <sheetData sheetId="6277">
        <row r="8">
          <cell r="D8" t="str">
            <v>Paramaz Avedisian Building</v>
          </cell>
        </row>
      </sheetData>
      <sheetData sheetId="6278">
        <row r="8">
          <cell r="D8" t="str">
            <v>Paramaz Avedisian Building</v>
          </cell>
        </row>
      </sheetData>
      <sheetData sheetId="6279">
        <row r="8">
          <cell r="D8" t="str">
            <v>Paramaz Avedisian Building</v>
          </cell>
        </row>
      </sheetData>
      <sheetData sheetId="6280">
        <row r="8">
          <cell r="D8" t="str">
            <v>Paramaz Avedisian Building</v>
          </cell>
        </row>
      </sheetData>
      <sheetData sheetId="6281">
        <row r="8">
          <cell r="D8" t="str">
            <v>Paramaz Avedisian Building</v>
          </cell>
        </row>
      </sheetData>
      <sheetData sheetId="6282">
        <row r="8">
          <cell r="D8" t="str">
            <v>Paramaz Avedisian Building</v>
          </cell>
        </row>
      </sheetData>
      <sheetData sheetId="6283">
        <row r="8">
          <cell r="D8" t="str">
            <v>Paramaz Avedisian Building</v>
          </cell>
        </row>
      </sheetData>
      <sheetData sheetId="6284">
        <row r="8">
          <cell r="D8" t="str">
            <v>Paramaz Avedisian Building</v>
          </cell>
        </row>
      </sheetData>
      <sheetData sheetId="6285">
        <row r="8">
          <cell r="D8" t="str">
            <v>Paramaz Avedisian Building</v>
          </cell>
        </row>
      </sheetData>
      <sheetData sheetId="6286">
        <row r="8">
          <cell r="D8" t="str">
            <v>Paramaz Avedisian Building</v>
          </cell>
        </row>
      </sheetData>
      <sheetData sheetId="6287">
        <row r="8">
          <cell r="D8" t="str">
            <v>Paramaz Avedisian Building</v>
          </cell>
        </row>
      </sheetData>
      <sheetData sheetId="6288">
        <row r="8">
          <cell r="D8" t="str">
            <v>Paramaz Avedisian Building</v>
          </cell>
        </row>
      </sheetData>
      <sheetData sheetId="6289">
        <row r="8">
          <cell r="D8" t="str">
            <v>Paramaz Avedisian Building</v>
          </cell>
        </row>
      </sheetData>
      <sheetData sheetId="6290">
        <row r="8">
          <cell r="D8" t="str">
            <v>Paramaz Avedisian Building</v>
          </cell>
        </row>
      </sheetData>
      <sheetData sheetId="6291">
        <row r="8">
          <cell r="D8" t="str">
            <v>Paramaz Avedisian Building</v>
          </cell>
        </row>
      </sheetData>
      <sheetData sheetId="6292">
        <row r="8">
          <cell r="D8" t="str">
            <v>Paramaz Avedisian Building</v>
          </cell>
        </row>
      </sheetData>
      <sheetData sheetId="6293">
        <row r="8">
          <cell r="D8" t="str">
            <v>Paramaz Avedisian Building</v>
          </cell>
        </row>
      </sheetData>
      <sheetData sheetId="6294">
        <row r="8">
          <cell r="D8" t="str">
            <v>Paramaz Avedisian Building</v>
          </cell>
        </row>
      </sheetData>
      <sheetData sheetId="6295">
        <row r="8">
          <cell r="D8" t="str">
            <v>Paramaz Avedisian Building</v>
          </cell>
        </row>
      </sheetData>
      <sheetData sheetId="6296">
        <row r="8">
          <cell r="D8" t="str">
            <v>Paramaz Avedisian Building</v>
          </cell>
        </row>
      </sheetData>
      <sheetData sheetId="6297">
        <row r="8">
          <cell r="D8" t="str">
            <v>Paramaz Avedisian Building</v>
          </cell>
        </row>
      </sheetData>
      <sheetData sheetId="6298">
        <row r="8">
          <cell r="D8" t="str">
            <v>Paramaz Avedisian Building</v>
          </cell>
        </row>
      </sheetData>
      <sheetData sheetId="6299">
        <row r="8">
          <cell r="D8" t="str">
            <v>Paramaz Avedisian Building</v>
          </cell>
        </row>
      </sheetData>
      <sheetData sheetId="6300">
        <row r="8">
          <cell r="D8" t="str">
            <v>Paramaz Avedisian Building</v>
          </cell>
        </row>
      </sheetData>
      <sheetData sheetId="6301">
        <row r="8">
          <cell r="D8" t="str">
            <v>Paramaz Avedisian Building</v>
          </cell>
        </row>
      </sheetData>
      <sheetData sheetId="6302">
        <row r="8">
          <cell r="D8" t="str">
            <v>Paramaz Avedisian Building</v>
          </cell>
        </row>
      </sheetData>
      <sheetData sheetId="6303">
        <row r="8">
          <cell r="D8" t="str">
            <v>Paramaz Avedisian Building</v>
          </cell>
        </row>
      </sheetData>
      <sheetData sheetId="6304">
        <row r="8">
          <cell r="D8" t="str">
            <v>Paramaz Avedisian Building</v>
          </cell>
        </row>
      </sheetData>
      <sheetData sheetId="6305">
        <row r="8">
          <cell r="D8" t="str">
            <v>Paramaz Avedisian Building</v>
          </cell>
        </row>
      </sheetData>
      <sheetData sheetId="6306">
        <row r="8">
          <cell r="D8" t="str">
            <v>Paramaz Avedisian Building</v>
          </cell>
        </row>
      </sheetData>
      <sheetData sheetId="6307">
        <row r="8">
          <cell r="D8" t="str">
            <v>Paramaz Avedisian Building</v>
          </cell>
        </row>
      </sheetData>
      <sheetData sheetId="6308">
        <row r="8">
          <cell r="D8" t="str">
            <v>Paramaz Avedisian Building</v>
          </cell>
        </row>
      </sheetData>
      <sheetData sheetId="6309">
        <row r="8">
          <cell r="D8" t="str">
            <v>Paramaz Avedisian Building</v>
          </cell>
        </row>
      </sheetData>
      <sheetData sheetId="6310">
        <row r="8">
          <cell r="D8" t="str">
            <v>Paramaz Avedisian Building</v>
          </cell>
        </row>
      </sheetData>
      <sheetData sheetId="6311">
        <row r="8">
          <cell r="D8" t="str">
            <v>Paramaz Avedisian Building</v>
          </cell>
        </row>
      </sheetData>
      <sheetData sheetId="6312">
        <row r="8">
          <cell r="D8" t="str">
            <v>Paramaz Avedisian Building</v>
          </cell>
        </row>
      </sheetData>
      <sheetData sheetId="6313">
        <row r="8">
          <cell r="D8" t="str">
            <v>Paramaz Avedisian Building</v>
          </cell>
        </row>
      </sheetData>
      <sheetData sheetId="6314">
        <row r="8">
          <cell r="D8" t="str">
            <v>Paramaz Avedisian Building</v>
          </cell>
        </row>
      </sheetData>
      <sheetData sheetId="6315">
        <row r="8">
          <cell r="D8" t="str">
            <v>Paramaz Avedisian Building</v>
          </cell>
        </row>
      </sheetData>
      <sheetData sheetId="6316">
        <row r="8">
          <cell r="D8" t="str">
            <v>Paramaz Avedisian Building</v>
          </cell>
        </row>
      </sheetData>
      <sheetData sheetId="6317">
        <row r="8">
          <cell r="D8" t="str">
            <v>Paramaz Avedisian Building</v>
          </cell>
        </row>
      </sheetData>
      <sheetData sheetId="6318">
        <row r="8">
          <cell r="D8" t="str">
            <v>Paramaz Avedisian Building</v>
          </cell>
        </row>
      </sheetData>
      <sheetData sheetId="6319">
        <row r="8">
          <cell r="D8" t="str">
            <v>Paramaz Avedisian Building</v>
          </cell>
        </row>
      </sheetData>
      <sheetData sheetId="6320">
        <row r="8">
          <cell r="D8" t="str">
            <v>Paramaz Avedisian Building</v>
          </cell>
        </row>
      </sheetData>
      <sheetData sheetId="6321">
        <row r="8">
          <cell r="D8" t="str">
            <v>Paramaz Avedisian Building</v>
          </cell>
        </row>
      </sheetData>
      <sheetData sheetId="6322">
        <row r="8">
          <cell r="D8" t="str">
            <v>Paramaz Avedisian Building</v>
          </cell>
        </row>
      </sheetData>
      <sheetData sheetId="6323">
        <row r="8">
          <cell r="D8" t="str">
            <v>Paramaz Avedisian Building</v>
          </cell>
        </row>
      </sheetData>
      <sheetData sheetId="6324">
        <row r="8">
          <cell r="D8" t="str">
            <v>Paramaz Avedisian Building</v>
          </cell>
        </row>
      </sheetData>
      <sheetData sheetId="6325">
        <row r="8">
          <cell r="D8" t="str">
            <v>Paramaz Avedisian Building</v>
          </cell>
        </row>
      </sheetData>
      <sheetData sheetId="6326">
        <row r="8">
          <cell r="D8" t="str">
            <v>Paramaz Avedisian Building</v>
          </cell>
        </row>
      </sheetData>
      <sheetData sheetId="6327">
        <row r="8">
          <cell r="D8" t="str">
            <v>Paramaz Avedisian Building</v>
          </cell>
        </row>
      </sheetData>
      <sheetData sheetId="6328">
        <row r="8">
          <cell r="D8" t="str">
            <v>Paramaz Avedisian Building</v>
          </cell>
        </row>
      </sheetData>
      <sheetData sheetId="6329">
        <row r="8">
          <cell r="D8" t="str">
            <v>Paramaz Avedisian Building</v>
          </cell>
        </row>
      </sheetData>
      <sheetData sheetId="6330">
        <row r="8">
          <cell r="D8" t="str">
            <v>Paramaz Avedisian Building</v>
          </cell>
        </row>
      </sheetData>
      <sheetData sheetId="6331">
        <row r="8">
          <cell r="D8" t="str">
            <v>Paramaz Avedisian Building</v>
          </cell>
        </row>
      </sheetData>
      <sheetData sheetId="6332">
        <row r="8">
          <cell r="D8" t="str">
            <v>Paramaz Avedisian Building</v>
          </cell>
        </row>
      </sheetData>
      <sheetData sheetId="6333">
        <row r="8">
          <cell r="D8" t="str">
            <v>Paramaz Avedisian Building</v>
          </cell>
        </row>
      </sheetData>
      <sheetData sheetId="6334">
        <row r="8">
          <cell r="D8" t="str">
            <v>Paramaz Avedisian Building</v>
          </cell>
        </row>
      </sheetData>
      <sheetData sheetId="6335">
        <row r="8">
          <cell r="D8" t="str">
            <v>Paramaz Avedisian Building</v>
          </cell>
        </row>
      </sheetData>
      <sheetData sheetId="6336">
        <row r="8">
          <cell r="D8" t="str">
            <v>Paramaz Avedisian Building</v>
          </cell>
        </row>
      </sheetData>
      <sheetData sheetId="6337">
        <row r="8">
          <cell r="D8" t="str">
            <v>Paramaz Avedisian Building</v>
          </cell>
        </row>
      </sheetData>
      <sheetData sheetId="6338">
        <row r="8">
          <cell r="D8" t="str">
            <v>Paramaz Avedisian Building</v>
          </cell>
        </row>
      </sheetData>
      <sheetData sheetId="6339">
        <row r="8">
          <cell r="D8" t="str">
            <v>Paramaz Avedisian Building</v>
          </cell>
        </row>
      </sheetData>
      <sheetData sheetId="6340">
        <row r="8">
          <cell r="D8" t="str">
            <v>Paramaz Avedisian Building</v>
          </cell>
        </row>
      </sheetData>
      <sheetData sheetId="6341">
        <row r="8">
          <cell r="D8" t="str">
            <v>Paramaz Avedisian Building</v>
          </cell>
        </row>
      </sheetData>
      <sheetData sheetId="6342">
        <row r="8">
          <cell r="D8" t="str">
            <v>Paramaz Avedisian Building</v>
          </cell>
        </row>
      </sheetData>
      <sheetData sheetId="6343">
        <row r="8">
          <cell r="D8" t="str">
            <v>Paramaz Avedisian Building</v>
          </cell>
        </row>
      </sheetData>
      <sheetData sheetId="6344">
        <row r="8">
          <cell r="D8" t="str">
            <v>Paramaz Avedisian Building</v>
          </cell>
        </row>
      </sheetData>
      <sheetData sheetId="6345">
        <row r="8">
          <cell r="D8" t="str">
            <v>Paramaz Avedisian Building</v>
          </cell>
        </row>
      </sheetData>
      <sheetData sheetId="6346">
        <row r="8">
          <cell r="D8" t="str">
            <v>Paramaz Avedisian Building</v>
          </cell>
        </row>
      </sheetData>
      <sheetData sheetId="6347">
        <row r="8">
          <cell r="D8" t="str">
            <v>Paramaz Avedisian Building</v>
          </cell>
        </row>
      </sheetData>
      <sheetData sheetId="6348">
        <row r="8">
          <cell r="D8" t="str">
            <v>Paramaz Avedisian Building</v>
          </cell>
        </row>
      </sheetData>
      <sheetData sheetId="6349">
        <row r="8">
          <cell r="D8" t="str">
            <v>Paramaz Avedisian Building</v>
          </cell>
        </row>
      </sheetData>
      <sheetData sheetId="6350">
        <row r="8">
          <cell r="D8" t="str">
            <v>Paramaz Avedisian Building</v>
          </cell>
        </row>
      </sheetData>
      <sheetData sheetId="6351">
        <row r="8">
          <cell r="D8" t="str">
            <v>Paramaz Avedisian Building</v>
          </cell>
        </row>
      </sheetData>
      <sheetData sheetId="6352">
        <row r="8">
          <cell r="D8" t="str">
            <v>Paramaz Avedisian Building</v>
          </cell>
        </row>
      </sheetData>
      <sheetData sheetId="6353">
        <row r="8">
          <cell r="D8" t="str">
            <v>Paramaz Avedisian Building</v>
          </cell>
        </row>
      </sheetData>
      <sheetData sheetId="6354">
        <row r="8">
          <cell r="D8" t="str">
            <v>Paramaz Avedisian Building</v>
          </cell>
        </row>
      </sheetData>
      <sheetData sheetId="6355">
        <row r="8">
          <cell r="D8" t="str">
            <v>Paramaz Avedisian Building</v>
          </cell>
        </row>
      </sheetData>
      <sheetData sheetId="6356">
        <row r="8">
          <cell r="D8" t="str">
            <v>Paramaz Avedisian Building</v>
          </cell>
        </row>
      </sheetData>
      <sheetData sheetId="6357">
        <row r="8">
          <cell r="D8" t="str">
            <v>Paramaz Avedisian Building</v>
          </cell>
        </row>
      </sheetData>
      <sheetData sheetId="6358">
        <row r="8">
          <cell r="D8" t="str">
            <v>Paramaz Avedisian Building</v>
          </cell>
        </row>
      </sheetData>
      <sheetData sheetId="6359">
        <row r="8">
          <cell r="D8" t="str">
            <v>Paramaz Avedisian Building</v>
          </cell>
        </row>
      </sheetData>
      <sheetData sheetId="6360">
        <row r="8">
          <cell r="D8" t="str">
            <v>Paramaz Avedisian Building</v>
          </cell>
        </row>
      </sheetData>
      <sheetData sheetId="6361">
        <row r="8">
          <cell r="D8" t="str">
            <v>Paramaz Avedisian Building</v>
          </cell>
        </row>
      </sheetData>
      <sheetData sheetId="6362">
        <row r="8">
          <cell r="D8" t="str">
            <v>Paramaz Avedisian Building</v>
          </cell>
        </row>
      </sheetData>
      <sheetData sheetId="6363">
        <row r="8">
          <cell r="D8" t="str">
            <v>Paramaz Avedisian Building</v>
          </cell>
        </row>
      </sheetData>
      <sheetData sheetId="6364">
        <row r="8">
          <cell r="D8" t="str">
            <v>Paramaz Avedisian Building</v>
          </cell>
        </row>
      </sheetData>
      <sheetData sheetId="6365">
        <row r="8">
          <cell r="D8" t="str">
            <v>Paramaz Avedisian Building</v>
          </cell>
        </row>
      </sheetData>
      <sheetData sheetId="6366">
        <row r="8">
          <cell r="D8" t="str">
            <v>Paramaz Avedisian Building</v>
          </cell>
        </row>
      </sheetData>
      <sheetData sheetId="6367">
        <row r="8">
          <cell r="D8" t="str">
            <v>Paramaz Avedisian Building</v>
          </cell>
        </row>
      </sheetData>
      <sheetData sheetId="6368">
        <row r="8">
          <cell r="D8" t="str">
            <v>Paramaz Avedisian Building</v>
          </cell>
        </row>
      </sheetData>
      <sheetData sheetId="6369">
        <row r="8">
          <cell r="D8" t="str">
            <v>Paramaz Avedisian Building</v>
          </cell>
        </row>
      </sheetData>
      <sheetData sheetId="6370">
        <row r="8">
          <cell r="D8" t="str">
            <v>Paramaz Avedisian Building</v>
          </cell>
        </row>
      </sheetData>
      <sheetData sheetId="6371">
        <row r="8">
          <cell r="D8" t="str">
            <v>Paramaz Avedisian Building</v>
          </cell>
        </row>
      </sheetData>
      <sheetData sheetId="6372">
        <row r="8">
          <cell r="D8" t="str">
            <v>Paramaz Avedisian Building</v>
          </cell>
        </row>
      </sheetData>
      <sheetData sheetId="6373">
        <row r="8">
          <cell r="D8" t="str">
            <v>Paramaz Avedisian Building</v>
          </cell>
        </row>
      </sheetData>
      <sheetData sheetId="6374">
        <row r="8">
          <cell r="D8" t="str">
            <v>Paramaz Avedisian Building</v>
          </cell>
        </row>
      </sheetData>
      <sheetData sheetId="6375">
        <row r="8">
          <cell r="D8" t="str">
            <v>Paramaz Avedisian Building</v>
          </cell>
        </row>
      </sheetData>
      <sheetData sheetId="6376">
        <row r="8">
          <cell r="D8" t="str">
            <v>Paramaz Avedisian Building</v>
          </cell>
        </row>
      </sheetData>
      <sheetData sheetId="6377">
        <row r="8">
          <cell r="D8" t="str">
            <v>Paramaz Avedisian Building</v>
          </cell>
        </row>
      </sheetData>
      <sheetData sheetId="6378">
        <row r="8">
          <cell r="D8" t="str">
            <v>Paramaz Avedisian Building</v>
          </cell>
        </row>
      </sheetData>
      <sheetData sheetId="6379">
        <row r="8">
          <cell r="D8" t="str">
            <v>Paramaz Avedisian Building</v>
          </cell>
        </row>
      </sheetData>
      <sheetData sheetId="6380">
        <row r="8">
          <cell r="D8" t="str">
            <v>Paramaz Avedisian Building</v>
          </cell>
        </row>
      </sheetData>
      <sheetData sheetId="6381">
        <row r="8">
          <cell r="D8" t="str">
            <v>Paramaz Avedisian Building</v>
          </cell>
        </row>
      </sheetData>
      <sheetData sheetId="6382">
        <row r="8">
          <cell r="D8" t="str">
            <v>Paramaz Avedisian Building</v>
          </cell>
        </row>
      </sheetData>
      <sheetData sheetId="6383">
        <row r="8">
          <cell r="D8" t="str">
            <v>Paramaz Avedisian Building</v>
          </cell>
        </row>
      </sheetData>
      <sheetData sheetId="6384">
        <row r="8">
          <cell r="D8" t="str">
            <v>Paramaz Avedisian Building</v>
          </cell>
        </row>
      </sheetData>
      <sheetData sheetId="6385">
        <row r="8">
          <cell r="D8" t="str">
            <v>Paramaz Avedisian Building</v>
          </cell>
        </row>
      </sheetData>
      <sheetData sheetId="6386">
        <row r="8">
          <cell r="D8" t="str">
            <v>Paramaz Avedisian Building</v>
          </cell>
        </row>
      </sheetData>
      <sheetData sheetId="6387">
        <row r="8">
          <cell r="D8" t="str">
            <v>Paramaz Avedisian Building</v>
          </cell>
        </row>
      </sheetData>
      <sheetData sheetId="6388">
        <row r="8">
          <cell r="D8" t="str">
            <v>Paramaz Avedisian Building</v>
          </cell>
        </row>
      </sheetData>
      <sheetData sheetId="6389">
        <row r="8">
          <cell r="D8" t="str">
            <v>Paramaz Avedisian Building</v>
          </cell>
        </row>
      </sheetData>
      <sheetData sheetId="6390">
        <row r="8">
          <cell r="D8" t="str">
            <v>Paramaz Avedisian Building</v>
          </cell>
        </row>
      </sheetData>
      <sheetData sheetId="6391">
        <row r="8">
          <cell r="D8" t="str">
            <v>Paramaz Avedisian Building</v>
          </cell>
        </row>
      </sheetData>
      <sheetData sheetId="6392">
        <row r="8">
          <cell r="D8" t="str">
            <v>Paramaz Avedisian Building</v>
          </cell>
        </row>
      </sheetData>
      <sheetData sheetId="6393">
        <row r="8">
          <cell r="D8" t="str">
            <v>Paramaz Avedisian Building</v>
          </cell>
        </row>
      </sheetData>
      <sheetData sheetId="6394">
        <row r="8">
          <cell r="D8" t="str">
            <v>Paramaz Avedisian Building</v>
          </cell>
        </row>
      </sheetData>
      <sheetData sheetId="6395">
        <row r="8">
          <cell r="D8" t="str">
            <v>Paramaz Avedisian Building</v>
          </cell>
        </row>
      </sheetData>
      <sheetData sheetId="6396">
        <row r="8">
          <cell r="D8" t="str">
            <v>Paramaz Avedisian Building</v>
          </cell>
        </row>
      </sheetData>
      <sheetData sheetId="6397">
        <row r="8">
          <cell r="D8" t="str">
            <v>Paramaz Avedisian Building</v>
          </cell>
        </row>
      </sheetData>
      <sheetData sheetId="6398">
        <row r="8">
          <cell r="D8" t="str">
            <v>Paramaz Avedisian Building</v>
          </cell>
        </row>
      </sheetData>
      <sheetData sheetId="6399">
        <row r="8">
          <cell r="D8" t="str">
            <v>Paramaz Avedisian Building</v>
          </cell>
        </row>
      </sheetData>
      <sheetData sheetId="6400">
        <row r="8">
          <cell r="D8" t="str">
            <v>Paramaz Avedisian Building</v>
          </cell>
        </row>
      </sheetData>
      <sheetData sheetId="6401">
        <row r="8">
          <cell r="D8" t="str">
            <v>Paramaz Avedisian Building</v>
          </cell>
        </row>
      </sheetData>
      <sheetData sheetId="6402">
        <row r="8">
          <cell r="D8" t="str">
            <v>Paramaz Avedisian Building</v>
          </cell>
        </row>
      </sheetData>
      <sheetData sheetId="6403">
        <row r="8">
          <cell r="D8" t="str">
            <v>Paramaz Avedisian Building</v>
          </cell>
        </row>
      </sheetData>
      <sheetData sheetId="6404">
        <row r="8">
          <cell r="D8" t="str">
            <v>Paramaz Avedisian Building</v>
          </cell>
        </row>
      </sheetData>
      <sheetData sheetId="6405">
        <row r="8">
          <cell r="D8" t="str">
            <v>Paramaz Avedisian Building</v>
          </cell>
        </row>
      </sheetData>
      <sheetData sheetId="6406">
        <row r="8">
          <cell r="D8" t="str">
            <v>Paramaz Avedisian Building</v>
          </cell>
        </row>
      </sheetData>
      <sheetData sheetId="6407">
        <row r="8">
          <cell r="D8" t="str">
            <v>Paramaz Avedisian Building</v>
          </cell>
        </row>
      </sheetData>
      <sheetData sheetId="6408">
        <row r="8">
          <cell r="D8" t="str">
            <v>Paramaz Avedisian Building</v>
          </cell>
        </row>
      </sheetData>
      <sheetData sheetId="6409">
        <row r="8">
          <cell r="D8" t="str">
            <v>Paramaz Avedisian Building</v>
          </cell>
        </row>
      </sheetData>
      <sheetData sheetId="6410">
        <row r="8">
          <cell r="D8" t="str">
            <v>Paramaz Avedisian Building</v>
          </cell>
        </row>
      </sheetData>
      <sheetData sheetId="6411">
        <row r="8">
          <cell r="D8" t="str">
            <v>Paramaz Avedisian Building</v>
          </cell>
        </row>
      </sheetData>
      <sheetData sheetId="6412">
        <row r="8">
          <cell r="D8" t="str">
            <v>Paramaz Avedisian Building</v>
          </cell>
        </row>
      </sheetData>
      <sheetData sheetId="6413">
        <row r="8">
          <cell r="D8" t="str">
            <v>Paramaz Avedisian Building</v>
          </cell>
        </row>
      </sheetData>
      <sheetData sheetId="6414">
        <row r="8">
          <cell r="D8" t="str">
            <v>Paramaz Avedisian Building</v>
          </cell>
        </row>
      </sheetData>
      <sheetData sheetId="6415">
        <row r="8">
          <cell r="D8" t="str">
            <v>Paramaz Avedisian Building</v>
          </cell>
        </row>
      </sheetData>
      <sheetData sheetId="6416">
        <row r="8">
          <cell r="D8" t="str">
            <v>Paramaz Avedisian Building</v>
          </cell>
        </row>
      </sheetData>
      <sheetData sheetId="6417">
        <row r="8">
          <cell r="D8" t="str">
            <v>Paramaz Avedisian Building</v>
          </cell>
        </row>
      </sheetData>
      <sheetData sheetId="6418">
        <row r="8">
          <cell r="D8" t="str">
            <v>Paramaz Avedisian Building</v>
          </cell>
        </row>
      </sheetData>
      <sheetData sheetId="6419">
        <row r="8">
          <cell r="D8" t="str">
            <v>Paramaz Avedisian Building</v>
          </cell>
        </row>
      </sheetData>
      <sheetData sheetId="6420">
        <row r="8">
          <cell r="D8" t="str">
            <v>Paramaz Avedisian Building</v>
          </cell>
        </row>
      </sheetData>
      <sheetData sheetId="6421">
        <row r="8">
          <cell r="D8" t="str">
            <v>Paramaz Avedisian Building</v>
          </cell>
        </row>
      </sheetData>
      <sheetData sheetId="6422">
        <row r="8">
          <cell r="D8" t="str">
            <v>Paramaz Avedisian Building</v>
          </cell>
        </row>
      </sheetData>
      <sheetData sheetId="6423">
        <row r="8">
          <cell r="D8" t="str">
            <v>Paramaz Avedisian Building</v>
          </cell>
        </row>
      </sheetData>
      <sheetData sheetId="6424">
        <row r="8">
          <cell r="D8" t="str">
            <v>Paramaz Avedisian Building</v>
          </cell>
        </row>
      </sheetData>
      <sheetData sheetId="6425">
        <row r="8">
          <cell r="D8" t="str">
            <v>Paramaz Avedisian Building</v>
          </cell>
        </row>
      </sheetData>
      <sheetData sheetId="6426">
        <row r="8">
          <cell r="D8" t="str">
            <v>Paramaz Avedisian Building</v>
          </cell>
        </row>
      </sheetData>
      <sheetData sheetId="6427">
        <row r="8">
          <cell r="D8" t="str">
            <v>Paramaz Avedisian Building</v>
          </cell>
        </row>
      </sheetData>
      <sheetData sheetId="6428">
        <row r="8">
          <cell r="D8" t="str">
            <v>Paramaz Avedisian Building</v>
          </cell>
        </row>
      </sheetData>
      <sheetData sheetId="6429">
        <row r="8">
          <cell r="D8" t="str">
            <v>Paramaz Avedisian Building</v>
          </cell>
        </row>
      </sheetData>
      <sheetData sheetId="6430">
        <row r="8">
          <cell r="D8" t="str">
            <v>Paramaz Avedisian Building</v>
          </cell>
        </row>
      </sheetData>
      <sheetData sheetId="6431">
        <row r="8">
          <cell r="D8" t="str">
            <v>Paramaz Avedisian Building</v>
          </cell>
        </row>
      </sheetData>
      <sheetData sheetId="6432">
        <row r="8">
          <cell r="D8" t="str">
            <v>Paramaz Avedisian Building</v>
          </cell>
        </row>
      </sheetData>
      <sheetData sheetId="6433">
        <row r="8">
          <cell r="D8" t="str">
            <v>Paramaz Avedisian Building</v>
          </cell>
        </row>
      </sheetData>
      <sheetData sheetId="6434">
        <row r="8">
          <cell r="D8" t="str">
            <v>Paramaz Avedisian Building</v>
          </cell>
        </row>
      </sheetData>
      <sheetData sheetId="6435">
        <row r="8">
          <cell r="D8" t="str">
            <v>Paramaz Avedisian Building</v>
          </cell>
        </row>
      </sheetData>
      <sheetData sheetId="6436">
        <row r="8">
          <cell r="D8" t="str">
            <v>Paramaz Avedisian Building</v>
          </cell>
        </row>
      </sheetData>
      <sheetData sheetId="6437">
        <row r="8">
          <cell r="D8" t="str">
            <v>Paramaz Avedisian Building</v>
          </cell>
        </row>
      </sheetData>
      <sheetData sheetId="6438">
        <row r="8">
          <cell r="D8" t="str">
            <v>Paramaz Avedisian Building</v>
          </cell>
        </row>
      </sheetData>
      <sheetData sheetId="6439">
        <row r="8">
          <cell r="D8" t="str">
            <v>Paramaz Avedisian Building</v>
          </cell>
        </row>
      </sheetData>
      <sheetData sheetId="6440">
        <row r="8">
          <cell r="D8" t="str">
            <v>Paramaz Avedisian Building</v>
          </cell>
        </row>
      </sheetData>
      <sheetData sheetId="6441">
        <row r="8">
          <cell r="D8" t="str">
            <v>Paramaz Avedisian Building</v>
          </cell>
        </row>
      </sheetData>
      <sheetData sheetId="6442">
        <row r="8">
          <cell r="D8" t="str">
            <v>Paramaz Avedisian Building</v>
          </cell>
        </row>
      </sheetData>
      <sheetData sheetId="6443">
        <row r="8">
          <cell r="D8" t="str">
            <v>Paramaz Avedisian Building</v>
          </cell>
        </row>
      </sheetData>
      <sheetData sheetId="6444">
        <row r="8">
          <cell r="D8" t="str">
            <v>Paramaz Avedisian Building</v>
          </cell>
        </row>
      </sheetData>
      <sheetData sheetId="6445">
        <row r="8">
          <cell r="D8" t="str">
            <v>Paramaz Avedisian Building</v>
          </cell>
        </row>
      </sheetData>
      <sheetData sheetId="6446">
        <row r="8">
          <cell r="D8" t="str">
            <v>Paramaz Avedisian Building</v>
          </cell>
        </row>
      </sheetData>
      <sheetData sheetId="6447">
        <row r="8">
          <cell r="D8" t="str">
            <v>Paramaz Avedisian Building</v>
          </cell>
        </row>
      </sheetData>
      <sheetData sheetId="6448">
        <row r="8">
          <cell r="D8" t="str">
            <v>Paramaz Avedisian Building</v>
          </cell>
        </row>
      </sheetData>
      <sheetData sheetId="6449">
        <row r="8">
          <cell r="D8" t="str">
            <v>Paramaz Avedisian Building</v>
          </cell>
        </row>
      </sheetData>
      <sheetData sheetId="6450">
        <row r="8">
          <cell r="D8" t="str">
            <v>Paramaz Avedisian Building</v>
          </cell>
        </row>
      </sheetData>
      <sheetData sheetId="6451">
        <row r="8">
          <cell r="D8" t="str">
            <v>Paramaz Avedisian Building</v>
          </cell>
        </row>
      </sheetData>
      <sheetData sheetId="6452">
        <row r="8">
          <cell r="D8" t="str">
            <v>Paramaz Avedisian Building</v>
          </cell>
        </row>
      </sheetData>
      <sheetData sheetId="6453">
        <row r="8">
          <cell r="D8" t="str">
            <v>Paramaz Avedisian Building</v>
          </cell>
        </row>
      </sheetData>
      <sheetData sheetId="6454">
        <row r="8">
          <cell r="D8" t="str">
            <v>Paramaz Avedisian Building</v>
          </cell>
        </row>
      </sheetData>
      <sheetData sheetId="6455">
        <row r="8">
          <cell r="D8" t="str">
            <v>Paramaz Avedisian Building</v>
          </cell>
        </row>
      </sheetData>
      <sheetData sheetId="6456">
        <row r="8">
          <cell r="D8" t="str">
            <v>Paramaz Avedisian Building</v>
          </cell>
        </row>
      </sheetData>
      <sheetData sheetId="6457">
        <row r="8">
          <cell r="D8" t="str">
            <v>Paramaz Avedisian Building</v>
          </cell>
        </row>
      </sheetData>
      <sheetData sheetId="6458">
        <row r="8">
          <cell r="D8" t="str">
            <v>Paramaz Avedisian Building</v>
          </cell>
        </row>
      </sheetData>
      <sheetData sheetId="6459">
        <row r="8">
          <cell r="D8" t="str">
            <v>Paramaz Avedisian Building</v>
          </cell>
        </row>
      </sheetData>
      <sheetData sheetId="6460">
        <row r="8">
          <cell r="D8" t="str">
            <v>Paramaz Avedisian Building</v>
          </cell>
        </row>
      </sheetData>
      <sheetData sheetId="6461">
        <row r="8">
          <cell r="D8" t="str">
            <v>Paramaz Avedisian Building</v>
          </cell>
        </row>
      </sheetData>
      <sheetData sheetId="6462">
        <row r="8">
          <cell r="D8" t="str">
            <v>Paramaz Avedisian Building</v>
          </cell>
        </row>
      </sheetData>
      <sheetData sheetId="6463">
        <row r="8">
          <cell r="D8" t="str">
            <v>Paramaz Avedisian Building</v>
          </cell>
        </row>
      </sheetData>
      <sheetData sheetId="6464">
        <row r="8">
          <cell r="D8" t="str">
            <v>Paramaz Avedisian Building</v>
          </cell>
        </row>
      </sheetData>
      <sheetData sheetId="6465">
        <row r="8">
          <cell r="D8" t="str">
            <v>Paramaz Avedisian Building</v>
          </cell>
        </row>
      </sheetData>
      <sheetData sheetId="6466">
        <row r="8">
          <cell r="D8" t="str">
            <v>Paramaz Avedisian Building</v>
          </cell>
        </row>
      </sheetData>
      <sheetData sheetId="6467">
        <row r="8">
          <cell r="D8" t="str">
            <v>Paramaz Avedisian Building</v>
          </cell>
        </row>
      </sheetData>
      <sheetData sheetId="6468">
        <row r="8">
          <cell r="D8" t="str">
            <v>Paramaz Avedisian Building</v>
          </cell>
        </row>
      </sheetData>
      <sheetData sheetId="6469">
        <row r="8">
          <cell r="D8" t="str">
            <v>Paramaz Avedisian Building</v>
          </cell>
        </row>
      </sheetData>
      <sheetData sheetId="6470">
        <row r="8">
          <cell r="D8" t="str">
            <v>Paramaz Avedisian Building</v>
          </cell>
        </row>
      </sheetData>
      <sheetData sheetId="6471">
        <row r="8">
          <cell r="D8" t="str">
            <v>Paramaz Avedisian Building</v>
          </cell>
        </row>
      </sheetData>
      <sheetData sheetId="6472"/>
      <sheetData sheetId="6473">
        <row r="8">
          <cell r="D8" t="str">
            <v>Paramaz Avedisian Building</v>
          </cell>
        </row>
      </sheetData>
      <sheetData sheetId="6474">
        <row r="8">
          <cell r="D8" t="str">
            <v>Paramaz Avedisian Building</v>
          </cell>
        </row>
      </sheetData>
      <sheetData sheetId="6475">
        <row r="8">
          <cell r="D8" t="str">
            <v>Paramaz Avedisian Building</v>
          </cell>
        </row>
      </sheetData>
      <sheetData sheetId="6476">
        <row r="8">
          <cell r="D8" t="str">
            <v>Paramaz Avedisian Building</v>
          </cell>
        </row>
      </sheetData>
      <sheetData sheetId="6477">
        <row r="8">
          <cell r="D8" t="str">
            <v>Paramaz Avedisian Building</v>
          </cell>
        </row>
      </sheetData>
      <sheetData sheetId="6478">
        <row r="8">
          <cell r="D8" t="str">
            <v>Paramaz Avedisian Building</v>
          </cell>
        </row>
      </sheetData>
      <sheetData sheetId="6479">
        <row r="8">
          <cell r="D8" t="str">
            <v>Paramaz Avedisian Building</v>
          </cell>
        </row>
      </sheetData>
      <sheetData sheetId="6480">
        <row r="8">
          <cell r="D8" t="str">
            <v>Paramaz Avedisian Building</v>
          </cell>
        </row>
      </sheetData>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ow r="8">
          <cell r="D8" t="str">
            <v>Paramaz Avedisian Building</v>
          </cell>
        </row>
      </sheetData>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ow r="8">
          <cell r="D8" t="str">
            <v>Paramaz Avedisian Building</v>
          </cell>
        </row>
      </sheetData>
      <sheetData sheetId="6544"/>
      <sheetData sheetId="6545"/>
      <sheetData sheetId="6546"/>
      <sheetData sheetId="6547">
        <row r="8">
          <cell r="D8" t="str">
            <v>Paramaz Avedisian Building</v>
          </cell>
        </row>
      </sheetData>
      <sheetData sheetId="6548"/>
      <sheetData sheetId="6549">
        <row r="8">
          <cell r="D8" t="str">
            <v>Paramaz Avedisian Building</v>
          </cell>
        </row>
      </sheetData>
      <sheetData sheetId="6550"/>
      <sheetData sheetId="6551">
        <row r="8">
          <cell r="D8" t="str">
            <v>Paramaz Avedisian Building</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ow r="8">
          <cell r="D8" t="str">
            <v>Paramaz Avedisian Building</v>
          </cell>
        </row>
      </sheetData>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ow r="8">
          <cell r="D8" t="str">
            <v>Paramaz Avedisian Building</v>
          </cell>
        </row>
      </sheetData>
      <sheetData sheetId="6574">
        <row r="8">
          <cell r="D8" t="str">
            <v>Paramaz Avedisian Building</v>
          </cell>
        </row>
      </sheetData>
      <sheetData sheetId="6575">
        <row r="8">
          <cell r="D8" t="str">
            <v>Paramaz Avedisian Building</v>
          </cell>
        </row>
      </sheetData>
      <sheetData sheetId="6576">
        <row r="8">
          <cell r="D8" t="str">
            <v>Paramaz Avedisian Building</v>
          </cell>
        </row>
      </sheetData>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ow r="8">
          <cell r="D8" t="str">
            <v>Paramaz Avedisian Building</v>
          </cell>
        </row>
      </sheetData>
      <sheetData sheetId="6621">
        <row r="8">
          <cell r="D8" t="str">
            <v>Paramaz Avedisian Building</v>
          </cell>
        </row>
      </sheetData>
      <sheetData sheetId="6622">
        <row r="8">
          <cell r="D8" t="str">
            <v>Paramaz Avedisian Building</v>
          </cell>
        </row>
      </sheetData>
      <sheetData sheetId="6623" refreshError="1"/>
      <sheetData sheetId="6624">
        <row r="8">
          <cell r="D8" t="str">
            <v>Paramaz Avedisian Building</v>
          </cell>
        </row>
      </sheetData>
      <sheetData sheetId="6625">
        <row r="8">
          <cell r="D8" t="str">
            <v>Paramaz Avedisian Building</v>
          </cell>
        </row>
      </sheetData>
      <sheetData sheetId="6626">
        <row r="8">
          <cell r="D8" t="str">
            <v>Paramaz Avedisian Building</v>
          </cell>
        </row>
      </sheetData>
      <sheetData sheetId="6627">
        <row r="8">
          <cell r="D8" t="str">
            <v>Paramaz Avedisian Building</v>
          </cell>
        </row>
      </sheetData>
      <sheetData sheetId="6628">
        <row r="8">
          <cell r="D8" t="str">
            <v>Paramaz Avedisian Building</v>
          </cell>
        </row>
      </sheetData>
      <sheetData sheetId="6629">
        <row r="8">
          <cell r="D8" t="str">
            <v>Paramaz Avedisian Building</v>
          </cell>
        </row>
      </sheetData>
      <sheetData sheetId="6630">
        <row r="8">
          <cell r="D8" t="str">
            <v>Paramaz Avedisian Building</v>
          </cell>
        </row>
      </sheetData>
      <sheetData sheetId="6631">
        <row r="8">
          <cell r="D8" t="str">
            <v>Paramaz Avedisian Building</v>
          </cell>
        </row>
      </sheetData>
      <sheetData sheetId="6632">
        <row r="8">
          <cell r="D8" t="str">
            <v>Paramaz Avedisian Building</v>
          </cell>
        </row>
      </sheetData>
      <sheetData sheetId="6633">
        <row r="8">
          <cell r="D8" t="str">
            <v>Paramaz Avedisian Building</v>
          </cell>
        </row>
      </sheetData>
      <sheetData sheetId="6634">
        <row r="8">
          <cell r="D8" t="str">
            <v>Paramaz Avedisian Building</v>
          </cell>
        </row>
      </sheetData>
      <sheetData sheetId="6635">
        <row r="8">
          <cell r="D8" t="str">
            <v>Paramaz Avedisian Building</v>
          </cell>
        </row>
      </sheetData>
      <sheetData sheetId="6636">
        <row r="8">
          <cell r="D8" t="str">
            <v>Paramaz Avedisian Building</v>
          </cell>
        </row>
      </sheetData>
      <sheetData sheetId="6637" refreshError="1"/>
      <sheetData sheetId="6638">
        <row r="8">
          <cell r="D8" t="str">
            <v>Paramaz Avedisian Building</v>
          </cell>
        </row>
      </sheetData>
      <sheetData sheetId="6639">
        <row r="8">
          <cell r="D8" t="str">
            <v>Paramaz Avedisian Building</v>
          </cell>
        </row>
      </sheetData>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ow r="8">
          <cell r="D8" t="str">
            <v>Paramaz Avedisian Building</v>
          </cell>
        </row>
      </sheetData>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ow r="8">
          <cell r="D8" t="str">
            <v>ASU's Application</v>
          </cell>
        </row>
      </sheetData>
      <sheetData sheetId="6795">
        <row r="8">
          <cell r="D8" t="str">
            <v>Paramaz Avedisian Building</v>
          </cell>
        </row>
      </sheetData>
      <sheetData sheetId="6796">
        <row r="8">
          <cell r="D8" t="str">
            <v>Paramaz Avedisian Building</v>
          </cell>
        </row>
      </sheetData>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ow r="8">
          <cell r="D8" t="str">
            <v>Paramaz Avedisian Building</v>
          </cell>
        </row>
      </sheetData>
      <sheetData sheetId="6827" refreshError="1"/>
      <sheetData sheetId="6828" refreshError="1"/>
      <sheetData sheetId="6829" refreshError="1"/>
      <sheetData sheetId="6830" refreshError="1"/>
      <sheetData sheetId="6831" refreshError="1"/>
      <sheetData sheetId="6832">
        <row r="8">
          <cell r="D8" t="str">
            <v>Paramaz Avedisian Building</v>
          </cell>
        </row>
      </sheetData>
      <sheetData sheetId="6833" refreshError="1"/>
      <sheetData sheetId="6834" refreshError="1"/>
      <sheetData sheetId="6835" refreshError="1"/>
      <sheetData sheetId="6836" refreshError="1"/>
      <sheetData sheetId="6837" refreshError="1"/>
      <sheetData sheetId="6838" refreshError="1"/>
      <sheetData sheetId="6839" refreshError="1"/>
      <sheetData sheetId="6840">
        <row r="8">
          <cell r="D8" t="str">
            <v>Paramaz Avedisian Building</v>
          </cell>
        </row>
      </sheetData>
      <sheetData sheetId="6841">
        <row r="8">
          <cell r="D8" t="str">
            <v>Paramaz Avedisian Building</v>
          </cell>
        </row>
      </sheetData>
      <sheetData sheetId="6842">
        <row r="8">
          <cell r="D8" t="str">
            <v>Paramaz Avedisian Building</v>
          </cell>
        </row>
      </sheetData>
      <sheetData sheetId="6843">
        <row r="8">
          <cell r="D8" t="str">
            <v>Paramaz Avedisian Building</v>
          </cell>
        </row>
      </sheetData>
      <sheetData sheetId="6844">
        <row r="8">
          <cell r="D8" t="str">
            <v>Paramaz Avedisian Building</v>
          </cell>
        </row>
      </sheetData>
      <sheetData sheetId="6845">
        <row r="8">
          <cell r="D8" t="str">
            <v>Paramaz Avedisian Building</v>
          </cell>
        </row>
      </sheetData>
      <sheetData sheetId="6846">
        <row r="8">
          <cell r="D8" t="str">
            <v>Paramaz Avedisian Building</v>
          </cell>
        </row>
      </sheetData>
      <sheetData sheetId="6847">
        <row r="8">
          <cell r="D8" t="str">
            <v>Paramaz Avedisian Building</v>
          </cell>
        </row>
      </sheetData>
      <sheetData sheetId="6848">
        <row r="8">
          <cell r="D8" t="str">
            <v>Paramaz Avedisian Building</v>
          </cell>
        </row>
      </sheetData>
      <sheetData sheetId="6849">
        <row r="8">
          <cell r="D8" t="str">
            <v>Paramaz Avedisian Building</v>
          </cell>
        </row>
      </sheetData>
      <sheetData sheetId="6850">
        <row r="8">
          <cell r="D8" t="str">
            <v>Paramaz Avedisian Building</v>
          </cell>
        </row>
      </sheetData>
      <sheetData sheetId="6851">
        <row r="8">
          <cell r="D8" t="str">
            <v>Paramaz Avedisian Building</v>
          </cell>
        </row>
      </sheetData>
      <sheetData sheetId="6852">
        <row r="8">
          <cell r="D8" t="str">
            <v>Paramaz Avedisian Building</v>
          </cell>
        </row>
      </sheetData>
      <sheetData sheetId="6853">
        <row r="8">
          <cell r="D8" t="str">
            <v>Paramaz Avedisian Building</v>
          </cell>
        </row>
      </sheetData>
      <sheetData sheetId="6854">
        <row r="8">
          <cell r="D8" t="str">
            <v>Paramaz Avedisian Building</v>
          </cell>
        </row>
      </sheetData>
      <sheetData sheetId="6855">
        <row r="8">
          <cell r="D8" t="str">
            <v>Paramaz Avedisian Building</v>
          </cell>
        </row>
      </sheetData>
      <sheetData sheetId="6856">
        <row r="8">
          <cell r="D8" t="str">
            <v>Paramaz Avedisian Building</v>
          </cell>
        </row>
      </sheetData>
      <sheetData sheetId="6857">
        <row r="8">
          <cell r="D8" t="str">
            <v>Paramaz Avedisian Building</v>
          </cell>
        </row>
      </sheetData>
      <sheetData sheetId="6858">
        <row r="8">
          <cell r="D8" t="str">
            <v>Paramaz Avedisian Building</v>
          </cell>
        </row>
      </sheetData>
      <sheetData sheetId="6859">
        <row r="8">
          <cell r="D8" t="str">
            <v>Paramaz Avedisian Building</v>
          </cell>
        </row>
      </sheetData>
      <sheetData sheetId="6860">
        <row r="8">
          <cell r="D8" t="str">
            <v>Paramaz Avedisian Building</v>
          </cell>
        </row>
      </sheetData>
      <sheetData sheetId="6861"/>
      <sheetData sheetId="6862"/>
      <sheetData sheetId="6863">
        <row r="8">
          <cell r="D8" t="str">
            <v>Paramaz Avedisian Building</v>
          </cell>
        </row>
      </sheetData>
      <sheetData sheetId="6864">
        <row r="8">
          <cell r="D8" t="str">
            <v>Paramaz Avedisian Building</v>
          </cell>
        </row>
      </sheetData>
      <sheetData sheetId="6865">
        <row r="8">
          <cell r="D8" t="str">
            <v>Paramaz Avedisian Building</v>
          </cell>
        </row>
      </sheetData>
      <sheetData sheetId="6866">
        <row r="8">
          <cell r="D8" t="str">
            <v>Paramaz Avedisian Building</v>
          </cell>
        </row>
      </sheetData>
      <sheetData sheetId="6867">
        <row r="8">
          <cell r="D8" t="str">
            <v>Paramaz Avedisian Building</v>
          </cell>
        </row>
      </sheetData>
      <sheetData sheetId="6868">
        <row r="8">
          <cell r="D8" t="str">
            <v>Paramaz Avedisian Building</v>
          </cell>
        </row>
      </sheetData>
      <sheetData sheetId="6869">
        <row r="8">
          <cell r="D8" t="str">
            <v>Paramaz Avedisian Building</v>
          </cell>
        </row>
      </sheetData>
      <sheetData sheetId="6870">
        <row r="8">
          <cell r="D8" t="str">
            <v>Paramaz Avedisian Building</v>
          </cell>
        </row>
      </sheetData>
      <sheetData sheetId="6871">
        <row r="8">
          <cell r="D8" t="str">
            <v>Paramaz Avedisian Building</v>
          </cell>
        </row>
      </sheetData>
      <sheetData sheetId="6872">
        <row r="8">
          <cell r="D8" t="str">
            <v>Paramaz Avedisian Building</v>
          </cell>
        </row>
      </sheetData>
      <sheetData sheetId="6873">
        <row r="8">
          <cell r="D8" t="str">
            <v>Paramaz Avedisian Building</v>
          </cell>
        </row>
      </sheetData>
      <sheetData sheetId="6874">
        <row r="8">
          <cell r="D8" t="str">
            <v>Paramaz Avedisian Building</v>
          </cell>
        </row>
      </sheetData>
      <sheetData sheetId="6875">
        <row r="8">
          <cell r="D8" t="str">
            <v>Paramaz Avedisian Building</v>
          </cell>
        </row>
      </sheetData>
      <sheetData sheetId="6876">
        <row r="8">
          <cell r="D8" t="str">
            <v>Paramaz Avedisian Building</v>
          </cell>
        </row>
      </sheetData>
      <sheetData sheetId="6877">
        <row r="8">
          <cell r="D8" t="str">
            <v>Paramaz Avedisian Building</v>
          </cell>
        </row>
      </sheetData>
      <sheetData sheetId="6878">
        <row r="8">
          <cell r="D8" t="str">
            <v>Paramaz Avedisian Building</v>
          </cell>
        </row>
      </sheetData>
      <sheetData sheetId="6879">
        <row r="8">
          <cell r="D8" t="str">
            <v>Paramaz Avedisian Building</v>
          </cell>
        </row>
      </sheetData>
      <sheetData sheetId="6880">
        <row r="8">
          <cell r="D8" t="str">
            <v>Paramaz Avedisian Building</v>
          </cell>
        </row>
      </sheetData>
      <sheetData sheetId="6881">
        <row r="8">
          <cell r="D8" t="str">
            <v>Paramaz Avedisian Building</v>
          </cell>
        </row>
      </sheetData>
      <sheetData sheetId="6882">
        <row r="8">
          <cell r="D8" t="str">
            <v>Paramaz Avedisian Building</v>
          </cell>
        </row>
      </sheetData>
      <sheetData sheetId="6883">
        <row r="8">
          <cell r="D8" t="str">
            <v>Paramaz Avedisian Building</v>
          </cell>
        </row>
      </sheetData>
      <sheetData sheetId="6884">
        <row r="8">
          <cell r="D8" t="str">
            <v>Paramaz Avedisian Building</v>
          </cell>
        </row>
      </sheetData>
      <sheetData sheetId="6885">
        <row r="8">
          <cell r="D8" t="str">
            <v>Paramaz Avedisian Building</v>
          </cell>
        </row>
      </sheetData>
      <sheetData sheetId="6886">
        <row r="8">
          <cell r="D8" t="str">
            <v>Paramaz Avedisian Building</v>
          </cell>
        </row>
      </sheetData>
      <sheetData sheetId="6887">
        <row r="8">
          <cell r="D8" t="str">
            <v>Paramaz Avedisian Building</v>
          </cell>
        </row>
      </sheetData>
      <sheetData sheetId="6888">
        <row r="8">
          <cell r="D8" t="str">
            <v>Paramaz Avedisian Building</v>
          </cell>
        </row>
      </sheetData>
      <sheetData sheetId="6889">
        <row r="8">
          <cell r="D8" t="str">
            <v>Paramaz Avedisian Building</v>
          </cell>
        </row>
      </sheetData>
      <sheetData sheetId="6890">
        <row r="8">
          <cell r="D8" t="str">
            <v>Paramaz Avedisian Building</v>
          </cell>
        </row>
      </sheetData>
      <sheetData sheetId="6891">
        <row r="8">
          <cell r="D8" t="str">
            <v>Paramaz Avedisian Building</v>
          </cell>
        </row>
      </sheetData>
      <sheetData sheetId="6892">
        <row r="8">
          <cell r="D8" t="str">
            <v>Paramaz Avedisian Building</v>
          </cell>
        </row>
      </sheetData>
      <sheetData sheetId="6893">
        <row r="8">
          <cell r="D8" t="str">
            <v>Paramaz Avedisian Building</v>
          </cell>
        </row>
      </sheetData>
      <sheetData sheetId="6894">
        <row r="8">
          <cell r="D8" t="str">
            <v>Paramaz Avedisian Building</v>
          </cell>
        </row>
      </sheetData>
      <sheetData sheetId="6895">
        <row r="8">
          <cell r="D8" t="str">
            <v>Paramaz Avedisian Building</v>
          </cell>
        </row>
      </sheetData>
      <sheetData sheetId="6896"/>
      <sheetData sheetId="6897"/>
      <sheetData sheetId="6898"/>
      <sheetData sheetId="6899">
        <row r="8">
          <cell r="D8" t="str">
            <v>Paramaz Avedisian Building</v>
          </cell>
        </row>
      </sheetData>
      <sheetData sheetId="6900">
        <row r="8">
          <cell r="D8" t="str">
            <v>Paramaz Avedisian Building</v>
          </cell>
        </row>
      </sheetData>
      <sheetData sheetId="6901">
        <row r="8">
          <cell r="D8" t="str">
            <v>Paramaz Avedisian Building</v>
          </cell>
        </row>
      </sheetData>
      <sheetData sheetId="6902">
        <row r="8">
          <cell r="D8" t="str">
            <v>Paramaz Avedisian Building</v>
          </cell>
        </row>
      </sheetData>
      <sheetData sheetId="6903">
        <row r="8">
          <cell r="D8" t="str">
            <v>Paramaz Avedisian Building</v>
          </cell>
        </row>
      </sheetData>
      <sheetData sheetId="6904">
        <row r="8">
          <cell r="D8" t="str">
            <v>Paramaz Avedisian Building</v>
          </cell>
        </row>
      </sheetData>
      <sheetData sheetId="6905">
        <row r="8">
          <cell r="D8" t="str">
            <v>Paramaz Avedisian Building</v>
          </cell>
        </row>
      </sheetData>
      <sheetData sheetId="6906">
        <row r="8">
          <cell r="D8" t="str">
            <v>Paramaz Avedisian Building</v>
          </cell>
        </row>
      </sheetData>
      <sheetData sheetId="6907">
        <row r="8">
          <cell r="D8" t="str">
            <v>Paramaz Avedisian Building</v>
          </cell>
        </row>
      </sheetData>
      <sheetData sheetId="6908">
        <row r="8">
          <cell r="D8" t="str">
            <v>Paramaz Avedisian Building</v>
          </cell>
        </row>
      </sheetData>
      <sheetData sheetId="6909">
        <row r="8">
          <cell r="D8" t="str">
            <v>Paramaz Avedisian Building</v>
          </cell>
        </row>
      </sheetData>
      <sheetData sheetId="6910">
        <row r="8">
          <cell r="D8" t="str">
            <v>Paramaz Avedisian Building</v>
          </cell>
        </row>
      </sheetData>
      <sheetData sheetId="6911">
        <row r="8">
          <cell r="D8" t="str">
            <v>Paramaz Avedisian Building</v>
          </cell>
        </row>
      </sheetData>
      <sheetData sheetId="6912">
        <row r="8">
          <cell r="D8" t="str">
            <v>Paramaz Avedisian Building</v>
          </cell>
        </row>
      </sheetData>
      <sheetData sheetId="6913">
        <row r="8">
          <cell r="D8" t="str">
            <v>Paramaz Avedisian Building</v>
          </cell>
        </row>
      </sheetData>
      <sheetData sheetId="6914"/>
      <sheetData sheetId="6915"/>
      <sheetData sheetId="6916"/>
      <sheetData sheetId="6917">
        <row r="8">
          <cell r="D8" t="str">
            <v>Paramaz Avedisian Building</v>
          </cell>
        </row>
      </sheetData>
      <sheetData sheetId="6918">
        <row r="8">
          <cell r="D8" t="str">
            <v>Paramaz Avedisian Building</v>
          </cell>
        </row>
      </sheetData>
      <sheetData sheetId="6919">
        <row r="8">
          <cell r="D8" t="str">
            <v>Paramaz Avedisian Building</v>
          </cell>
        </row>
      </sheetData>
      <sheetData sheetId="6920">
        <row r="8">
          <cell r="D8" t="str">
            <v>Paramaz Avedisian Building</v>
          </cell>
        </row>
      </sheetData>
      <sheetData sheetId="6921">
        <row r="8">
          <cell r="D8" t="str">
            <v>Paramaz Avedisian Building</v>
          </cell>
        </row>
      </sheetData>
      <sheetData sheetId="6922">
        <row r="8">
          <cell r="D8" t="str">
            <v>Paramaz Avedisian Building</v>
          </cell>
        </row>
      </sheetData>
      <sheetData sheetId="6923">
        <row r="8">
          <cell r="D8" t="str">
            <v>Paramaz Avedisian Building</v>
          </cell>
        </row>
      </sheetData>
      <sheetData sheetId="6924">
        <row r="8">
          <cell r="D8" t="str">
            <v>Paramaz Avedisian Building</v>
          </cell>
        </row>
      </sheetData>
      <sheetData sheetId="6925">
        <row r="8">
          <cell r="D8" t="str">
            <v>Paramaz Avedisian Building</v>
          </cell>
        </row>
      </sheetData>
      <sheetData sheetId="6926">
        <row r="8">
          <cell r="D8" t="str">
            <v>Paramaz Avedisian Building</v>
          </cell>
        </row>
      </sheetData>
      <sheetData sheetId="6927">
        <row r="8">
          <cell r="D8" t="str">
            <v>Paramaz Avedisian Building</v>
          </cell>
        </row>
      </sheetData>
      <sheetData sheetId="6928">
        <row r="8">
          <cell r="D8" t="str">
            <v>Paramaz Avedisian Building</v>
          </cell>
        </row>
      </sheetData>
      <sheetData sheetId="6929">
        <row r="8">
          <cell r="D8" t="str">
            <v>Paramaz Avedisian Building</v>
          </cell>
        </row>
      </sheetData>
      <sheetData sheetId="6930">
        <row r="8">
          <cell r="D8" t="str">
            <v>Paramaz Avedisian Building</v>
          </cell>
        </row>
      </sheetData>
      <sheetData sheetId="6931">
        <row r="8">
          <cell r="D8" t="str">
            <v>Paramaz Avedisian Building</v>
          </cell>
        </row>
      </sheetData>
      <sheetData sheetId="6932"/>
      <sheetData sheetId="6933"/>
      <sheetData sheetId="6934"/>
      <sheetData sheetId="6935">
        <row r="8">
          <cell r="D8" t="str">
            <v>Paramaz Avedisian Building</v>
          </cell>
        </row>
      </sheetData>
      <sheetData sheetId="6936">
        <row r="8">
          <cell r="D8" t="str">
            <v>Paramaz Avedisian Building</v>
          </cell>
        </row>
      </sheetData>
      <sheetData sheetId="6937">
        <row r="8">
          <cell r="D8" t="str">
            <v>Paramaz Avedisian Building</v>
          </cell>
        </row>
      </sheetData>
      <sheetData sheetId="6938">
        <row r="8">
          <cell r="D8" t="str">
            <v>Paramaz Avedisian Building</v>
          </cell>
        </row>
      </sheetData>
      <sheetData sheetId="6939">
        <row r="8">
          <cell r="D8" t="str">
            <v>Paramaz Avedisian Building</v>
          </cell>
        </row>
      </sheetData>
      <sheetData sheetId="6940">
        <row r="8">
          <cell r="D8" t="str">
            <v>Paramaz Avedisian Building</v>
          </cell>
        </row>
      </sheetData>
      <sheetData sheetId="6941">
        <row r="8">
          <cell r="D8" t="str">
            <v>Paramaz Avedisian Building</v>
          </cell>
        </row>
      </sheetData>
      <sheetData sheetId="6942">
        <row r="8">
          <cell r="D8" t="str">
            <v>Paramaz Avedisian Building</v>
          </cell>
        </row>
      </sheetData>
      <sheetData sheetId="6943">
        <row r="8">
          <cell r="D8" t="str">
            <v>Paramaz Avedisian Building</v>
          </cell>
        </row>
      </sheetData>
      <sheetData sheetId="6944">
        <row r="8">
          <cell r="D8" t="str">
            <v>Paramaz Avedisian Building</v>
          </cell>
        </row>
      </sheetData>
      <sheetData sheetId="6945">
        <row r="8">
          <cell r="D8" t="str">
            <v>Paramaz Avedisian Building</v>
          </cell>
        </row>
      </sheetData>
      <sheetData sheetId="6946">
        <row r="8">
          <cell r="D8" t="str">
            <v>Paramaz Avedisian Building</v>
          </cell>
        </row>
      </sheetData>
      <sheetData sheetId="6947">
        <row r="8">
          <cell r="D8" t="str">
            <v>Paramaz Avedisian Building</v>
          </cell>
        </row>
      </sheetData>
      <sheetData sheetId="6948">
        <row r="8">
          <cell r="D8" t="str">
            <v>Paramaz Avedisian Building</v>
          </cell>
        </row>
      </sheetData>
      <sheetData sheetId="6949">
        <row r="8">
          <cell r="D8" t="str">
            <v>Paramaz Avedisian Building</v>
          </cell>
        </row>
      </sheetData>
      <sheetData sheetId="6950">
        <row r="8">
          <cell r="D8" t="str">
            <v>Paramaz Avedisian Building</v>
          </cell>
        </row>
      </sheetData>
      <sheetData sheetId="6951">
        <row r="8">
          <cell r="D8" t="str">
            <v>Paramaz Avedisian Building</v>
          </cell>
        </row>
      </sheetData>
      <sheetData sheetId="6952"/>
      <sheetData sheetId="6953">
        <row r="8">
          <cell r="D8" t="str">
            <v>Paramaz Avedisian Building</v>
          </cell>
        </row>
      </sheetData>
      <sheetData sheetId="6954">
        <row r="8">
          <cell r="D8" t="str">
            <v>Paramaz Avedisian Building</v>
          </cell>
        </row>
      </sheetData>
      <sheetData sheetId="6955">
        <row r="8">
          <cell r="D8" t="str">
            <v>Paramaz Avedisian Building</v>
          </cell>
        </row>
      </sheetData>
      <sheetData sheetId="6956">
        <row r="8">
          <cell r="D8" t="str">
            <v>Paramaz Avedisian Building</v>
          </cell>
        </row>
      </sheetData>
      <sheetData sheetId="6957">
        <row r="8">
          <cell r="D8" t="str">
            <v>Paramaz Avedisian Building</v>
          </cell>
        </row>
      </sheetData>
      <sheetData sheetId="6958">
        <row r="8">
          <cell r="D8" t="str">
            <v>Paramaz Avedisian Building</v>
          </cell>
        </row>
      </sheetData>
      <sheetData sheetId="6959">
        <row r="8">
          <cell r="D8" t="str">
            <v>Paramaz Avedisian Building</v>
          </cell>
        </row>
      </sheetData>
      <sheetData sheetId="6960">
        <row r="8">
          <cell r="D8" t="str">
            <v>Paramaz Avedisian Building</v>
          </cell>
        </row>
      </sheetData>
      <sheetData sheetId="6961">
        <row r="8">
          <cell r="D8" t="str">
            <v>Paramaz Avedisian Building</v>
          </cell>
        </row>
      </sheetData>
      <sheetData sheetId="6962">
        <row r="8">
          <cell r="D8" t="str">
            <v>Paramaz Avedisian Building</v>
          </cell>
        </row>
      </sheetData>
      <sheetData sheetId="6963">
        <row r="8">
          <cell r="D8" t="str">
            <v>Paramaz Avedisian Building</v>
          </cell>
        </row>
      </sheetData>
      <sheetData sheetId="6964">
        <row r="8">
          <cell r="D8" t="str">
            <v>Paramaz Avedisian Building</v>
          </cell>
        </row>
      </sheetData>
      <sheetData sheetId="6965">
        <row r="8">
          <cell r="D8" t="str">
            <v>Paramaz Avedisian Building</v>
          </cell>
        </row>
      </sheetData>
      <sheetData sheetId="6966">
        <row r="8">
          <cell r="D8" t="str">
            <v>Paramaz Avedisian Building</v>
          </cell>
        </row>
      </sheetData>
      <sheetData sheetId="6967">
        <row r="8">
          <cell r="D8" t="str">
            <v>Paramaz Avedisian Building</v>
          </cell>
        </row>
      </sheetData>
      <sheetData sheetId="6968">
        <row r="8">
          <cell r="D8" t="str">
            <v>Paramaz Avedisian Building</v>
          </cell>
        </row>
      </sheetData>
      <sheetData sheetId="6969">
        <row r="8">
          <cell r="D8" t="str">
            <v>Paramaz Avedisian Building</v>
          </cell>
        </row>
      </sheetData>
      <sheetData sheetId="6970"/>
      <sheetData sheetId="6971">
        <row r="8">
          <cell r="D8" t="str">
            <v>Paramaz Avedisian Building</v>
          </cell>
        </row>
      </sheetData>
      <sheetData sheetId="6972">
        <row r="8">
          <cell r="D8" t="str">
            <v>Paramaz Avedisian Building</v>
          </cell>
        </row>
      </sheetData>
      <sheetData sheetId="6973">
        <row r="8">
          <cell r="D8" t="str">
            <v>Paramaz Avedisian Building</v>
          </cell>
        </row>
      </sheetData>
      <sheetData sheetId="6974">
        <row r="8">
          <cell r="D8" t="str">
            <v>Paramaz Avedisian Building</v>
          </cell>
        </row>
      </sheetData>
      <sheetData sheetId="6975">
        <row r="8">
          <cell r="D8" t="str">
            <v>Paramaz Avedisian Building</v>
          </cell>
        </row>
      </sheetData>
      <sheetData sheetId="6976">
        <row r="8">
          <cell r="D8" t="str">
            <v>Paramaz Avedisian Building</v>
          </cell>
        </row>
      </sheetData>
      <sheetData sheetId="6977">
        <row r="8">
          <cell r="D8" t="str">
            <v>Paramaz Avedisian Building</v>
          </cell>
        </row>
      </sheetData>
      <sheetData sheetId="6978">
        <row r="8">
          <cell r="D8" t="str">
            <v>Paramaz Avedisian Building</v>
          </cell>
        </row>
      </sheetData>
      <sheetData sheetId="6979">
        <row r="8">
          <cell r="D8" t="str">
            <v>Paramaz Avedisian Building</v>
          </cell>
        </row>
      </sheetData>
      <sheetData sheetId="6980">
        <row r="8">
          <cell r="D8" t="str">
            <v>Paramaz Avedisian Building</v>
          </cell>
        </row>
      </sheetData>
      <sheetData sheetId="6981">
        <row r="8">
          <cell r="D8" t="str">
            <v>Paramaz Avedisian Building</v>
          </cell>
        </row>
      </sheetData>
      <sheetData sheetId="6982">
        <row r="8">
          <cell r="D8" t="str">
            <v>Paramaz Avedisian Building</v>
          </cell>
        </row>
      </sheetData>
      <sheetData sheetId="6983">
        <row r="8">
          <cell r="D8" t="str">
            <v>Paramaz Avedisian Building</v>
          </cell>
        </row>
      </sheetData>
      <sheetData sheetId="6984">
        <row r="8">
          <cell r="D8" t="str">
            <v>Paramaz Avedisian Building</v>
          </cell>
        </row>
      </sheetData>
      <sheetData sheetId="6985">
        <row r="8">
          <cell r="D8" t="str">
            <v>Paramaz Avedisian Building</v>
          </cell>
        </row>
      </sheetData>
      <sheetData sheetId="6986">
        <row r="8">
          <cell r="D8" t="str">
            <v>Paramaz Avedisian Building</v>
          </cell>
        </row>
      </sheetData>
      <sheetData sheetId="6987">
        <row r="8">
          <cell r="D8" t="str">
            <v>Paramaz Avedisian Building</v>
          </cell>
        </row>
      </sheetData>
      <sheetData sheetId="6988">
        <row r="8">
          <cell r="D8" t="str">
            <v>Paramaz Avedisian Building</v>
          </cell>
        </row>
      </sheetData>
      <sheetData sheetId="6989">
        <row r="8">
          <cell r="D8" t="str">
            <v>Paramaz Avedisian Building</v>
          </cell>
        </row>
      </sheetData>
      <sheetData sheetId="6990">
        <row r="8">
          <cell r="D8" t="str">
            <v>Paramaz Avedisian Building</v>
          </cell>
        </row>
      </sheetData>
      <sheetData sheetId="6991">
        <row r="8">
          <cell r="D8" t="str">
            <v>Paramaz Avedisian Building</v>
          </cell>
        </row>
      </sheetData>
      <sheetData sheetId="6992">
        <row r="8">
          <cell r="D8" t="str">
            <v>Paramaz Avedisian Building</v>
          </cell>
        </row>
      </sheetData>
      <sheetData sheetId="6993">
        <row r="8">
          <cell r="D8" t="str">
            <v>Paramaz Avedisian Building</v>
          </cell>
        </row>
      </sheetData>
      <sheetData sheetId="6994">
        <row r="8">
          <cell r="D8" t="str">
            <v>Paramaz Avedisian Building</v>
          </cell>
        </row>
      </sheetData>
      <sheetData sheetId="6995">
        <row r="8">
          <cell r="D8" t="str">
            <v>Paramaz Avedisian Building</v>
          </cell>
        </row>
      </sheetData>
      <sheetData sheetId="6996">
        <row r="8">
          <cell r="D8" t="str">
            <v>Paramaz Avedisian Building</v>
          </cell>
        </row>
      </sheetData>
      <sheetData sheetId="6997">
        <row r="8">
          <cell r="D8" t="str">
            <v>Paramaz Avedisian Building</v>
          </cell>
        </row>
      </sheetData>
      <sheetData sheetId="6998">
        <row r="8">
          <cell r="D8" t="str">
            <v>Paramaz Avedisian Building</v>
          </cell>
        </row>
      </sheetData>
      <sheetData sheetId="6999">
        <row r="8">
          <cell r="D8" t="str">
            <v>Paramaz Avedisian Building</v>
          </cell>
        </row>
      </sheetData>
      <sheetData sheetId="7000">
        <row r="8">
          <cell r="D8" t="str">
            <v>Paramaz Avedisian Building</v>
          </cell>
        </row>
      </sheetData>
      <sheetData sheetId="7001">
        <row r="8">
          <cell r="D8" t="str">
            <v>Paramaz Avedisian Building</v>
          </cell>
        </row>
      </sheetData>
      <sheetData sheetId="7002">
        <row r="8">
          <cell r="D8" t="str">
            <v>Paramaz Avedisian Building</v>
          </cell>
        </row>
      </sheetData>
      <sheetData sheetId="7003">
        <row r="8">
          <cell r="D8" t="str">
            <v>Paramaz Avedisian Building</v>
          </cell>
        </row>
      </sheetData>
      <sheetData sheetId="7004">
        <row r="8">
          <cell r="D8" t="str">
            <v>Paramaz Avedisian Building</v>
          </cell>
        </row>
      </sheetData>
      <sheetData sheetId="7005">
        <row r="8">
          <cell r="D8" t="str">
            <v>Paramaz Avedisian Building</v>
          </cell>
        </row>
      </sheetData>
      <sheetData sheetId="7006"/>
      <sheetData sheetId="7007">
        <row r="8">
          <cell r="D8" t="str">
            <v>Paramaz Avedisian Building</v>
          </cell>
        </row>
      </sheetData>
      <sheetData sheetId="7008">
        <row r="8">
          <cell r="D8" t="str">
            <v>Paramaz Avedisian Building</v>
          </cell>
        </row>
      </sheetData>
      <sheetData sheetId="7009">
        <row r="8">
          <cell r="D8" t="str">
            <v>Paramaz Avedisian Building</v>
          </cell>
        </row>
      </sheetData>
      <sheetData sheetId="7010">
        <row r="8">
          <cell r="D8" t="str">
            <v>Paramaz Avedisian Building</v>
          </cell>
        </row>
      </sheetData>
      <sheetData sheetId="7011">
        <row r="8">
          <cell r="D8" t="str">
            <v>Paramaz Avedisian Building</v>
          </cell>
        </row>
      </sheetData>
      <sheetData sheetId="7012">
        <row r="8">
          <cell r="D8" t="str">
            <v>Paramaz Avedisian Building</v>
          </cell>
        </row>
      </sheetData>
      <sheetData sheetId="7013">
        <row r="8">
          <cell r="D8" t="str">
            <v>Paramaz Avedisian Building</v>
          </cell>
        </row>
      </sheetData>
      <sheetData sheetId="7014">
        <row r="8">
          <cell r="D8" t="str">
            <v>Paramaz Avedisian Building</v>
          </cell>
        </row>
      </sheetData>
      <sheetData sheetId="7015">
        <row r="8">
          <cell r="D8" t="str">
            <v>Paramaz Avedisian Building</v>
          </cell>
        </row>
      </sheetData>
      <sheetData sheetId="7016">
        <row r="8">
          <cell r="D8" t="str">
            <v>Paramaz Avedisian Building</v>
          </cell>
        </row>
      </sheetData>
      <sheetData sheetId="7017">
        <row r="8">
          <cell r="D8" t="str">
            <v>Paramaz Avedisian Building</v>
          </cell>
        </row>
      </sheetData>
      <sheetData sheetId="7018">
        <row r="8">
          <cell r="D8" t="str">
            <v>Paramaz Avedisian Building</v>
          </cell>
        </row>
      </sheetData>
      <sheetData sheetId="7019">
        <row r="8">
          <cell r="D8" t="str">
            <v>Paramaz Avedisian Building</v>
          </cell>
        </row>
      </sheetData>
      <sheetData sheetId="7020">
        <row r="8">
          <cell r="D8" t="str">
            <v>Paramaz Avedisian Building</v>
          </cell>
        </row>
      </sheetData>
      <sheetData sheetId="7021">
        <row r="8">
          <cell r="D8" t="str">
            <v>Paramaz Avedisian Building</v>
          </cell>
        </row>
      </sheetData>
      <sheetData sheetId="7022">
        <row r="8">
          <cell r="D8" t="str">
            <v>Paramaz Avedisian Building</v>
          </cell>
        </row>
      </sheetData>
      <sheetData sheetId="7023">
        <row r="8">
          <cell r="D8" t="str">
            <v>Paramaz Avedisian Building</v>
          </cell>
        </row>
      </sheetData>
      <sheetData sheetId="7024">
        <row r="8">
          <cell r="D8" t="str">
            <v>Paramaz Avedisian Building</v>
          </cell>
        </row>
      </sheetData>
      <sheetData sheetId="7025"/>
      <sheetData sheetId="7026">
        <row r="8">
          <cell r="D8" t="str">
            <v>Paramaz Avedisian Building</v>
          </cell>
        </row>
      </sheetData>
      <sheetData sheetId="7027">
        <row r="8">
          <cell r="D8" t="str">
            <v>Paramaz Avedisian Building</v>
          </cell>
        </row>
      </sheetData>
      <sheetData sheetId="7028">
        <row r="8">
          <cell r="D8" t="str">
            <v>Paramaz Avedisian Building</v>
          </cell>
        </row>
      </sheetData>
      <sheetData sheetId="7029">
        <row r="8">
          <cell r="D8" t="str">
            <v>Paramaz Avedisian Building</v>
          </cell>
        </row>
      </sheetData>
      <sheetData sheetId="7030">
        <row r="8">
          <cell r="D8" t="str">
            <v>Paramaz Avedisian Building</v>
          </cell>
        </row>
      </sheetData>
      <sheetData sheetId="7031">
        <row r="8">
          <cell r="D8" t="str">
            <v>Paramaz Avedisian Building</v>
          </cell>
        </row>
      </sheetData>
      <sheetData sheetId="7032">
        <row r="8">
          <cell r="D8" t="str">
            <v>Paramaz Avedisian Building</v>
          </cell>
        </row>
      </sheetData>
      <sheetData sheetId="7033">
        <row r="8">
          <cell r="D8" t="str">
            <v>Paramaz Avedisian Building</v>
          </cell>
        </row>
      </sheetData>
      <sheetData sheetId="7034">
        <row r="8">
          <cell r="D8" t="str">
            <v>Paramaz Avedisian Building</v>
          </cell>
        </row>
      </sheetData>
      <sheetData sheetId="7035">
        <row r="8">
          <cell r="D8" t="str">
            <v>Paramaz Avedisian Building</v>
          </cell>
        </row>
      </sheetData>
      <sheetData sheetId="7036">
        <row r="8">
          <cell r="D8" t="str">
            <v>Paramaz Avedisian Building</v>
          </cell>
        </row>
      </sheetData>
      <sheetData sheetId="7037">
        <row r="8">
          <cell r="D8" t="str">
            <v>Paramaz Avedisian Building</v>
          </cell>
        </row>
      </sheetData>
      <sheetData sheetId="7038">
        <row r="8">
          <cell r="D8" t="str">
            <v>Paramaz Avedisian Building</v>
          </cell>
        </row>
      </sheetData>
      <sheetData sheetId="7039">
        <row r="8">
          <cell r="D8" t="str">
            <v>Paramaz Avedisian Building</v>
          </cell>
        </row>
      </sheetData>
      <sheetData sheetId="7040">
        <row r="8">
          <cell r="D8" t="str">
            <v>Paramaz Avedisian Building</v>
          </cell>
        </row>
      </sheetData>
      <sheetData sheetId="7041">
        <row r="8">
          <cell r="D8" t="str">
            <v>Paramaz Avedisian Building</v>
          </cell>
        </row>
      </sheetData>
      <sheetData sheetId="7042">
        <row r="8">
          <cell r="D8" t="str">
            <v>Paramaz Avedisian Building</v>
          </cell>
        </row>
      </sheetData>
      <sheetData sheetId="7043">
        <row r="8">
          <cell r="D8" t="str">
            <v>Paramaz Avedisian Building</v>
          </cell>
        </row>
      </sheetData>
      <sheetData sheetId="7044">
        <row r="8">
          <cell r="D8" t="str">
            <v>Paramaz Avedisian Building</v>
          </cell>
        </row>
      </sheetData>
      <sheetData sheetId="7045">
        <row r="8">
          <cell r="D8" t="str">
            <v>Paramaz Avedisian Building</v>
          </cell>
        </row>
      </sheetData>
      <sheetData sheetId="7046">
        <row r="8">
          <cell r="D8" t="str">
            <v>Paramaz Avedisian Building</v>
          </cell>
        </row>
      </sheetData>
      <sheetData sheetId="7047">
        <row r="8">
          <cell r="D8" t="str">
            <v>Paramaz Avedisian Building</v>
          </cell>
        </row>
      </sheetData>
      <sheetData sheetId="7048">
        <row r="8">
          <cell r="D8" t="str">
            <v>Paramaz Avedisian Building</v>
          </cell>
        </row>
      </sheetData>
      <sheetData sheetId="7049">
        <row r="8">
          <cell r="D8" t="str">
            <v>Paramaz Avedisian Building</v>
          </cell>
        </row>
      </sheetData>
      <sheetData sheetId="7050">
        <row r="8">
          <cell r="D8" t="str">
            <v>Paramaz Avedisian Building</v>
          </cell>
        </row>
      </sheetData>
      <sheetData sheetId="7051">
        <row r="8">
          <cell r="D8" t="str">
            <v>Paramaz Avedisian Building</v>
          </cell>
        </row>
      </sheetData>
      <sheetData sheetId="7052">
        <row r="8">
          <cell r="D8" t="str">
            <v>Paramaz Avedisian Building</v>
          </cell>
        </row>
      </sheetData>
      <sheetData sheetId="7053">
        <row r="8">
          <cell r="D8" t="str">
            <v>Paramaz Avedisian Building</v>
          </cell>
        </row>
      </sheetData>
      <sheetData sheetId="7054">
        <row r="8">
          <cell r="D8" t="str">
            <v>Paramaz Avedisian Building</v>
          </cell>
        </row>
      </sheetData>
      <sheetData sheetId="7055">
        <row r="8">
          <cell r="D8" t="str">
            <v>Paramaz Avedisian Building</v>
          </cell>
        </row>
      </sheetData>
      <sheetData sheetId="7056">
        <row r="8">
          <cell r="D8" t="str">
            <v>Paramaz Avedisian Building</v>
          </cell>
        </row>
      </sheetData>
      <sheetData sheetId="7057">
        <row r="8">
          <cell r="D8" t="str">
            <v>Paramaz Avedisian Building</v>
          </cell>
        </row>
      </sheetData>
      <sheetData sheetId="7058">
        <row r="8">
          <cell r="D8" t="str">
            <v>Paramaz Avedisian Building</v>
          </cell>
        </row>
      </sheetData>
      <sheetData sheetId="7059">
        <row r="8">
          <cell r="D8" t="str">
            <v>Paramaz Avedisian Building</v>
          </cell>
        </row>
      </sheetData>
      <sheetData sheetId="7060"/>
      <sheetData sheetId="7061">
        <row r="8">
          <cell r="D8" t="str">
            <v>Paramaz Avedisian Building</v>
          </cell>
        </row>
      </sheetData>
      <sheetData sheetId="7062">
        <row r="8">
          <cell r="D8" t="str">
            <v>Paramaz Avedisian Building</v>
          </cell>
        </row>
      </sheetData>
      <sheetData sheetId="7063">
        <row r="8">
          <cell r="D8" t="str">
            <v>Paramaz Avedisian Building</v>
          </cell>
        </row>
      </sheetData>
      <sheetData sheetId="7064">
        <row r="8">
          <cell r="D8" t="str">
            <v>Paramaz Avedisian Building</v>
          </cell>
        </row>
      </sheetData>
      <sheetData sheetId="7065">
        <row r="8">
          <cell r="D8" t="str">
            <v>Paramaz Avedisian Building</v>
          </cell>
        </row>
      </sheetData>
      <sheetData sheetId="7066">
        <row r="8">
          <cell r="D8" t="str">
            <v>Paramaz Avedisian Building</v>
          </cell>
        </row>
      </sheetData>
      <sheetData sheetId="7067">
        <row r="8">
          <cell r="D8" t="str">
            <v>Paramaz Avedisian Building</v>
          </cell>
        </row>
      </sheetData>
      <sheetData sheetId="7068">
        <row r="8">
          <cell r="D8" t="str">
            <v>Paramaz Avedisian Building</v>
          </cell>
        </row>
      </sheetData>
      <sheetData sheetId="7069">
        <row r="8">
          <cell r="D8" t="str">
            <v>Paramaz Avedisian Building</v>
          </cell>
        </row>
      </sheetData>
      <sheetData sheetId="7070">
        <row r="8">
          <cell r="D8" t="str">
            <v>Paramaz Avedisian Building</v>
          </cell>
        </row>
      </sheetData>
      <sheetData sheetId="7071">
        <row r="8">
          <cell r="D8" t="str">
            <v>Paramaz Avedisian Building</v>
          </cell>
        </row>
      </sheetData>
      <sheetData sheetId="7072">
        <row r="8">
          <cell r="D8" t="str">
            <v>Paramaz Avedisian Building</v>
          </cell>
        </row>
      </sheetData>
      <sheetData sheetId="7073">
        <row r="8">
          <cell r="D8" t="str">
            <v>Paramaz Avedisian Building</v>
          </cell>
        </row>
      </sheetData>
      <sheetData sheetId="7074">
        <row r="8">
          <cell r="D8" t="str">
            <v>Paramaz Avedisian Building</v>
          </cell>
        </row>
      </sheetData>
      <sheetData sheetId="7075">
        <row r="8">
          <cell r="D8" t="str">
            <v>Paramaz Avedisian Building</v>
          </cell>
        </row>
      </sheetData>
      <sheetData sheetId="7076">
        <row r="8">
          <cell r="D8" t="str">
            <v>Paramaz Avedisian Building</v>
          </cell>
        </row>
      </sheetData>
      <sheetData sheetId="7077">
        <row r="8">
          <cell r="D8" t="str">
            <v>Paramaz Avedisian Building</v>
          </cell>
        </row>
      </sheetData>
      <sheetData sheetId="7078"/>
      <sheetData sheetId="7079"/>
      <sheetData sheetId="7080">
        <row r="8">
          <cell r="D8" t="str">
            <v>Paramaz Avedisian Building</v>
          </cell>
        </row>
      </sheetData>
      <sheetData sheetId="7081">
        <row r="8">
          <cell r="D8" t="str">
            <v>Paramaz Avedisian Building</v>
          </cell>
        </row>
      </sheetData>
      <sheetData sheetId="7082">
        <row r="8">
          <cell r="D8" t="str">
            <v>Paramaz Avedisian Building</v>
          </cell>
        </row>
      </sheetData>
      <sheetData sheetId="7083">
        <row r="8">
          <cell r="D8" t="str">
            <v>Paramaz Avedisian Building</v>
          </cell>
        </row>
      </sheetData>
      <sheetData sheetId="7084">
        <row r="8">
          <cell r="D8" t="str">
            <v>Paramaz Avedisian Building</v>
          </cell>
        </row>
      </sheetData>
      <sheetData sheetId="7085">
        <row r="8">
          <cell r="D8" t="str">
            <v>Paramaz Avedisian Building</v>
          </cell>
        </row>
      </sheetData>
      <sheetData sheetId="7086">
        <row r="8">
          <cell r="D8" t="str">
            <v>Paramaz Avedisian Building</v>
          </cell>
        </row>
      </sheetData>
      <sheetData sheetId="7087">
        <row r="8">
          <cell r="D8" t="str">
            <v>Paramaz Avedisian Building</v>
          </cell>
        </row>
      </sheetData>
      <sheetData sheetId="7088">
        <row r="8">
          <cell r="D8" t="str">
            <v>Paramaz Avedisian Building</v>
          </cell>
        </row>
      </sheetData>
      <sheetData sheetId="7089">
        <row r="8">
          <cell r="D8" t="str">
            <v>Paramaz Avedisian Building</v>
          </cell>
        </row>
      </sheetData>
      <sheetData sheetId="7090">
        <row r="8">
          <cell r="D8" t="str">
            <v>Paramaz Avedisian Building</v>
          </cell>
        </row>
      </sheetData>
      <sheetData sheetId="7091">
        <row r="8">
          <cell r="D8" t="str">
            <v>Paramaz Avedisian Building</v>
          </cell>
        </row>
      </sheetData>
      <sheetData sheetId="7092">
        <row r="8">
          <cell r="D8" t="str">
            <v>Paramaz Avedisian Building</v>
          </cell>
        </row>
      </sheetData>
      <sheetData sheetId="7093">
        <row r="8">
          <cell r="D8" t="str">
            <v>Paramaz Avedisian Building</v>
          </cell>
        </row>
      </sheetData>
      <sheetData sheetId="7094">
        <row r="8">
          <cell r="D8" t="str">
            <v>Paramaz Avedisian Building</v>
          </cell>
        </row>
      </sheetData>
      <sheetData sheetId="7095">
        <row r="8">
          <cell r="D8" t="str">
            <v>Paramaz Avedisian Building</v>
          </cell>
        </row>
      </sheetData>
      <sheetData sheetId="7096">
        <row r="8">
          <cell r="D8" t="str">
            <v>Paramaz Avedisian Building</v>
          </cell>
        </row>
      </sheetData>
      <sheetData sheetId="7097">
        <row r="8">
          <cell r="D8" t="str">
            <v>Paramaz Avedisian Building</v>
          </cell>
        </row>
      </sheetData>
      <sheetData sheetId="7098">
        <row r="8">
          <cell r="D8" t="str">
            <v>Paramaz Avedisian Building</v>
          </cell>
        </row>
      </sheetData>
      <sheetData sheetId="7099">
        <row r="8">
          <cell r="D8" t="str">
            <v>Paramaz Avedisian Building</v>
          </cell>
        </row>
      </sheetData>
      <sheetData sheetId="7100">
        <row r="8">
          <cell r="D8" t="str">
            <v>Paramaz Avedisian Building</v>
          </cell>
        </row>
      </sheetData>
      <sheetData sheetId="7101">
        <row r="8">
          <cell r="D8" t="str">
            <v>Paramaz Avedisian Building</v>
          </cell>
        </row>
      </sheetData>
      <sheetData sheetId="7102">
        <row r="8">
          <cell r="D8" t="str">
            <v>Paramaz Avedisian Building</v>
          </cell>
        </row>
      </sheetData>
      <sheetData sheetId="7103">
        <row r="8">
          <cell r="D8" t="str">
            <v>Paramaz Avedisian Building</v>
          </cell>
        </row>
      </sheetData>
      <sheetData sheetId="7104">
        <row r="8">
          <cell r="D8" t="str">
            <v>Paramaz Avedisian Building</v>
          </cell>
        </row>
      </sheetData>
      <sheetData sheetId="7105">
        <row r="8">
          <cell r="D8" t="str">
            <v>Paramaz Avedisian Building</v>
          </cell>
        </row>
      </sheetData>
      <sheetData sheetId="7106">
        <row r="8">
          <cell r="D8" t="str">
            <v>Paramaz Avedisian Building</v>
          </cell>
        </row>
      </sheetData>
      <sheetData sheetId="7107">
        <row r="8">
          <cell r="D8" t="str">
            <v>Paramaz Avedisian Building</v>
          </cell>
        </row>
      </sheetData>
      <sheetData sheetId="7108">
        <row r="8">
          <cell r="D8" t="str">
            <v>Paramaz Avedisian Building</v>
          </cell>
        </row>
      </sheetData>
      <sheetData sheetId="7109">
        <row r="8">
          <cell r="D8" t="str">
            <v>Paramaz Avedisian Building</v>
          </cell>
        </row>
      </sheetData>
      <sheetData sheetId="7110">
        <row r="8">
          <cell r="D8" t="str">
            <v>Paramaz Avedisian Building</v>
          </cell>
        </row>
      </sheetData>
      <sheetData sheetId="7111">
        <row r="8">
          <cell r="D8" t="str">
            <v>Paramaz Avedisian Building</v>
          </cell>
        </row>
      </sheetData>
      <sheetData sheetId="7112">
        <row r="8">
          <cell r="D8" t="str">
            <v>Paramaz Avedisian Building</v>
          </cell>
        </row>
      </sheetData>
      <sheetData sheetId="7113"/>
      <sheetData sheetId="7114"/>
      <sheetData sheetId="7115"/>
      <sheetData sheetId="7116">
        <row r="8">
          <cell r="D8" t="str">
            <v>Paramaz Avedisian Building</v>
          </cell>
        </row>
      </sheetData>
      <sheetData sheetId="7117">
        <row r="8">
          <cell r="D8" t="str">
            <v>Paramaz Avedisian Building</v>
          </cell>
        </row>
      </sheetData>
      <sheetData sheetId="7118">
        <row r="8">
          <cell r="D8" t="str">
            <v>Paramaz Avedisian Building</v>
          </cell>
        </row>
      </sheetData>
      <sheetData sheetId="7119">
        <row r="8">
          <cell r="D8" t="str">
            <v>Paramaz Avedisian Building</v>
          </cell>
        </row>
      </sheetData>
      <sheetData sheetId="7120">
        <row r="8">
          <cell r="D8" t="str">
            <v>Paramaz Avedisian Building</v>
          </cell>
        </row>
      </sheetData>
      <sheetData sheetId="7121">
        <row r="8">
          <cell r="D8" t="str">
            <v>Paramaz Avedisian Building</v>
          </cell>
        </row>
      </sheetData>
      <sheetData sheetId="7122">
        <row r="8">
          <cell r="D8" t="str">
            <v>Paramaz Avedisian Building</v>
          </cell>
        </row>
      </sheetData>
      <sheetData sheetId="7123">
        <row r="8">
          <cell r="D8" t="str">
            <v>Paramaz Avedisian Building</v>
          </cell>
        </row>
      </sheetData>
      <sheetData sheetId="7124">
        <row r="8">
          <cell r="D8" t="str">
            <v>Paramaz Avedisian Building</v>
          </cell>
        </row>
      </sheetData>
      <sheetData sheetId="7125">
        <row r="8">
          <cell r="D8" t="str">
            <v>Paramaz Avedisian Building</v>
          </cell>
        </row>
      </sheetData>
      <sheetData sheetId="7126">
        <row r="8">
          <cell r="D8" t="str">
            <v>Paramaz Avedisian Building</v>
          </cell>
        </row>
      </sheetData>
      <sheetData sheetId="7127">
        <row r="8">
          <cell r="D8" t="str">
            <v>Paramaz Avedisian Building</v>
          </cell>
        </row>
      </sheetData>
      <sheetData sheetId="7128">
        <row r="8">
          <cell r="D8" t="str">
            <v>Paramaz Avedisian Building</v>
          </cell>
        </row>
      </sheetData>
      <sheetData sheetId="7129">
        <row r="8">
          <cell r="D8" t="str">
            <v>Paramaz Avedisian Building</v>
          </cell>
        </row>
      </sheetData>
      <sheetData sheetId="7130">
        <row r="8">
          <cell r="D8" t="str">
            <v>Paramaz Avedisian Building</v>
          </cell>
        </row>
      </sheetData>
      <sheetData sheetId="7131"/>
      <sheetData sheetId="7132"/>
      <sheetData sheetId="7133"/>
      <sheetData sheetId="7134">
        <row r="8">
          <cell r="D8" t="str">
            <v>Paramaz Avedisian Building</v>
          </cell>
        </row>
      </sheetData>
      <sheetData sheetId="7135">
        <row r="8">
          <cell r="D8" t="str">
            <v>Paramaz Avedisian Building</v>
          </cell>
        </row>
      </sheetData>
      <sheetData sheetId="7136">
        <row r="8">
          <cell r="D8" t="str">
            <v>Paramaz Avedisian Building</v>
          </cell>
        </row>
      </sheetData>
      <sheetData sheetId="7137">
        <row r="8">
          <cell r="D8" t="str">
            <v>Paramaz Avedisian Building</v>
          </cell>
        </row>
      </sheetData>
      <sheetData sheetId="7138">
        <row r="8">
          <cell r="D8" t="str">
            <v>Paramaz Avedisian Building</v>
          </cell>
        </row>
      </sheetData>
      <sheetData sheetId="7139">
        <row r="8">
          <cell r="D8" t="str">
            <v>Paramaz Avedisian Building</v>
          </cell>
        </row>
      </sheetData>
      <sheetData sheetId="7140">
        <row r="8">
          <cell r="D8" t="str">
            <v>Paramaz Avedisian Building</v>
          </cell>
        </row>
      </sheetData>
      <sheetData sheetId="7141">
        <row r="8">
          <cell r="D8" t="str">
            <v>Paramaz Avedisian Building</v>
          </cell>
        </row>
      </sheetData>
      <sheetData sheetId="7142">
        <row r="8">
          <cell r="D8" t="str">
            <v>Paramaz Avedisian Building</v>
          </cell>
        </row>
      </sheetData>
      <sheetData sheetId="7143">
        <row r="8">
          <cell r="D8" t="str">
            <v>Paramaz Avedisian Building</v>
          </cell>
        </row>
      </sheetData>
      <sheetData sheetId="7144">
        <row r="8">
          <cell r="D8" t="str">
            <v>Paramaz Avedisian Building</v>
          </cell>
        </row>
      </sheetData>
      <sheetData sheetId="7145">
        <row r="8">
          <cell r="D8" t="str">
            <v>Paramaz Avedisian Building</v>
          </cell>
        </row>
      </sheetData>
      <sheetData sheetId="7146">
        <row r="8">
          <cell r="D8" t="str">
            <v>Paramaz Avedisian Building</v>
          </cell>
        </row>
      </sheetData>
      <sheetData sheetId="7147">
        <row r="8">
          <cell r="D8" t="str">
            <v>Paramaz Avedisian Building</v>
          </cell>
        </row>
      </sheetData>
      <sheetData sheetId="7148">
        <row r="8">
          <cell r="D8" t="str">
            <v>Paramaz Avedisian Building</v>
          </cell>
        </row>
      </sheetData>
      <sheetData sheetId="7149"/>
      <sheetData sheetId="7150"/>
      <sheetData sheetId="7151"/>
      <sheetData sheetId="7152">
        <row r="8">
          <cell r="D8" t="str">
            <v>Paramaz Avedisian Building</v>
          </cell>
        </row>
      </sheetData>
      <sheetData sheetId="7153">
        <row r="8">
          <cell r="D8" t="str">
            <v>Paramaz Avedisian Building</v>
          </cell>
        </row>
      </sheetData>
      <sheetData sheetId="7154">
        <row r="8">
          <cell r="D8" t="str">
            <v>Paramaz Avedisian Building</v>
          </cell>
        </row>
      </sheetData>
      <sheetData sheetId="7155">
        <row r="8">
          <cell r="D8" t="str">
            <v>Paramaz Avedisian Building</v>
          </cell>
        </row>
      </sheetData>
      <sheetData sheetId="7156">
        <row r="8">
          <cell r="D8" t="str">
            <v>Paramaz Avedisian Building</v>
          </cell>
        </row>
      </sheetData>
      <sheetData sheetId="7157">
        <row r="8">
          <cell r="D8" t="str">
            <v>Paramaz Avedisian Building</v>
          </cell>
        </row>
      </sheetData>
      <sheetData sheetId="7158">
        <row r="8">
          <cell r="D8" t="str">
            <v>Paramaz Avedisian Building</v>
          </cell>
        </row>
      </sheetData>
      <sheetData sheetId="7159">
        <row r="8">
          <cell r="D8" t="str">
            <v>Paramaz Avedisian Building</v>
          </cell>
        </row>
      </sheetData>
      <sheetData sheetId="7160">
        <row r="8">
          <cell r="D8" t="str">
            <v>Paramaz Avedisian Building</v>
          </cell>
        </row>
      </sheetData>
      <sheetData sheetId="7161">
        <row r="8">
          <cell r="D8" t="str">
            <v>Paramaz Avedisian Building</v>
          </cell>
        </row>
      </sheetData>
      <sheetData sheetId="7162">
        <row r="8">
          <cell r="D8" t="str">
            <v>Paramaz Avedisian Building</v>
          </cell>
        </row>
      </sheetData>
      <sheetData sheetId="7163">
        <row r="8">
          <cell r="D8" t="str">
            <v>Paramaz Avedisian Building</v>
          </cell>
        </row>
      </sheetData>
      <sheetData sheetId="7164"/>
      <sheetData sheetId="7165"/>
      <sheetData sheetId="7166"/>
      <sheetData sheetId="7167"/>
      <sheetData sheetId="7168"/>
      <sheetData sheetId="7169"/>
      <sheetData sheetId="7170">
        <row r="8">
          <cell r="D8" t="str">
            <v>Paramaz Avedisian Building</v>
          </cell>
        </row>
      </sheetData>
      <sheetData sheetId="7171">
        <row r="8">
          <cell r="D8" t="str">
            <v>Paramaz Avedisian Building</v>
          </cell>
        </row>
      </sheetData>
      <sheetData sheetId="7172">
        <row r="8">
          <cell r="D8" t="str">
            <v>Paramaz Avedisian Building</v>
          </cell>
        </row>
      </sheetData>
      <sheetData sheetId="7173">
        <row r="8">
          <cell r="D8" t="str">
            <v>Paramaz Avedisian Building</v>
          </cell>
        </row>
      </sheetData>
      <sheetData sheetId="7174">
        <row r="8">
          <cell r="D8" t="str">
            <v>Paramaz Avedisian Building</v>
          </cell>
        </row>
      </sheetData>
      <sheetData sheetId="7175">
        <row r="8">
          <cell r="D8" t="str">
            <v>Paramaz Avedisian Building</v>
          </cell>
        </row>
      </sheetData>
      <sheetData sheetId="7176">
        <row r="8">
          <cell r="D8" t="str">
            <v>Paramaz Avedisian Building</v>
          </cell>
        </row>
      </sheetData>
      <sheetData sheetId="7177">
        <row r="8">
          <cell r="D8" t="str">
            <v>Paramaz Avedisian Building</v>
          </cell>
        </row>
      </sheetData>
      <sheetData sheetId="7178">
        <row r="8">
          <cell r="D8" t="str">
            <v>Paramaz Avedisian Building</v>
          </cell>
        </row>
      </sheetData>
      <sheetData sheetId="7179">
        <row r="8">
          <cell r="D8" t="str">
            <v>Paramaz Avedisian Building</v>
          </cell>
        </row>
      </sheetData>
      <sheetData sheetId="7180">
        <row r="8">
          <cell r="D8" t="str">
            <v>Paramaz Avedisian Building</v>
          </cell>
        </row>
      </sheetData>
      <sheetData sheetId="7181">
        <row r="8">
          <cell r="D8" t="str">
            <v>Paramaz Avedisian Building</v>
          </cell>
        </row>
      </sheetData>
      <sheetData sheetId="7182">
        <row r="8">
          <cell r="D8" t="str">
            <v>Paramaz Avedisian Building</v>
          </cell>
        </row>
      </sheetData>
      <sheetData sheetId="7183">
        <row r="8">
          <cell r="D8" t="str">
            <v>Paramaz Avedisian Building</v>
          </cell>
        </row>
      </sheetData>
      <sheetData sheetId="7184">
        <row r="8">
          <cell r="D8" t="str">
            <v>Paramaz Avedisian Building</v>
          </cell>
        </row>
      </sheetData>
      <sheetData sheetId="7185">
        <row r="8">
          <cell r="D8" t="str">
            <v>Paramaz Avedisian Building</v>
          </cell>
        </row>
      </sheetData>
      <sheetData sheetId="7186"/>
      <sheetData sheetId="7187">
        <row r="8">
          <cell r="D8" t="str">
            <v>Paramaz Avedisian Building</v>
          </cell>
        </row>
      </sheetData>
      <sheetData sheetId="7188">
        <row r="8">
          <cell r="D8" t="str">
            <v>Paramaz Avedisian Building</v>
          </cell>
        </row>
      </sheetData>
      <sheetData sheetId="7189">
        <row r="8">
          <cell r="D8" t="str">
            <v>Paramaz Avedisian Building</v>
          </cell>
        </row>
      </sheetData>
      <sheetData sheetId="7190">
        <row r="8">
          <cell r="D8" t="str">
            <v>Paramaz Avedisian Building</v>
          </cell>
        </row>
      </sheetData>
      <sheetData sheetId="7191">
        <row r="8">
          <cell r="D8" t="str">
            <v>Paramaz Avedisian Building</v>
          </cell>
        </row>
      </sheetData>
      <sheetData sheetId="7192">
        <row r="8">
          <cell r="D8" t="str">
            <v>Paramaz Avedisian Building</v>
          </cell>
        </row>
      </sheetData>
      <sheetData sheetId="7193">
        <row r="8">
          <cell r="D8" t="str">
            <v>Paramaz Avedisian Building</v>
          </cell>
        </row>
      </sheetData>
      <sheetData sheetId="7194">
        <row r="8">
          <cell r="D8" t="str">
            <v>Paramaz Avedisian Building</v>
          </cell>
        </row>
      </sheetData>
      <sheetData sheetId="7195">
        <row r="8">
          <cell r="D8" t="str">
            <v>Paramaz Avedisian Building</v>
          </cell>
        </row>
      </sheetData>
      <sheetData sheetId="7196">
        <row r="8">
          <cell r="D8" t="str">
            <v>Paramaz Avedisian Building</v>
          </cell>
        </row>
      </sheetData>
      <sheetData sheetId="7197">
        <row r="8">
          <cell r="D8" t="str">
            <v>Paramaz Avedisian Building</v>
          </cell>
        </row>
      </sheetData>
      <sheetData sheetId="7198">
        <row r="8">
          <cell r="D8" t="str">
            <v>Paramaz Avedisian Building</v>
          </cell>
        </row>
      </sheetData>
      <sheetData sheetId="7199">
        <row r="8">
          <cell r="D8" t="str">
            <v>Paramaz Avedisian Building</v>
          </cell>
        </row>
      </sheetData>
      <sheetData sheetId="7200">
        <row r="8">
          <cell r="D8" t="str">
            <v>Paramaz Avedisian Building</v>
          </cell>
        </row>
      </sheetData>
      <sheetData sheetId="7201">
        <row r="8">
          <cell r="D8" t="str">
            <v>Paramaz Avedisian Building</v>
          </cell>
        </row>
      </sheetData>
      <sheetData sheetId="7202">
        <row r="8">
          <cell r="D8" t="str">
            <v>Paramaz Avedisian Building</v>
          </cell>
        </row>
      </sheetData>
      <sheetData sheetId="7203">
        <row r="8">
          <cell r="D8" t="str">
            <v>Paramaz Avedisian Building</v>
          </cell>
        </row>
      </sheetData>
      <sheetData sheetId="7204"/>
      <sheetData sheetId="7205">
        <row r="8">
          <cell r="D8" t="str">
            <v>Paramaz Avedisian Building</v>
          </cell>
        </row>
      </sheetData>
      <sheetData sheetId="7206">
        <row r="8">
          <cell r="D8" t="str">
            <v>Paramaz Avedisian Building</v>
          </cell>
        </row>
      </sheetData>
      <sheetData sheetId="7207">
        <row r="8">
          <cell r="D8" t="str">
            <v>Paramaz Avedisian Building</v>
          </cell>
        </row>
      </sheetData>
      <sheetData sheetId="7208">
        <row r="8">
          <cell r="D8" t="str">
            <v>Paramaz Avedisian Building</v>
          </cell>
        </row>
      </sheetData>
      <sheetData sheetId="7209">
        <row r="8">
          <cell r="D8" t="str">
            <v>Paramaz Avedisian Building</v>
          </cell>
        </row>
      </sheetData>
      <sheetData sheetId="7210">
        <row r="8">
          <cell r="D8" t="str">
            <v>Paramaz Avedisian Building</v>
          </cell>
        </row>
      </sheetData>
      <sheetData sheetId="7211">
        <row r="8">
          <cell r="D8" t="str">
            <v>Paramaz Avedisian Building</v>
          </cell>
        </row>
      </sheetData>
      <sheetData sheetId="7212">
        <row r="8">
          <cell r="D8" t="str">
            <v>Paramaz Avedisian Building</v>
          </cell>
        </row>
      </sheetData>
      <sheetData sheetId="7213">
        <row r="8">
          <cell r="D8" t="str">
            <v>Paramaz Avedisian Building</v>
          </cell>
        </row>
      </sheetData>
      <sheetData sheetId="7214">
        <row r="8">
          <cell r="D8" t="str">
            <v>Paramaz Avedisian Building</v>
          </cell>
        </row>
      </sheetData>
      <sheetData sheetId="7215">
        <row r="8">
          <cell r="D8" t="str">
            <v>Paramaz Avedisian Building</v>
          </cell>
        </row>
      </sheetData>
      <sheetData sheetId="7216">
        <row r="8">
          <cell r="D8" t="str">
            <v>Paramaz Avedisian Building</v>
          </cell>
        </row>
      </sheetData>
      <sheetData sheetId="7217">
        <row r="8">
          <cell r="D8" t="str">
            <v>Paramaz Avedisian Building</v>
          </cell>
        </row>
      </sheetData>
      <sheetData sheetId="7218">
        <row r="8">
          <cell r="D8" t="str">
            <v>Paramaz Avedisian Building</v>
          </cell>
        </row>
      </sheetData>
      <sheetData sheetId="7219">
        <row r="8">
          <cell r="D8" t="str">
            <v>Paramaz Avedisian Building</v>
          </cell>
        </row>
      </sheetData>
      <sheetData sheetId="7220">
        <row r="8">
          <cell r="D8" t="str">
            <v>Paramaz Avedisian Building</v>
          </cell>
        </row>
      </sheetData>
      <sheetData sheetId="7221">
        <row r="8">
          <cell r="D8" t="str">
            <v>Paramaz Avedisian Building</v>
          </cell>
        </row>
      </sheetData>
      <sheetData sheetId="7222"/>
      <sheetData sheetId="7223">
        <row r="8">
          <cell r="D8" t="str">
            <v>Paramaz Avedisian Building</v>
          </cell>
        </row>
      </sheetData>
      <sheetData sheetId="7224">
        <row r="8">
          <cell r="D8" t="str">
            <v>Paramaz Avedisian Building</v>
          </cell>
        </row>
      </sheetData>
      <sheetData sheetId="7225">
        <row r="8">
          <cell r="D8" t="str">
            <v>Paramaz Avedisian Building</v>
          </cell>
        </row>
      </sheetData>
      <sheetData sheetId="7226">
        <row r="8">
          <cell r="D8" t="str">
            <v>Paramaz Avedisian Building</v>
          </cell>
        </row>
      </sheetData>
      <sheetData sheetId="7227">
        <row r="8">
          <cell r="D8" t="str">
            <v>Paramaz Avedisian Building</v>
          </cell>
        </row>
      </sheetData>
      <sheetData sheetId="7228">
        <row r="8">
          <cell r="D8" t="str">
            <v>Paramaz Avedisian Building</v>
          </cell>
        </row>
      </sheetData>
      <sheetData sheetId="7229">
        <row r="8">
          <cell r="D8" t="str">
            <v>Paramaz Avedisian Building</v>
          </cell>
        </row>
      </sheetData>
      <sheetData sheetId="7230">
        <row r="8">
          <cell r="D8" t="str">
            <v>Paramaz Avedisian Building</v>
          </cell>
        </row>
      </sheetData>
      <sheetData sheetId="7231">
        <row r="8">
          <cell r="D8" t="str">
            <v>Paramaz Avedisian Building</v>
          </cell>
        </row>
      </sheetData>
      <sheetData sheetId="7232">
        <row r="8">
          <cell r="D8" t="str">
            <v>Paramaz Avedisian Building</v>
          </cell>
        </row>
      </sheetData>
      <sheetData sheetId="7233">
        <row r="8">
          <cell r="D8" t="str">
            <v>Paramaz Avedisian Building</v>
          </cell>
        </row>
      </sheetData>
      <sheetData sheetId="7234">
        <row r="8">
          <cell r="D8" t="str">
            <v>Paramaz Avedisian Building</v>
          </cell>
        </row>
      </sheetData>
      <sheetData sheetId="7235">
        <row r="8">
          <cell r="D8" t="str">
            <v>Paramaz Avedisian Building</v>
          </cell>
        </row>
      </sheetData>
      <sheetData sheetId="7236">
        <row r="8">
          <cell r="D8" t="str">
            <v>Paramaz Avedisian Building</v>
          </cell>
        </row>
      </sheetData>
      <sheetData sheetId="7237">
        <row r="8">
          <cell r="D8" t="str">
            <v>Paramaz Avedisian Building</v>
          </cell>
        </row>
      </sheetData>
      <sheetData sheetId="7238">
        <row r="8">
          <cell r="D8" t="str">
            <v>Paramaz Avedisian Building</v>
          </cell>
        </row>
      </sheetData>
      <sheetData sheetId="7239">
        <row r="8">
          <cell r="D8" t="str">
            <v>Paramaz Avedisian Building</v>
          </cell>
        </row>
      </sheetData>
      <sheetData sheetId="7240"/>
      <sheetData sheetId="7241"/>
      <sheetData sheetId="7242">
        <row r="8">
          <cell r="D8" t="str">
            <v>Paramaz Avedisian Building</v>
          </cell>
        </row>
      </sheetData>
      <sheetData sheetId="7243">
        <row r="8">
          <cell r="D8" t="str">
            <v>Paramaz Avedisian Building</v>
          </cell>
        </row>
      </sheetData>
      <sheetData sheetId="7244">
        <row r="8">
          <cell r="D8" t="str">
            <v>Paramaz Avedisian Building</v>
          </cell>
        </row>
      </sheetData>
      <sheetData sheetId="7245">
        <row r="8">
          <cell r="D8" t="str">
            <v>Paramaz Avedisian Building</v>
          </cell>
        </row>
      </sheetData>
      <sheetData sheetId="7246">
        <row r="8">
          <cell r="D8" t="str">
            <v>Paramaz Avedisian Building</v>
          </cell>
        </row>
      </sheetData>
      <sheetData sheetId="7247">
        <row r="8">
          <cell r="D8" t="str">
            <v>Paramaz Avedisian Building</v>
          </cell>
        </row>
      </sheetData>
      <sheetData sheetId="7248">
        <row r="8">
          <cell r="D8" t="str">
            <v>Paramaz Avedisian Building</v>
          </cell>
        </row>
      </sheetData>
      <sheetData sheetId="7249">
        <row r="8">
          <cell r="D8" t="str">
            <v>Paramaz Avedisian Building</v>
          </cell>
        </row>
      </sheetData>
      <sheetData sheetId="7250">
        <row r="8">
          <cell r="D8" t="str">
            <v>Paramaz Avedisian Building</v>
          </cell>
        </row>
      </sheetData>
      <sheetData sheetId="7251">
        <row r="8">
          <cell r="D8" t="str">
            <v>Paramaz Avedisian Building</v>
          </cell>
        </row>
      </sheetData>
      <sheetData sheetId="7252">
        <row r="8">
          <cell r="D8" t="str">
            <v>Paramaz Avedisian Building</v>
          </cell>
        </row>
      </sheetData>
      <sheetData sheetId="7253">
        <row r="8">
          <cell r="D8" t="str">
            <v>Paramaz Avedisian Building</v>
          </cell>
        </row>
      </sheetData>
      <sheetData sheetId="7254">
        <row r="8">
          <cell r="D8" t="str">
            <v>Paramaz Avedisian Building</v>
          </cell>
        </row>
      </sheetData>
      <sheetData sheetId="7255">
        <row r="8">
          <cell r="D8" t="str">
            <v>Paramaz Avedisian Building</v>
          </cell>
        </row>
      </sheetData>
      <sheetData sheetId="7256">
        <row r="8">
          <cell r="D8" t="str">
            <v>Paramaz Avedisian Building</v>
          </cell>
        </row>
      </sheetData>
      <sheetData sheetId="7257">
        <row r="8">
          <cell r="D8" t="str">
            <v>Paramaz Avedisian Building</v>
          </cell>
        </row>
      </sheetData>
      <sheetData sheetId="7258">
        <row r="8">
          <cell r="D8" t="str">
            <v>Paramaz Avedisian Building</v>
          </cell>
        </row>
      </sheetData>
      <sheetData sheetId="7259">
        <row r="8">
          <cell r="D8" t="str">
            <v>Paramaz Avedisian Building</v>
          </cell>
        </row>
      </sheetData>
      <sheetData sheetId="7260">
        <row r="8">
          <cell r="D8" t="str">
            <v>Paramaz Avedisian Building</v>
          </cell>
        </row>
      </sheetData>
      <sheetData sheetId="7261">
        <row r="8">
          <cell r="D8" t="str">
            <v>Paramaz Avedisian Building</v>
          </cell>
        </row>
      </sheetData>
      <sheetData sheetId="7262">
        <row r="8">
          <cell r="D8" t="str">
            <v>Paramaz Avedisian Building</v>
          </cell>
        </row>
      </sheetData>
      <sheetData sheetId="7263">
        <row r="8">
          <cell r="D8" t="str">
            <v>Paramaz Avedisian Building</v>
          </cell>
        </row>
      </sheetData>
      <sheetData sheetId="7264">
        <row r="8">
          <cell r="D8" t="str">
            <v>Paramaz Avedisian Building</v>
          </cell>
        </row>
      </sheetData>
      <sheetData sheetId="7265">
        <row r="8">
          <cell r="D8" t="str">
            <v>Paramaz Avedisian Building</v>
          </cell>
        </row>
      </sheetData>
      <sheetData sheetId="7266">
        <row r="8">
          <cell r="D8" t="str">
            <v>Paramaz Avedisian Building</v>
          </cell>
        </row>
      </sheetData>
      <sheetData sheetId="7267">
        <row r="8">
          <cell r="D8" t="str">
            <v>Paramaz Avedisian Building</v>
          </cell>
        </row>
      </sheetData>
      <sheetData sheetId="7268">
        <row r="8">
          <cell r="D8" t="str">
            <v>Paramaz Avedisian Building</v>
          </cell>
        </row>
      </sheetData>
      <sheetData sheetId="7269">
        <row r="8">
          <cell r="D8" t="str">
            <v>Paramaz Avedisian Building</v>
          </cell>
        </row>
      </sheetData>
      <sheetData sheetId="7270">
        <row r="8">
          <cell r="D8" t="str">
            <v>Paramaz Avedisian Building</v>
          </cell>
        </row>
      </sheetData>
      <sheetData sheetId="7271">
        <row r="8">
          <cell r="D8" t="str">
            <v>Paramaz Avedisian Building</v>
          </cell>
        </row>
      </sheetData>
      <sheetData sheetId="7272">
        <row r="8">
          <cell r="D8" t="str">
            <v>Paramaz Avedisian Building</v>
          </cell>
        </row>
      </sheetData>
      <sheetData sheetId="7273">
        <row r="8">
          <cell r="D8" t="str">
            <v>Paramaz Avedisian Building</v>
          </cell>
        </row>
      </sheetData>
      <sheetData sheetId="7274">
        <row r="8">
          <cell r="D8" t="str">
            <v>Paramaz Avedisian Building</v>
          </cell>
        </row>
      </sheetData>
      <sheetData sheetId="7275">
        <row r="8">
          <cell r="D8" t="str">
            <v>Paramaz Avedisian Building</v>
          </cell>
        </row>
      </sheetData>
      <sheetData sheetId="7276"/>
      <sheetData sheetId="7277"/>
      <sheetData sheetId="7278">
        <row r="8">
          <cell r="D8" t="str">
            <v>Paramaz Avedisian Building</v>
          </cell>
        </row>
      </sheetData>
      <sheetData sheetId="7279">
        <row r="8">
          <cell r="D8" t="str">
            <v>Paramaz Avedisian Building</v>
          </cell>
        </row>
      </sheetData>
      <sheetData sheetId="7280">
        <row r="8">
          <cell r="D8" t="str">
            <v>Paramaz Avedisian Building</v>
          </cell>
        </row>
      </sheetData>
      <sheetData sheetId="7281">
        <row r="8">
          <cell r="D8" t="str">
            <v>Paramaz Avedisian Building</v>
          </cell>
        </row>
      </sheetData>
      <sheetData sheetId="7282">
        <row r="8">
          <cell r="D8" t="str">
            <v>Paramaz Avedisian Building</v>
          </cell>
        </row>
      </sheetData>
      <sheetData sheetId="7283">
        <row r="8">
          <cell r="D8" t="str">
            <v>Paramaz Avedisian Building</v>
          </cell>
        </row>
      </sheetData>
      <sheetData sheetId="7284">
        <row r="8">
          <cell r="D8" t="str">
            <v>Paramaz Avedisian Building</v>
          </cell>
        </row>
      </sheetData>
      <sheetData sheetId="7285">
        <row r="8">
          <cell r="D8" t="str">
            <v>Paramaz Avedisian Building</v>
          </cell>
        </row>
      </sheetData>
      <sheetData sheetId="7286">
        <row r="8">
          <cell r="D8" t="str">
            <v>Paramaz Avedisian Building</v>
          </cell>
        </row>
      </sheetData>
      <sheetData sheetId="7287">
        <row r="8">
          <cell r="D8" t="str">
            <v>Paramaz Avedisian Building</v>
          </cell>
        </row>
      </sheetData>
      <sheetData sheetId="7288">
        <row r="8">
          <cell r="D8" t="str">
            <v>Paramaz Avedisian Building</v>
          </cell>
        </row>
      </sheetData>
      <sheetData sheetId="7289">
        <row r="8">
          <cell r="D8" t="str">
            <v>Paramaz Avedisian Building</v>
          </cell>
        </row>
      </sheetData>
      <sheetData sheetId="7290">
        <row r="8">
          <cell r="D8" t="str">
            <v>Paramaz Avedisian Building</v>
          </cell>
        </row>
      </sheetData>
      <sheetData sheetId="7291">
        <row r="8">
          <cell r="D8" t="str">
            <v>Paramaz Avedisian Building</v>
          </cell>
        </row>
      </sheetData>
      <sheetData sheetId="7292">
        <row r="8">
          <cell r="D8" t="str">
            <v>Paramaz Avedisian Building</v>
          </cell>
        </row>
      </sheetData>
      <sheetData sheetId="7293">
        <row r="8">
          <cell r="D8" t="str">
            <v>Paramaz Avedisian Building</v>
          </cell>
        </row>
      </sheetData>
      <sheetData sheetId="7294"/>
      <sheetData sheetId="7295">
        <row r="8">
          <cell r="D8" t="str">
            <v>Paramaz Avedisian Building</v>
          </cell>
        </row>
      </sheetData>
      <sheetData sheetId="7296">
        <row r="8">
          <cell r="D8" t="str">
            <v>Paramaz Avedisian Building</v>
          </cell>
        </row>
      </sheetData>
      <sheetData sheetId="7297">
        <row r="8">
          <cell r="D8" t="str">
            <v>Paramaz Avedisian Building</v>
          </cell>
        </row>
      </sheetData>
      <sheetData sheetId="7298">
        <row r="8">
          <cell r="D8" t="str">
            <v>Paramaz Avedisian Building</v>
          </cell>
        </row>
      </sheetData>
      <sheetData sheetId="7299">
        <row r="8">
          <cell r="D8" t="str">
            <v>Paramaz Avedisian Building</v>
          </cell>
        </row>
      </sheetData>
      <sheetData sheetId="7300">
        <row r="8">
          <cell r="D8" t="str">
            <v>Paramaz Avedisian Building</v>
          </cell>
        </row>
      </sheetData>
      <sheetData sheetId="7301">
        <row r="8">
          <cell r="D8" t="str">
            <v>Paramaz Avedisian Building</v>
          </cell>
        </row>
      </sheetData>
      <sheetData sheetId="7302">
        <row r="8">
          <cell r="D8" t="str">
            <v>Paramaz Avedisian Building</v>
          </cell>
        </row>
      </sheetData>
      <sheetData sheetId="7303">
        <row r="8">
          <cell r="D8" t="str">
            <v>Paramaz Avedisian Building</v>
          </cell>
        </row>
      </sheetData>
      <sheetData sheetId="7304">
        <row r="8">
          <cell r="D8" t="str">
            <v>Paramaz Avedisian Building</v>
          </cell>
        </row>
      </sheetData>
      <sheetData sheetId="7305">
        <row r="8">
          <cell r="D8" t="str">
            <v>Paramaz Avedisian Building</v>
          </cell>
        </row>
      </sheetData>
      <sheetData sheetId="7306">
        <row r="8">
          <cell r="D8" t="str">
            <v>Paramaz Avedisian Building</v>
          </cell>
        </row>
      </sheetData>
      <sheetData sheetId="7307">
        <row r="8">
          <cell r="D8" t="str">
            <v>Paramaz Avedisian Building</v>
          </cell>
        </row>
      </sheetData>
      <sheetData sheetId="7308">
        <row r="8">
          <cell r="D8" t="str">
            <v>Paramaz Avedisian Building</v>
          </cell>
        </row>
      </sheetData>
      <sheetData sheetId="7309">
        <row r="8">
          <cell r="D8" t="str">
            <v>Paramaz Avedisian Building</v>
          </cell>
        </row>
      </sheetData>
      <sheetData sheetId="7310">
        <row r="8">
          <cell r="D8" t="str">
            <v>Paramaz Avedisian Building</v>
          </cell>
        </row>
      </sheetData>
      <sheetData sheetId="7311">
        <row r="8">
          <cell r="D8" t="str">
            <v>Paramaz Avedisian Building</v>
          </cell>
        </row>
      </sheetData>
      <sheetData sheetId="7312">
        <row r="8">
          <cell r="D8" t="str">
            <v>Paramaz Avedisian Building</v>
          </cell>
        </row>
      </sheetData>
      <sheetData sheetId="7313">
        <row r="8">
          <cell r="D8" t="str">
            <v>Paramaz Avedisian Building</v>
          </cell>
        </row>
      </sheetData>
      <sheetData sheetId="7314">
        <row r="8">
          <cell r="D8" t="str">
            <v>Paramaz Avedisian Building</v>
          </cell>
        </row>
      </sheetData>
      <sheetData sheetId="7315">
        <row r="8">
          <cell r="D8" t="str">
            <v>Paramaz Avedisian Building</v>
          </cell>
        </row>
      </sheetData>
      <sheetData sheetId="7316">
        <row r="8">
          <cell r="D8" t="str">
            <v>Paramaz Avedisian Building</v>
          </cell>
        </row>
      </sheetData>
      <sheetData sheetId="7317">
        <row r="8">
          <cell r="D8" t="str">
            <v>Paramaz Avedisian Building</v>
          </cell>
        </row>
      </sheetData>
      <sheetData sheetId="7318">
        <row r="8">
          <cell r="D8" t="str">
            <v>Paramaz Avedisian Building</v>
          </cell>
        </row>
      </sheetData>
      <sheetData sheetId="7319">
        <row r="8">
          <cell r="D8" t="str">
            <v>Paramaz Avedisian Building</v>
          </cell>
        </row>
      </sheetData>
      <sheetData sheetId="7320">
        <row r="8">
          <cell r="D8" t="str">
            <v>Paramaz Avedisian Building</v>
          </cell>
        </row>
      </sheetData>
      <sheetData sheetId="7321">
        <row r="8">
          <cell r="D8" t="str">
            <v>Paramaz Avedisian Building</v>
          </cell>
        </row>
      </sheetData>
      <sheetData sheetId="7322">
        <row r="8">
          <cell r="D8" t="str">
            <v>Paramaz Avedisian Building</v>
          </cell>
        </row>
      </sheetData>
      <sheetData sheetId="7323">
        <row r="8">
          <cell r="D8" t="str">
            <v>Paramaz Avedisian Building</v>
          </cell>
        </row>
      </sheetData>
      <sheetData sheetId="7324">
        <row r="8">
          <cell r="D8" t="str">
            <v>Paramaz Avedisian Building</v>
          </cell>
        </row>
      </sheetData>
      <sheetData sheetId="7325">
        <row r="8">
          <cell r="D8" t="str">
            <v>Paramaz Avedisian Building</v>
          </cell>
        </row>
      </sheetData>
      <sheetData sheetId="7326">
        <row r="8">
          <cell r="D8" t="str">
            <v>Paramaz Avedisian Building</v>
          </cell>
        </row>
      </sheetData>
      <sheetData sheetId="7327">
        <row r="8">
          <cell r="D8" t="str">
            <v>Paramaz Avedisian Building</v>
          </cell>
        </row>
      </sheetData>
      <sheetData sheetId="7328">
        <row r="8">
          <cell r="D8" t="str">
            <v>Paramaz Avedisian Building</v>
          </cell>
        </row>
      </sheetData>
      <sheetData sheetId="7329"/>
      <sheetData sheetId="7330"/>
      <sheetData sheetId="7331"/>
      <sheetData sheetId="7332">
        <row r="8">
          <cell r="D8" t="str">
            <v>Paramaz Avedisian Building</v>
          </cell>
        </row>
      </sheetData>
      <sheetData sheetId="7333">
        <row r="8">
          <cell r="D8" t="str">
            <v>Paramaz Avedisian Building</v>
          </cell>
        </row>
      </sheetData>
      <sheetData sheetId="7334">
        <row r="8">
          <cell r="D8" t="str">
            <v>Paramaz Avedisian Building</v>
          </cell>
        </row>
      </sheetData>
      <sheetData sheetId="7335">
        <row r="8">
          <cell r="D8" t="str">
            <v>Paramaz Avedisian Building</v>
          </cell>
        </row>
      </sheetData>
      <sheetData sheetId="7336">
        <row r="8">
          <cell r="D8" t="str">
            <v>Paramaz Avedisian Building</v>
          </cell>
        </row>
      </sheetData>
      <sheetData sheetId="7337">
        <row r="8">
          <cell r="D8" t="str">
            <v>Paramaz Avedisian Building</v>
          </cell>
        </row>
      </sheetData>
      <sheetData sheetId="7338">
        <row r="8">
          <cell r="D8" t="str">
            <v>Paramaz Avedisian Building</v>
          </cell>
        </row>
      </sheetData>
      <sheetData sheetId="7339">
        <row r="8">
          <cell r="D8" t="str">
            <v>Paramaz Avedisian Building</v>
          </cell>
        </row>
      </sheetData>
      <sheetData sheetId="7340">
        <row r="8">
          <cell r="D8" t="str">
            <v>Paramaz Avedisian Building</v>
          </cell>
        </row>
      </sheetData>
      <sheetData sheetId="7341">
        <row r="8">
          <cell r="D8" t="str">
            <v>Paramaz Avedisian Building</v>
          </cell>
        </row>
      </sheetData>
      <sheetData sheetId="7342">
        <row r="8">
          <cell r="D8" t="str">
            <v>Paramaz Avedisian Building</v>
          </cell>
        </row>
      </sheetData>
      <sheetData sheetId="7343">
        <row r="8">
          <cell r="D8" t="str">
            <v>Paramaz Avedisian Building</v>
          </cell>
        </row>
      </sheetData>
      <sheetData sheetId="7344">
        <row r="8">
          <cell r="D8" t="str">
            <v>Paramaz Avedisian Building</v>
          </cell>
        </row>
      </sheetData>
      <sheetData sheetId="7345">
        <row r="8">
          <cell r="D8" t="str">
            <v>Paramaz Avedisian Building</v>
          </cell>
        </row>
      </sheetData>
      <sheetData sheetId="7346">
        <row r="8">
          <cell r="D8" t="str">
            <v>Paramaz Avedisian Building</v>
          </cell>
        </row>
      </sheetData>
      <sheetData sheetId="7347"/>
      <sheetData sheetId="7348"/>
      <sheetData sheetId="7349"/>
      <sheetData sheetId="7350">
        <row r="8">
          <cell r="D8" t="str">
            <v>Paramaz Avedisian Building</v>
          </cell>
        </row>
      </sheetData>
      <sheetData sheetId="7351">
        <row r="8">
          <cell r="D8" t="str">
            <v>Paramaz Avedisian Building</v>
          </cell>
        </row>
      </sheetData>
      <sheetData sheetId="7352">
        <row r="8">
          <cell r="D8" t="str">
            <v>Paramaz Avedisian Building</v>
          </cell>
        </row>
      </sheetData>
      <sheetData sheetId="7353">
        <row r="8">
          <cell r="D8" t="str">
            <v>Paramaz Avedisian Building</v>
          </cell>
        </row>
      </sheetData>
      <sheetData sheetId="7354">
        <row r="8">
          <cell r="D8" t="str">
            <v>Paramaz Avedisian Building</v>
          </cell>
        </row>
      </sheetData>
      <sheetData sheetId="7355">
        <row r="8">
          <cell r="D8" t="str">
            <v>Paramaz Avedisian Building</v>
          </cell>
        </row>
      </sheetData>
      <sheetData sheetId="7356">
        <row r="8">
          <cell r="D8" t="str">
            <v>Paramaz Avedisian Building</v>
          </cell>
        </row>
      </sheetData>
      <sheetData sheetId="7357">
        <row r="8">
          <cell r="D8" t="str">
            <v>Paramaz Avedisian Building</v>
          </cell>
        </row>
      </sheetData>
      <sheetData sheetId="7358">
        <row r="8">
          <cell r="D8" t="str">
            <v>Paramaz Avedisian Building</v>
          </cell>
        </row>
      </sheetData>
      <sheetData sheetId="7359">
        <row r="8">
          <cell r="D8" t="str">
            <v>Paramaz Avedisian Building</v>
          </cell>
        </row>
      </sheetData>
      <sheetData sheetId="7360">
        <row r="8">
          <cell r="D8" t="str">
            <v>Paramaz Avedisian Building</v>
          </cell>
        </row>
      </sheetData>
      <sheetData sheetId="7361">
        <row r="8">
          <cell r="D8" t="str">
            <v>Paramaz Avedisian Building</v>
          </cell>
        </row>
      </sheetData>
      <sheetData sheetId="7362">
        <row r="8">
          <cell r="D8" t="str">
            <v>Paramaz Avedisian Building</v>
          </cell>
        </row>
      </sheetData>
      <sheetData sheetId="7363">
        <row r="8">
          <cell r="D8" t="str">
            <v>Paramaz Avedisian Building</v>
          </cell>
        </row>
      </sheetData>
      <sheetData sheetId="7364">
        <row r="8">
          <cell r="D8" t="str">
            <v>Paramaz Avedisian Building</v>
          </cell>
        </row>
      </sheetData>
      <sheetData sheetId="7365">
        <row r="8">
          <cell r="D8" t="str">
            <v>Paramaz Avedisian Building</v>
          </cell>
        </row>
      </sheetData>
      <sheetData sheetId="7366">
        <row r="8">
          <cell r="D8" t="str">
            <v>Paramaz Avedisian Building</v>
          </cell>
        </row>
      </sheetData>
      <sheetData sheetId="7367">
        <row r="8">
          <cell r="D8" t="str">
            <v>Paramaz Avedisian Building</v>
          </cell>
        </row>
      </sheetData>
      <sheetData sheetId="7368">
        <row r="8">
          <cell r="D8" t="str">
            <v>Paramaz Avedisian Building</v>
          </cell>
        </row>
      </sheetData>
      <sheetData sheetId="7369">
        <row r="8">
          <cell r="D8" t="str">
            <v>Paramaz Avedisian Building</v>
          </cell>
        </row>
      </sheetData>
      <sheetData sheetId="7370">
        <row r="8">
          <cell r="D8" t="str">
            <v>Paramaz Avedisian Building</v>
          </cell>
        </row>
      </sheetData>
      <sheetData sheetId="7371">
        <row r="8">
          <cell r="D8" t="str">
            <v>Paramaz Avedisian Building</v>
          </cell>
        </row>
      </sheetData>
      <sheetData sheetId="7372">
        <row r="8">
          <cell r="D8" t="str">
            <v>Paramaz Avedisian Building</v>
          </cell>
        </row>
      </sheetData>
      <sheetData sheetId="7373">
        <row r="8">
          <cell r="D8" t="str">
            <v>Paramaz Avedisian Building</v>
          </cell>
        </row>
      </sheetData>
      <sheetData sheetId="7374">
        <row r="8">
          <cell r="D8" t="str">
            <v>Paramaz Avedisian Building</v>
          </cell>
        </row>
      </sheetData>
      <sheetData sheetId="7375">
        <row r="8">
          <cell r="D8" t="str">
            <v>Paramaz Avedisian Building</v>
          </cell>
        </row>
      </sheetData>
      <sheetData sheetId="7376">
        <row r="8">
          <cell r="D8" t="str">
            <v>Paramaz Avedisian Building</v>
          </cell>
        </row>
      </sheetData>
      <sheetData sheetId="7377">
        <row r="8">
          <cell r="D8" t="str">
            <v>Paramaz Avedisian Building</v>
          </cell>
        </row>
      </sheetData>
      <sheetData sheetId="7378">
        <row r="8">
          <cell r="D8" t="str">
            <v>Paramaz Avedisian Building</v>
          </cell>
        </row>
      </sheetData>
      <sheetData sheetId="7379">
        <row r="8">
          <cell r="D8" t="str">
            <v>Paramaz Avedisian Building</v>
          </cell>
        </row>
      </sheetData>
      <sheetData sheetId="7380">
        <row r="8">
          <cell r="D8" t="str">
            <v>Paramaz Avedisian Building</v>
          </cell>
        </row>
      </sheetData>
      <sheetData sheetId="7381">
        <row r="8">
          <cell r="D8" t="str">
            <v>Paramaz Avedisian Building</v>
          </cell>
        </row>
      </sheetData>
      <sheetData sheetId="7382">
        <row r="8">
          <cell r="D8" t="str">
            <v>Paramaz Avedisian Building</v>
          </cell>
        </row>
      </sheetData>
      <sheetData sheetId="7383">
        <row r="8">
          <cell r="D8" t="str">
            <v>Paramaz Avedisian Building</v>
          </cell>
        </row>
      </sheetData>
      <sheetData sheetId="7384">
        <row r="8">
          <cell r="D8" t="str">
            <v>Paramaz Avedisian Building</v>
          </cell>
        </row>
      </sheetData>
      <sheetData sheetId="7385">
        <row r="8">
          <cell r="D8" t="str">
            <v>Paramaz Avedisian Building</v>
          </cell>
        </row>
      </sheetData>
      <sheetData sheetId="7386">
        <row r="8">
          <cell r="D8" t="str">
            <v>Paramaz Avedisian Building</v>
          </cell>
        </row>
      </sheetData>
      <sheetData sheetId="7387">
        <row r="8">
          <cell r="D8" t="str">
            <v>Paramaz Avedisian Building</v>
          </cell>
        </row>
      </sheetData>
      <sheetData sheetId="7388">
        <row r="8">
          <cell r="D8" t="str">
            <v>Paramaz Avedisian Building</v>
          </cell>
        </row>
      </sheetData>
      <sheetData sheetId="7389">
        <row r="8">
          <cell r="D8" t="str">
            <v>Paramaz Avedisian Building</v>
          </cell>
        </row>
      </sheetData>
      <sheetData sheetId="7390">
        <row r="8">
          <cell r="D8" t="str">
            <v>Paramaz Avedisian Building</v>
          </cell>
        </row>
      </sheetData>
      <sheetData sheetId="7391">
        <row r="8">
          <cell r="D8" t="str">
            <v>Paramaz Avedisian Building</v>
          </cell>
        </row>
      </sheetData>
      <sheetData sheetId="7392">
        <row r="8">
          <cell r="D8" t="str">
            <v>Paramaz Avedisian Building</v>
          </cell>
        </row>
      </sheetData>
      <sheetData sheetId="7393">
        <row r="8">
          <cell r="D8" t="str">
            <v>Paramaz Avedisian Building</v>
          </cell>
        </row>
      </sheetData>
      <sheetData sheetId="7394">
        <row r="8">
          <cell r="D8" t="str">
            <v>Paramaz Avedisian Building</v>
          </cell>
        </row>
      </sheetData>
      <sheetData sheetId="7395">
        <row r="8">
          <cell r="D8" t="str">
            <v>Paramaz Avedisian Building</v>
          </cell>
        </row>
      </sheetData>
      <sheetData sheetId="7396">
        <row r="8">
          <cell r="D8" t="str">
            <v>Paramaz Avedisian Building</v>
          </cell>
        </row>
      </sheetData>
      <sheetData sheetId="7397">
        <row r="8">
          <cell r="D8" t="str">
            <v>Paramaz Avedisian Building</v>
          </cell>
        </row>
      </sheetData>
      <sheetData sheetId="7398">
        <row r="8">
          <cell r="D8" t="str">
            <v>Paramaz Avedisian Building</v>
          </cell>
        </row>
      </sheetData>
      <sheetData sheetId="7399">
        <row r="8">
          <cell r="D8" t="str">
            <v>Paramaz Avedisian Building</v>
          </cell>
        </row>
      </sheetData>
      <sheetData sheetId="7400">
        <row r="8">
          <cell r="D8" t="str">
            <v>Paramaz Avedisian Building</v>
          </cell>
        </row>
      </sheetData>
      <sheetData sheetId="7401">
        <row r="8">
          <cell r="D8" t="str">
            <v>Paramaz Avedisian Building</v>
          </cell>
        </row>
      </sheetData>
      <sheetData sheetId="7402">
        <row r="8">
          <cell r="D8" t="str">
            <v>Paramaz Avedisian Building</v>
          </cell>
        </row>
      </sheetData>
      <sheetData sheetId="7403">
        <row r="8">
          <cell r="D8" t="str">
            <v>Paramaz Avedisian Building</v>
          </cell>
        </row>
      </sheetData>
      <sheetData sheetId="7404">
        <row r="8">
          <cell r="D8" t="str">
            <v>Paramaz Avedisian Building</v>
          </cell>
        </row>
      </sheetData>
      <sheetData sheetId="7405">
        <row r="8">
          <cell r="D8" t="str">
            <v>Paramaz Avedisian Building</v>
          </cell>
        </row>
      </sheetData>
      <sheetData sheetId="7406">
        <row r="8">
          <cell r="D8" t="str">
            <v>Paramaz Avedisian Building</v>
          </cell>
        </row>
      </sheetData>
      <sheetData sheetId="7407">
        <row r="8">
          <cell r="D8" t="str">
            <v>Paramaz Avedisian Building</v>
          </cell>
        </row>
      </sheetData>
      <sheetData sheetId="7408">
        <row r="8">
          <cell r="D8" t="str">
            <v>Paramaz Avedisian Building</v>
          </cell>
        </row>
      </sheetData>
      <sheetData sheetId="7409">
        <row r="8">
          <cell r="D8" t="str">
            <v>Paramaz Avedisian Building</v>
          </cell>
        </row>
      </sheetData>
      <sheetData sheetId="7410">
        <row r="8">
          <cell r="D8" t="str">
            <v>Paramaz Avedisian Building</v>
          </cell>
        </row>
      </sheetData>
      <sheetData sheetId="7411">
        <row r="8">
          <cell r="D8" t="str">
            <v>Paramaz Avedisian Building</v>
          </cell>
        </row>
      </sheetData>
      <sheetData sheetId="7412">
        <row r="8">
          <cell r="D8" t="str">
            <v>Paramaz Avedisian Building</v>
          </cell>
        </row>
      </sheetData>
      <sheetData sheetId="7413">
        <row r="8">
          <cell r="D8" t="str">
            <v>Paramaz Avedisian Building</v>
          </cell>
        </row>
      </sheetData>
      <sheetData sheetId="7414">
        <row r="8">
          <cell r="D8" t="str">
            <v>Paramaz Avedisian Building</v>
          </cell>
        </row>
      </sheetData>
      <sheetData sheetId="7415">
        <row r="8">
          <cell r="D8" t="str">
            <v>Paramaz Avedisian Building</v>
          </cell>
        </row>
      </sheetData>
      <sheetData sheetId="7416">
        <row r="8">
          <cell r="D8" t="str">
            <v>Paramaz Avedisian Building</v>
          </cell>
        </row>
      </sheetData>
      <sheetData sheetId="7417">
        <row r="8">
          <cell r="D8" t="str">
            <v>Paramaz Avedisian Building</v>
          </cell>
        </row>
      </sheetData>
      <sheetData sheetId="7418">
        <row r="8">
          <cell r="D8" t="str">
            <v>Paramaz Avedisian Building</v>
          </cell>
        </row>
      </sheetData>
      <sheetData sheetId="7419">
        <row r="8">
          <cell r="D8" t="str">
            <v>Paramaz Avedisian Building</v>
          </cell>
        </row>
      </sheetData>
      <sheetData sheetId="7420">
        <row r="8">
          <cell r="D8" t="str">
            <v>Paramaz Avedisian Building</v>
          </cell>
        </row>
      </sheetData>
      <sheetData sheetId="7421">
        <row r="8">
          <cell r="D8" t="str">
            <v>Paramaz Avedisian Building</v>
          </cell>
        </row>
      </sheetData>
      <sheetData sheetId="7422">
        <row r="8">
          <cell r="D8" t="str">
            <v>Paramaz Avedisian Building</v>
          </cell>
        </row>
      </sheetData>
      <sheetData sheetId="7423">
        <row r="8">
          <cell r="D8" t="str">
            <v>Paramaz Avedisian Building</v>
          </cell>
        </row>
      </sheetData>
      <sheetData sheetId="7424">
        <row r="8">
          <cell r="D8" t="str">
            <v>Paramaz Avedisian Building</v>
          </cell>
        </row>
      </sheetData>
      <sheetData sheetId="7425">
        <row r="8">
          <cell r="D8" t="str">
            <v>Paramaz Avedisian Building</v>
          </cell>
        </row>
      </sheetData>
      <sheetData sheetId="7426">
        <row r="8">
          <cell r="D8" t="str">
            <v>Paramaz Avedisian Building</v>
          </cell>
        </row>
      </sheetData>
      <sheetData sheetId="7427">
        <row r="8">
          <cell r="D8" t="str">
            <v>Paramaz Avedisian Building</v>
          </cell>
        </row>
      </sheetData>
      <sheetData sheetId="7428">
        <row r="8">
          <cell r="D8" t="str">
            <v>Paramaz Avedisian Building</v>
          </cell>
        </row>
      </sheetData>
      <sheetData sheetId="7429">
        <row r="8">
          <cell r="D8" t="str">
            <v>Paramaz Avedisian Building</v>
          </cell>
        </row>
      </sheetData>
      <sheetData sheetId="7430">
        <row r="8">
          <cell r="D8" t="str">
            <v>Paramaz Avedisian Building</v>
          </cell>
        </row>
      </sheetData>
      <sheetData sheetId="7431">
        <row r="8">
          <cell r="D8" t="str">
            <v>Paramaz Avedisian Building</v>
          </cell>
        </row>
      </sheetData>
      <sheetData sheetId="7432">
        <row r="8">
          <cell r="D8" t="str">
            <v>Paramaz Avedisian Building</v>
          </cell>
        </row>
      </sheetData>
      <sheetData sheetId="7433">
        <row r="8">
          <cell r="D8" t="str">
            <v>Paramaz Avedisian Building</v>
          </cell>
        </row>
      </sheetData>
      <sheetData sheetId="7434">
        <row r="8">
          <cell r="D8" t="str">
            <v>Paramaz Avedisian Building</v>
          </cell>
        </row>
      </sheetData>
      <sheetData sheetId="7435">
        <row r="8">
          <cell r="D8" t="str">
            <v>Paramaz Avedisian Building</v>
          </cell>
        </row>
      </sheetData>
      <sheetData sheetId="7436">
        <row r="8">
          <cell r="D8" t="str">
            <v>Paramaz Avedisian Building</v>
          </cell>
        </row>
      </sheetData>
      <sheetData sheetId="7437">
        <row r="8">
          <cell r="D8" t="str">
            <v>Paramaz Avedisian Building</v>
          </cell>
        </row>
      </sheetData>
      <sheetData sheetId="7438">
        <row r="8">
          <cell r="D8" t="str">
            <v>Paramaz Avedisian Building</v>
          </cell>
        </row>
      </sheetData>
      <sheetData sheetId="7439">
        <row r="8">
          <cell r="D8" t="str">
            <v>Paramaz Avedisian Building</v>
          </cell>
        </row>
      </sheetData>
      <sheetData sheetId="7440">
        <row r="8">
          <cell r="D8" t="str">
            <v>Paramaz Avedisian Building</v>
          </cell>
        </row>
      </sheetData>
      <sheetData sheetId="7441">
        <row r="8">
          <cell r="D8" t="str">
            <v>Paramaz Avedisian Building</v>
          </cell>
        </row>
      </sheetData>
      <sheetData sheetId="7442">
        <row r="8">
          <cell r="D8" t="str">
            <v>Paramaz Avedisian Building</v>
          </cell>
        </row>
      </sheetData>
      <sheetData sheetId="7443">
        <row r="8">
          <cell r="D8" t="str">
            <v>Paramaz Avedisian Building</v>
          </cell>
        </row>
      </sheetData>
      <sheetData sheetId="7444">
        <row r="8">
          <cell r="D8" t="str">
            <v>Paramaz Avedisian Building</v>
          </cell>
        </row>
      </sheetData>
      <sheetData sheetId="7445">
        <row r="8">
          <cell r="D8" t="str">
            <v>Paramaz Avedisian Building</v>
          </cell>
        </row>
      </sheetData>
      <sheetData sheetId="7446">
        <row r="8">
          <cell r="D8" t="str">
            <v>Paramaz Avedisian Building</v>
          </cell>
        </row>
      </sheetData>
      <sheetData sheetId="7447"/>
      <sheetData sheetId="7448"/>
      <sheetData sheetId="7449">
        <row r="8">
          <cell r="D8" t="str">
            <v>Paramaz Avedisian Building</v>
          </cell>
        </row>
      </sheetData>
      <sheetData sheetId="7450">
        <row r="8">
          <cell r="D8" t="str">
            <v>Paramaz Avedisian Building</v>
          </cell>
        </row>
      </sheetData>
      <sheetData sheetId="7451">
        <row r="8">
          <cell r="D8" t="str">
            <v>Paramaz Avedisian Building</v>
          </cell>
        </row>
      </sheetData>
      <sheetData sheetId="7452">
        <row r="8">
          <cell r="D8" t="str">
            <v>Paramaz Avedisian Building</v>
          </cell>
        </row>
      </sheetData>
      <sheetData sheetId="7453">
        <row r="8">
          <cell r="D8" t="str">
            <v>Paramaz Avedisian Building</v>
          </cell>
        </row>
      </sheetData>
      <sheetData sheetId="7454">
        <row r="8">
          <cell r="D8" t="str">
            <v>Paramaz Avedisian Building</v>
          </cell>
        </row>
      </sheetData>
      <sheetData sheetId="7455">
        <row r="8">
          <cell r="D8" t="str">
            <v>Paramaz Avedisian Building</v>
          </cell>
        </row>
      </sheetData>
      <sheetData sheetId="7456">
        <row r="8">
          <cell r="D8" t="str">
            <v>Paramaz Avedisian Building</v>
          </cell>
        </row>
      </sheetData>
      <sheetData sheetId="7457">
        <row r="8">
          <cell r="D8" t="str">
            <v>Paramaz Avedisian Building</v>
          </cell>
        </row>
      </sheetData>
      <sheetData sheetId="7458">
        <row r="8">
          <cell r="D8" t="str">
            <v>Paramaz Avedisian Building</v>
          </cell>
        </row>
      </sheetData>
      <sheetData sheetId="7459">
        <row r="8">
          <cell r="D8" t="str">
            <v>Paramaz Avedisian Building</v>
          </cell>
        </row>
      </sheetData>
      <sheetData sheetId="7460">
        <row r="8">
          <cell r="D8" t="str">
            <v>Paramaz Avedisian Building</v>
          </cell>
        </row>
      </sheetData>
      <sheetData sheetId="7461">
        <row r="8">
          <cell r="D8" t="str">
            <v>Paramaz Avedisian Building</v>
          </cell>
        </row>
      </sheetData>
      <sheetData sheetId="7462">
        <row r="8">
          <cell r="D8" t="str">
            <v>Paramaz Avedisian Building</v>
          </cell>
        </row>
      </sheetData>
      <sheetData sheetId="7463">
        <row r="8">
          <cell r="D8" t="str">
            <v>Paramaz Avedisian Building</v>
          </cell>
        </row>
      </sheetData>
      <sheetData sheetId="7464">
        <row r="8">
          <cell r="D8" t="str">
            <v>Paramaz Avedisian Building</v>
          </cell>
        </row>
      </sheetData>
      <sheetData sheetId="7465">
        <row r="8">
          <cell r="D8" t="str">
            <v>Paramaz Avedisian Building</v>
          </cell>
        </row>
      </sheetData>
      <sheetData sheetId="7466">
        <row r="8">
          <cell r="D8" t="str">
            <v>Paramaz Avedisian Building</v>
          </cell>
        </row>
      </sheetData>
      <sheetData sheetId="7467">
        <row r="8">
          <cell r="D8" t="str">
            <v>Paramaz Avedisian Building</v>
          </cell>
        </row>
      </sheetData>
      <sheetData sheetId="7468">
        <row r="8">
          <cell r="D8" t="str">
            <v>Paramaz Avedisian Building</v>
          </cell>
        </row>
      </sheetData>
      <sheetData sheetId="7469">
        <row r="8">
          <cell r="D8" t="str">
            <v>Paramaz Avedisian Building</v>
          </cell>
        </row>
      </sheetData>
      <sheetData sheetId="7470">
        <row r="8">
          <cell r="D8" t="str">
            <v>Paramaz Avedisian Building</v>
          </cell>
        </row>
      </sheetData>
      <sheetData sheetId="7471">
        <row r="8">
          <cell r="D8" t="str">
            <v>Paramaz Avedisian Building</v>
          </cell>
        </row>
      </sheetData>
      <sheetData sheetId="7472">
        <row r="8">
          <cell r="D8" t="str">
            <v>Paramaz Avedisian Building</v>
          </cell>
        </row>
      </sheetData>
      <sheetData sheetId="7473">
        <row r="8">
          <cell r="D8" t="str">
            <v>Paramaz Avedisian Building</v>
          </cell>
        </row>
      </sheetData>
      <sheetData sheetId="7474">
        <row r="8">
          <cell r="D8" t="str">
            <v>Paramaz Avedisian Building</v>
          </cell>
        </row>
      </sheetData>
      <sheetData sheetId="7475">
        <row r="8">
          <cell r="D8" t="str">
            <v>Paramaz Avedisian Building</v>
          </cell>
        </row>
      </sheetData>
      <sheetData sheetId="7476">
        <row r="8">
          <cell r="D8" t="str">
            <v>Paramaz Avedisian Building</v>
          </cell>
        </row>
      </sheetData>
      <sheetData sheetId="7477">
        <row r="8">
          <cell r="D8" t="str">
            <v>Paramaz Avedisian Building</v>
          </cell>
        </row>
      </sheetData>
      <sheetData sheetId="7478">
        <row r="8">
          <cell r="D8" t="str">
            <v>Paramaz Avedisian Building</v>
          </cell>
        </row>
      </sheetData>
      <sheetData sheetId="7479">
        <row r="8">
          <cell r="D8" t="str">
            <v>Paramaz Avedisian Building</v>
          </cell>
        </row>
      </sheetData>
      <sheetData sheetId="7480">
        <row r="8">
          <cell r="D8" t="str">
            <v>Paramaz Avedisian Building</v>
          </cell>
        </row>
      </sheetData>
      <sheetData sheetId="7481">
        <row r="8">
          <cell r="D8" t="str">
            <v>Paramaz Avedisian Building</v>
          </cell>
        </row>
      </sheetData>
      <sheetData sheetId="7482"/>
      <sheetData sheetId="7483"/>
      <sheetData sheetId="7484"/>
      <sheetData sheetId="7485">
        <row r="8">
          <cell r="D8" t="str">
            <v>Paramaz Avedisian Building</v>
          </cell>
        </row>
      </sheetData>
      <sheetData sheetId="7486">
        <row r="8">
          <cell r="D8" t="str">
            <v>Paramaz Avedisian Building</v>
          </cell>
        </row>
      </sheetData>
      <sheetData sheetId="7487">
        <row r="8">
          <cell r="D8" t="str">
            <v>Paramaz Avedisian Building</v>
          </cell>
        </row>
      </sheetData>
      <sheetData sheetId="7488">
        <row r="8">
          <cell r="D8" t="str">
            <v>Paramaz Avedisian Building</v>
          </cell>
        </row>
      </sheetData>
      <sheetData sheetId="7489">
        <row r="8">
          <cell r="D8" t="str">
            <v>Paramaz Avedisian Building</v>
          </cell>
        </row>
      </sheetData>
      <sheetData sheetId="7490">
        <row r="8">
          <cell r="D8" t="str">
            <v>Paramaz Avedisian Building</v>
          </cell>
        </row>
      </sheetData>
      <sheetData sheetId="7491">
        <row r="8">
          <cell r="D8" t="str">
            <v>Paramaz Avedisian Building</v>
          </cell>
        </row>
      </sheetData>
      <sheetData sheetId="7492">
        <row r="8">
          <cell r="D8" t="str">
            <v>Paramaz Avedisian Building</v>
          </cell>
        </row>
      </sheetData>
      <sheetData sheetId="7493">
        <row r="8">
          <cell r="D8" t="str">
            <v>Paramaz Avedisian Building</v>
          </cell>
        </row>
      </sheetData>
      <sheetData sheetId="7494">
        <row r="8">
          <cell r="D8" t="str">
            <v>Paramaz Avedisian Building</v>
          </cell>
        </row>
      </sheetData>
      <sheetData sheetId="7495">
        <row r="8">
          <cell r="D8" t="str">
            <v>Paramaz Avedisian Building</v>
          </cell>
        </row>
      </sheetData>
      <sheetData sheetId="7496">
        <row r="8">
          <cell r="D8" t="str">
            <v>Paramaz Avedisian Building</v>
          </cell>
        </row>
      </sheetData>
      <sheetData sheetId="7497">
        <row r="8">
          <cell r="D8" t="str">
            <v>Paramaz Avedisian Building</v>
          </cell>
        </row>
      </sheetData>
      <sheetData sheetId="7498">
        <row r="8">
          <cell r="D8" t="str">
            <v>Paramaz Avedisian Building</v>
          </cell>
        </row>
      </sheetData>
      <sheetData sheetId="7499">
        <row r="8">
          <cell r="D8" t="str">
            <v>Paramaz Avedisian Building</v>
          </cell>
        </row>
      </sheetData>
      <sheetData sheetId="7500"/>
      <sheetData sheetId="7501"/>
      <sheetData sheetId="7502"/>
      <sheetData sheetId="7503">
        <row r="8">
          <cell r="D8" t="str">
            <v>Paramaz Avedisian Building</v>
          </cell>
        </row>
      </sheetData>
      <sheetData sheetId="7504">
        <row r="8">
          <cell r="D8" t="str">
            <v>Paramaz Avedisian Building</v>
          </cell>
        </row>
      </sheetData>
      <sheetData sheetId="7505">
        <row r="8">
          <cell r="D8" t="str">
            <v>Paramaz Avedisian Building</v>
          </cell>
        </row>
      </sheetData>
      <sheetData sheetId="7506">
        <row r="8">
          <cell r="D8" t="str">
            <v>Paramaz Avedisian Building</v>
          </cell>
        </row>
      </sheetData>
      <sheetData sheetId="7507">
        <row r="8">
          <cell r="D8" t="str">
            <v>Paramaz Avedisian Building</v>
          </cell>
        </row>
      </sheetData>
      <sheetData sheetId="7508">
        <row r="8">
          <cell r="D8" t="str">
            <v>Paramaz Avedisian Building</v>
          </cell>
        </row>
      </sheetData>
      <sheetData sheetId="7509">
        <row r="8">
          <cell r="D8" t="str">
            <v>Paramaz Avedisian Building</v>
          </cell>
        </row>
      </sheetData>
      <sheetData sheetId="7510">
        <row r="8">
          <cell r="D8" t="str">
            <v>Paramaz Avedisian Building</v>
          </cell>
        </row>
      </sheetData>
      <sheetData sheetId="7511">
        <row r="8">
          <cell r="D8" t="str">
            <v>Paramaz Avedisian Building</v>
          </cell>
        </row>
      </sheetData>
      <sheetData sheetId="7512">
        <row r="8">
          <cell r="D8" t="str">
            <v>Paramaz Avedisian Building</v>
          </cell>
        </row>
      </sheetData>
      <sheetData sheetId="7513">
        <row r="8">
          <cell r="D8" t="str">
            <v>Paramaz Avedisian Building</v>
          </cell>
        </row>
      </sheetData>
      <sheetData sheetId="7514">
        <row r="8">
          <cell r="D8" t="str">
            <v>Paramaz Avedisian Building</v>
          </cell>
        </row>
      </sheetData>
      <sheetData sheetId="7515">
        <row r="8">
          <cell r="D8" t="str">
            <v>Paramaz Avedisian Building</v>
          </cell>
        </row>
      </sheetData>
      <sheetData sheetId="7516">
        <row r="8">
          <cell r="D8" t="str">
            <v>Paramaz Avedisian Building</v>
          </cell>
        </row>
      </sheetData>
      <sheetData sheetId="7517">
        <row r="8">
          <cell r="D8" t="str">
            <v>Paramaz Avedisian Building</v>
          </cell>
        </row>
      </sheetData>
      <sheetData sheetId="7518">
        <row r="8">
          <cell r="D8" t="str">
            <v>Paramaz Avedisian Building</v>
          </cell>
        </row>
      </sheetData>
      <sheetData sheetId="7519">
        <row r="8">
          <cell r="D8" t="str">
            <v>Paramaz Avedisian Building</v>
          </cell>
        </row>
      </sheetData>
      <sheetData sheetId="7520">
        <row r="8">
          <cell r="D8" t="str">
            <v>Paramaz Avedisian Building</v>
          </cell>
        </row>
      </sheetData>
      <sheetData sheetId="7521">
        <row r="8">
          <cell r="D8" t="str">
            <v>Paramaz Avedisian Building</v>
          </cell>
        </row>
      </sheetData>
      <sheetData sheetId="7522">
        <row r="8">
          <cell r="D8" t="str">
            <v>Paramaz Avedisian Building</v>
          </cell>
        </row>
      </sheetData>
      <sheetData sheetId="7523">
        <row r="8">
          <cell r="D8" t="str">
            <v>Paramaz Avedisian Building</v>
          </cell>
        </row>
      </sheetData>
      <sheetData sheetId="7524">
        <row r="8">
          <cell r="D8" t="str">
            <v>Paramaz Avedisian Building</v>
          </cell>
        </row>
      </sheetData>
      <sheetData sheetId="7525">
        <row r="8">
          <cell r="D8" t="str">
            <v>Paramaz Avedisian Building</v>
          </cell>
        </row>
      </sheetData>
      <sheetData sheetId="7526">
        <row r="8">
          <cell r="D8" t="str">
            <v>Paramaz Avedisian Building</v>
          </cell>
        </row>
      </sheetData>
      <sheetData sheetId="7527">
        <row r="8">
          <cell r="D8" t="str">
            <v>Paramaz Avedisian Building</v>
          </cell>
        </row>
      </sheetData>
      <sheetData sheetId="7528">
        <row r="8">
          <cell r="D8" t="str">
            <v>Paramaz Avedisian Building</v>
          </cell>
        </row>
      </sheetData>
      <sheetData sheetId="7529">
        <row r="8">
          <cell r="D8" t="str">
            <v>Paramaz Avedisian Building</v>
          </cell>
        </row>
      </sheetData>
      <sheetData sheetId="7530">
        <row r="8">
          <cell r="D8" t="str">
            <v>Paramaz Avedisian Building</v>
          </cell>
        </row>
      </sheetData>
      <sheetData sheetId="7531">
        <row r="8">
          <cell r="D8" t="str">
            <v>Paramaz Avedisian Building</v>
          </cell>
        </row>
      </sheetData>
      <sheetData sheetId="7532">
        <row r="8">
          <cell r="D8" t="str">
            <v>Paramaz Avedisian Building</v>
          </cell>
        </row>
      </sheetData>
      <sheetData sheetId="7533">
        <row r="8">
          <cell r="D8" t="str">
            <v>Paramaz Avedisian Building</v>
          </cell>
        </row>
      </sheetData>
      <sheetData sheetId="7534">
        <row r="8">
          <cell r="D8" t="str">
            <v>Paramaz Avedisian Building</v>
          </cell>
        </row>
      </sheetData>
      <sheetData sheetId="7535">
        <row r="8">
          <cell r="D8" t="str">
            <v>Paramaz Avedisian Building</v>
          </cell>
        </row>
      </sheetData>
      <sheetData sheetId="7536">
        <row r="8">
          <cell r="D8" t="str">
            <v>Paramaz Avedisian Building</v>
          </cell>
        </row>
      </sheetData>
      <sheetData sheetId="7537">
        <row r="8">
          <cell r="D8" t="str">
            <v>Paramaz Avedisian Building</v>
          </cell>
        </row>
      </sheetData>
      <sheetData sheetId="7538">
        <row r="8">
          <cell r="D8" t="str">
            <v>Paramaz Avedisian Building</v>
          </cell>
        </row>
      </sheetData>
      <sheetData sheetId="7539">
        <row r="8">
          <cell r="D8" t="str">
            <v>Paramaz Avedisian Building</v>
          </cell>
        </row>
      </sheetData>
      <sheetData sheetId="7540">
        <row r="8">
          <cell r="D8" t="str">
            <v>Paramaz Avedisian Building</v>
          </cell>
        </row>
      </sheetData>
      <sheetData sheetId="7541">
        <row r="8">
          <cell r="D8" t="str">
            <v>Paramaz Avedisian Building</v>
          </cell>
        </row>
      </sheetData>
      <sheetData sheetId="7542">
        <row r="8">
          <cell r="D8" t="str">
            <v>Paramaz Avedisian Building</v>
          </cell>
        </row>
      </sheetData>
      <sheetData sheetId="7543">
        <row r="8">
          <cell r="D8" t="str">
            <v>Paramaz Avedisian Building</v>
          </cell>
        </row>
      </sheetData>
      <sheetData sheetId="7544">
        <row r="8">
          <cell r="D8" t="str">
            <v>Paramaz Avedisian Building</v>
          </cell>
        </row>
      </sheetData>
      <sheetData sheetId="7545">
        <row r="8">
          <cell r="D8" t="str">
            <v>Paramaz Avedisian Building</v>
          </cell>
        </row>
      </sheetData>
      <sheetData sheetId="7546">
        <row r="8">
          <cell r="D8" t="str">
            <v>Paramaz Avedisian Building</v>
          </cell>
        </row>
      </sheetData>
      <sheetData sheetId="7547">
        <row r="8">
          <cell r="D8" t="str">
            <v>Paramaz Avedisian Building</v>
          </cell>
        </row>
      </sheetData>
      <sheetData sheetId="7548">
        <row r="8">
          <cell r="D8" t="str">
            <v>Paramaz Avedisian Building</v>
          </cell>
        </row>
      </sheetData>
      <sheetData sheetId="7549">
        <row r="8">
          <cell r="D8" t="str">
            <v>Paramaz Avedisian Building</v>
          </cell>
        </row>
      </sheetData>
      <sheetData sheetId="7550">
        <row r="8">
          <cell r="D8" t="str">
            <v>Paramaz Avedisian Building</v>
          </cell>
        </row>
      </sheetData>
      <sheetData sheetId="7551">
        <row r="8">
          <cell r="D8" t="str">
            <v>Paramaz Avedisian Building</v>
          </cell>
        </row>
      </sheetData>
      <sheetData sheetId="7552">
        <row r="8">
          <cell r="D8" t="str">
            <v>Paramaz Avedisian Building</v>
          </cell>
        </row>
      </sheetData>
      <sheetData sheetId="7553">
        <row r="8">
          <cell r="D8" t="str">
            <v>Paramaz Avedisian Building</v>
          </cell>
        </row>
      </sheetData>
      <sheetData sheetId="7554">
        <row r="8">
          <cell r="D8" t="str">
            <v>Paramaz Avedisian Building</v>
          </cell>
        </row>
      </sheetData>
      <sheetData sheetId="7555">
        <row r="8">
          <cell r="D8" t="str">
            <v>Paramaz Avedisian Building</v>
          </cell>
        </row>
      </sheetData>
      <sheetData sheetId="7556">
        <row r="8">
          <cell r="D8" t="str">
            <v>Paramaz Avedisian Building</v>
          </cell>
        </row>
      </sheetData>
      <sheetData sheetId="7557">
        <row r="8">
          <cell r="D8" t="str">
            <v>Paramaz Avedisian Building</v>
          </cell>
        </row>
      </sheetData>
      <sheetData sheetId="7558">
        <row r="8">
          <cell r="D8" t="str">
            <v>Paramaz Avedisian Building</v>
          </cell>
        </row>
      </sheetData>
      <sheetData sheetId="7559">
        <row r="8">
          <cell r="D8" t="str">
            <v>Paramaz Avedisian Building</v>
          </cell>
        </row>
      </sheetData>
      <sheetData sheetId="7560">
        <row r="8">
          <cell r="D8" t="str">
            <v>Paramaz Avedisian Building</v>
          </cell>
        </row>
      </sheetData>
      <sheetData sheetId="7561">
        <row r="8">
          <cell r="D8" t="str">
            <v>Paramaz Avedisian Building</v>
          </cell>
        </row>
      </sheetData>
      <sheetData sheetId="7562">
        <row r="8">
          <cell r="D8" t="str">
            <v>Paramaz Avedisian Building</v>
          </cell>
        </row>
      </sheetData>
      <sheetData sheetId="7563">
        <row r="8">
          <cell r="D8" t="str">
            <v>Paramaz Avedisian Building</v>
          </cell>
        </row>
      </sheetData>
      <sheetData sheetId="7564">
        <row r="8">
          <cell r="D8" t="str">
            <v>Paramaz Avedisian Building</v>
          </cell>
        </row>
      </sheetData>
      <sheetData sheetId="7565">
        <row r="8">
          <cell r="D8" t="str">
            <v>Paramaz Avedisian Building</v>
          </cell>
        </row>
      </sheetData>
      <sheetData sheetId="7566">
        <row r="8">
          <cell r="D8" t="str">
            <v>Paramaz Avedisian Building</v>
          </cell>
        </row>
      </sheetData>
      <sheetData sheetId="7567">
        <row r="8">
          <cell r="D8" t="str">
            <v>Paramaz Avedisian Building</v>
          </cell>
        </row>
      </sheetData>
      <sheetData sheetId="7568">
        <row r="8">
          <cell r="D8" t="str">
            <v>Paramaz Avedisian Building</v>
          </cell>
        </row>
      </sheetData>
      <sheetData sheetId="7569">
        <row r="8">
          <cell r="D8" t="str">
            <v>Paramaz Avedisian Building</v>
          </cell>
        </row>
      </sheetData>
      <sheetData sheetId="7570">
        <row r="8">
          <cell r="D8" t="str">
            <v>Paramaz Avedisian Building</v>
          </cell>
        </row>
      </sheetData>
      <sheetData sheetId="7571">
        <row r="8">
          <cell r="D8" t="str">
            <v>Paramaz Avedisian Building</v>
          </cell>
        </row>
      </sheetData>
      <sheetData sheetId="7572">
        <row r="8">
          <cell r="D8" t="str">
            <v>Paramaz Avedisian Building</v>
          </cell>
        </row>
      </sheetData>
      <sheetData sheetId="7573">
        <row r="8">
          <cell r="D8" t="str">
            <v>Paramaz Avedisian Building</v>
          </cell>
        </row>
      </sheetData>
      <sheetData sheetId="7574">
        <row r="8">
          <cell r="D8" t="str">
            <v>Paramaz Avedisian Building</v>
          </cell>
        </row>
      </sheetData>
      <sheetData sheetId="7575">
        <row r="8">
          <cell r="D8" t="str">
            <v>Paramaz Avedisian Building</v>
          </cell>
        </row>
      </sheetData>
      <sheetData sheetId="7576">
        <row r="8">
          <cell r="D8" t="str">
            <v>Paramaz Avedisian Building</v>
          </cell>
        </row>
      </sheetData>
      <sheetData sheetId="7577">
        <row r="8">
          <cell r="D8" t="str">
            <v>Paramaz Avedisian Building</v>
          </cell>
        </row>
      </sheetData>
      <sheetData sheetId="7578">
        <row r="8">
          <cell r="D8" t="str">
            <v>Paramaz Avedisian Building</v>
          </cell>
        </row>
      </sheetData>
      <sheetData sheetId="7579">
        <row r="8">
          <cell r="D8" t="str">
            <v>Paramaz Avedisian Building</v>
          </cell>
        </row>
      </sheetData>
      <sheetData sheetId="7580"/>
      <sheetData sheetId="7581">
        <row r="8">
          <cell r="D8" t="str">
            <v>Paramaz Avedisian Building</v>
          </cell>
        </row>
      </sheetData>
      <sheetData sheetId="7582">
        <row r="8">
          <cell r="D8" t="str">
            <v>Paramaz Avedisian Building</v>
          </cell>
        </row>
      </sheetData>
      <sheetData sheetId="7583">
        <row r="8">
          <cell r="D8" t="str">
            <v>Paramaz Avedisian Building</v>
          </cell>
        </row>
      </sheetData>
      <sheetData sheetId="7584">
        <row r="8">
          <cell r="D8" t="str">
            <v>Paramaz Avedisian Building</v>
          </cell>
        </row>
      </sheetData>
      <sheetData sheetId="7585">
        <row r="8">
          <cell r="D8" t="str">
            <v>Paramaz Avedisian Building</v>
          </cell>
        </row>
      </sheetData>
      <sheetData sheetId="7586">
        <row r="8">
          <cell r="D8" t="str">
            <v>Paramaz Avedisian Building</v>
          </cell>
        </row>
      </sheetData>
      <sheetData sheetId="7587">
        <row r="8">
          <cell r="D8" t="str">
            <v>Paramaz Avedisian Building</v>
          </cell>
        </row>
      </sheetData>
      <sheetData sheetId="7588">
        <row r="8">
          <cell r="D8" t="str">
            <v>Paramaz Avedisian Building</v>
          </cell>
        </row>
      </sheetData>
      <sheetData sheetId="7589">
        <row r="8">
          <cell r="D8" t="str">
            <v>Paramaz Avedisian Building</v>
          </cell>
        </row>
      </sheetData>
      <sheetData sheetId="7590">
        <row r="8">
          <cell r="D8" t="str">
            <v>Paramaz Avedisian Building</v>
          </cell>
        </row>
      </sheetData>
      <sheetData sheetId="7591">
        <row r="8">
          <cell r="D8" t="str">
            <v>Paramaz Avedisian Building</v>
          </cell>
        </row>
      </sheetData>
      <sheetData sheetId="7592">
        <row r="8">
          <cell r="D8" t="str">
            <v>Paramaz Avedisian Building</v>
          </cell>
        </row>
      </sheetData>
      <sheetData sheetId="7593">
        <row r="8">
          <cell r="D8" t="str">
            <v>Paramaz Avedisian Building</v>
          </cell>
        </row>
      </sheetData>
      <sheetData sheetId="7594">
        <row r="8">
          <cell r="D8" t="str">
            <v>Paramaz Avedisian Building</v>
          </cell>
        </row>
      </sheetData>
      <sheetData sheetId="7595">
        <row r="8">
          <cell r="D8" t="str">
            <v>Paramaz Avedisian Building</v>
          </cell>
        </row>
      </sheetData>
      <sheetData sheetId="7596">
        <row r="8">
          <cell r="D8" t="str">
            <v>Paramaz Avedisian Building</v>
          </cell>
        </row>
      </sheetData>
      <sheetData sheetId="7597">
        <row r="8">
          <cell r="D8" t="str">
            <v>Paramaz Avedisian Building</v>
          </cell>
        </row>
      </sheetData>
      <sheetData sheetId="7598"/>
      <sheetData sheetId="7599">
        <row r="8">
          <cell r="D8" t="str">
            <v>Paramaz Avedisian Building</v>
          </cell>
        </row>
      </sheetData>
      <sheetData sheetId="7600">
        <row r="8">
          <cell r="D8" t="str">
            <v>Paramaz Avedisian Building</v>
          </cell>
        </row>
      </sheetData>
      <sheetData sheetId="7601">
        <row r="8">
          <cell r="D8" t="str">
            <v>Paramaz Avedisian Building</v>
          </cell>
        </row>
      </sheetData>
      <sheetData sheetId="7602">
        <row r="8">
          <cell r="D8" t="str">
            <v>Paramaz Avedisian Building</v>
          </cell>
        </row>
      </sheetData>
      <sheetData sheetId="7603">
        <row r="8">
          <cell r="D8" t="str">
            <v>Paramaz Avedisian Building</v>
          </cell>
        </row>
      </sheetData>
      <sheetData sheetId="7604">
        <row r="8">
          <cell r="D8" t="str">
            <v>Paramaz Avedisian Building</v>
          </cell>
        </row>
      </sheetData>
      <sheetData sheetId="7605">
        <row r="8">
          <cell r="D8" t="str">
            <v>Paramaz Avedisian Building</v>
          </cell>
        </row>
      </sheetData>
      <sheetData sheetId="7606">
        <row r="8">
          <cell r="D8" t="str">
            <v>Paramaz Avedisian Building</v>
          </cell>
        </row>
      </sheetData>
      <sheetData sheetId="7607">
        <row r="8">
          <cell r="D8" t="str">
            <v>Paramaz Avedisian Building</v>
          </cell>
        </row>
      </sheetData>
      <sheetData sheetId="7608">
        <row r="8">
          <cell r="D8" t="str">
            <v>Paramaz Avedisian Building</v>
          </cell>
        </row>
      </sheetData>
      <sheetData sheetId="7609">
        <row r="8">
          <cell r="D8" t="str">
            <v>Paramaz Avedisian Building</v>
          </cell>
        </row>
      </sheetData>
      <sheetData sheetId="7610">
        <row r="8">
          <cell r="D8" t="str">
            <v>Paramaz Avedisian Building</v>
          </cell>
        </row>
      </sheetData>
      <sheetData sheetId="7611">
        <row r="8">
          <cell r="D8" t="str">
            <v>Paramaz Avedisian Building</v>
          </cell>
        </row>
      </sheetData>
      <sheetData sheetId="7612">
        <row r="8">
          <cell r="D8" t="str">
            <v>Paramaz Avedisian Building</v>
          </cell>
        </row>
      </sheetData>
      <sheetData sheetId="7613">
        <row r="8">
          <cell r="D8" t="str">
            <v>Paramaz Avedisian Building</v>
          </cell>
        </row>
      </sheetData>
      <sheetData sheetId="7614">
        <row r="8">
          <cell r="D8" t="str">
            <v>Paramaz Avedisian Building</v>
          </cell>
        </row>
      </sheetData>
      <sheetData sheetId="7615">
        <row r="8">
          <cell r="D8" t="str">
            <v>Paramaz Avedisian Building</v>
          </cell>
        </row>
      </sheetData>
      <sheetData sheetId="7616">
        <row r="8">
          <cell r="D8" t="str">
            <v>Paramaz Avedisian Building</v>
          </cell>
        </row>
      </sheetData>
      <sheetData sheetId="7617">
        <row r="8">
          <cell r="D8" t="str">
            <v>Paramaz Avedisian Building</v>
          </cell>
        </row>
      </sheetData>
      <sheetData sheetId="7618">
        <row r="8">
          <cell r="D8" t="str">
            <v>Paramaz Avedisian Building</v>
          </cell>
        </row>
      </sheetData>
      <sheetData sheetId="7619">
        <row r="8">
          <cell r="D8" t="str">
            <v>Paramaz Avedisian Building</v>
          </cell>
        </row>
      </sheetData>
      <sheetData sheetId="7620">
        <row r="8">
          <cell r="D8" t="str">
            <v>Paramaz Avedisian Building</v>
          </cell>
        </row>
      </sheetData>
      <sheetData sheetId="7621">
        <row r="8">
          <cell r="D8" t="str">
            <v>Paramaz Avedisian Building</v>
          </cell>
        </row>
      </sheetData>
      <sheetData sheetId="7622">
        <row r="8">
          <cell r="D8" t="str">
            <v>Paramaz Avedisian Building</v>
          </cell>
        </row>
      </sheetData>
      <sheetData sheetId="7623">
        <row r="8">
          <cell r="D8" t="str">
            <v>Paramaz Avedisian Building</v>
          </cell>
        </row>
      </sheetData>
      <sheetData sheetId="7624">
        <row r="8">
          <cell r="D8" t="str">
            <v>Paramaz Avedisian Building</v>
          </cell>
        </row>
      </sheetData>
      <sheetData sheetId="7625">
        <row r="8">
          <cell r="D8" t="str">
            <v>Paramaz Avedisian Building</v>
          </cell>
        </row>
      </sheetData>
      <sheetData sheetId="7626">
        <row r="8">
          <cell r="D8" t="str">
            <v>Paramaz Avedisian Building</v>
          </cell>
        </row>
      </sheetData>
      <sheetData sheetId="7627">
        <row r="8">
          <cell r="D8" t="str">
            <v>Paramaz Avedisian Building</v>
          </cell>
        </row>
      </sheetData>
      <sheetData sheetId="7628">
        <row r="8">
          <cell r="D8" t="str">
            <v>Paramaz Avedisian Building</v>
          </cell>
        </row>
      </sheetData>
      <sheetData sheetId="7629">
        <row r="8">
          <cell r="D8" t="str">
            <v>Paramaz Avedisian Building</v>
          </cell>
        </row>
      </sheetData>
      <sheetData sheetId="7630">
        <row r="8">
          <cell r="D8" t="str">
            <v>Paramaz Avedisian Building</v>
          </cell>
        </row>
      </sheetData>
      <sheetData sheetId="7631">
        <row r="8">
          <cell r="D8" t="str">
            <v>Paramaz Avedisian Building</v>
          </cell>
        </row>
      </sheetData>
      <sheetData sheetId="7632">
        <row r="8">
          <cell r="D8" t="str">
            <v>Paramaz Avedisian Building</v>
          </cell>
        </row>
      </sheetData>
      <sheetData sheetId="7633"/>
      <sheetData sheetId="7634"/>
      <sheetData sheetId="7635"/>
      <sheetData sheetId="7636">
        <row r="8">
          <cell r="D8" t="str">
            <v>Paramaz Avedisian Building</v>
          </cell>
        </row>
      </sheetData>
      <sheetData sheetId="7637">
        <row r="8">
          <cell r="D8" t="str">
            <v>Paramaz Avedisian Building</v>
          </cell>
        </row>
      </sheetData>
      <sheetData sheetId="7638">
        <row r="8">
          <cell r="D8" t="str">
            <v>Paramaz Avedisian Building</v>
          </cell>
        </row>
      </sheetData>
      <sheetData sheetId="7639">
        <row r="8">
          <cell r="D8" t="str">
            <v>Paramaz Avedisian Building</v>
          </cell>
        </row>
      </sheetData>
      <sheetData sheetId="7640">
        <row r="8">
          <cell r="D8" t="str">
            <v>Paramaz Avedisian Building</v>
          </cell>
        </row>
      </sheetData>
      <sheetData sheetId="7641">
        <row r="8">
          <cell r="D8" t="str">
            <v>Paramaz Avedisian Building</v>
          </cell>
        </row>
      </sheetData>
      <sheetData sheetId="7642">
        <row r="8">
          <cell r="D8" t="str">
            <v>Paramaz Avedisian Building</v>
          </cell>
        </row>
      </sheetData>
      <sheetData sheetId="7643">
        <row r="8">
          <cell r="D8" t="str">
            <v>Paramaz Avedisian Building</v>
          </cell>
        </row>
      </sheetData>
      <sheetData sheetId="7644">
        <row r="8">
          <cell r="D8" t="str">
            <v>Paramaz Avedisian Building</v>
          </cell>
        </row>
      </sheetData>
      <sheetData sheetId="7645">
        <row r="8">
          <cell r="D8" t="str">
            <v>Paramaz Avedisian Building</v>
          </cell>
        </row>
      </sheetData>
      <sheetData sheetId="7646">
        <row r="8">
          <cell r="D8" t="str">
            <v>Paramaz Avedisian Building</v>
          </cell>
        </row>
      </sheetData>
      <sheetData sheetId="7647">
        <row r="8">
          <cell r="D8" t="str">
            <v>Paramaz Avedisian Building</v>
          </cell>
        </row>
      </sheetData>
      <sheetData sheetId="7648">
        <row r="8">
          <cell r="D8" t="str">
            <v>Paramaz Avedisian Building</v>
          </cell>
        </row>
      </sheetData>
      <sheetData sheetId="7649">
        <row r="8">
          <cell r="D8" t="str">
            <v>Paramaz Avedisian Building</v>
          </cell>
        </row>
      </sheetData>
      <sheetData sheetId="7650">
        <row r="8">
          <cell r="D8" t="str">
            <v>Paramaz Avedisian Building</v>
          </cell>
        </row>
      </sheetData>
      <sheetData sheetId="7651"/>
      <sheetData sheetId="7652"/>
      <sheetData sheetId="7653"/>
      <sheetData sheetId="7654">
        <row r="8">
          <cell r="D8" t="str">
            <v>Paramaz Avedisian Building</v>
          </cell>
        </row>
      </sheetData>
      <sheetData sheetId="7655">
        <row r="8">
          <cell r="D8" t="str">
            <v>Paramaz Avedisian Building</v>
          </cell>
        </row>
      </sheetData>
      <sheetData sheetId="7656">
        <row r="8">
          <cell r="D8" t="str">
            <v>Paramaz Avedisian Building</v>
          </cell>
        </row>
      </sheetData>
      <sheetData sheetId="7657">
        <row r="8">
          <cell r="D8" t="str">
            <v>Paramaz Avedisian Building</v>
          </cell>
        </row>
      </sheetData>
      <sheetData sheetId="7658">
        <row r="8">
          <cell r="D8" t="str">
            <v>Paramaz Avedisian Building</v>
          </cell>
        </row>
      </sheetData>
      <sheetData sheetId="7659">
        <row r="8">
          <cell r="D8" t="str">
            <v>Paramaz Avedisian Building</v>
          </cell>
        </row>
      </sheetData>
      <sheetData sheetId="7660">
        <row r="8">
          <cell r="D8" t="str">
            <v>Paramaz Avedisian Building</v>
          </cell>
        </row>
      </sheetData>
      <sheetData sheetId="7661">
        <row r="8">
          <cell r="D8" t="str">
            <v>Paramaz Avedisian Building</v>
          </cell>
        </row>
      </sheetData>
      <sheetData sheetId="7662">
        <row r="8">
          <cell r="D8" t="str">
            <v>Paramaz Avedisian Building</v>
          </cell>
        </row>
      </sheetData>
      <sheetData sheetId="7663">
        <row r="8">
          <cell r="D8" t="str">
            <v>Paramaz Avedisian Building</v>
          </cell>
        </row>
      </sheetData>
      <sheetData sheetId="7664">
        <row r="8">
          <cell r="D8" t="str">
            <v>Paramaz Avedisian Building</v>
          </cell>
        </row>
      </sheetData>
      <sheetData sheetId="7665">
        <row r="8">
          <cell r="D8" t="str">
            <v>Paramaz Avedisian Building</v>
          </cell>
        </row>
      </sheetData>
      <sheetData sheetId="7666">
        <row r="8">
          <cell r="D8" t="str">
            <v>Paramaz Avedisian Building</v>
          </cell>
        </row>
      </sheetData>
      <sheetData sheetId="7667">
        <row r="8">
          <cell r="D8" t="str">
            <v>Paramaz Avedisian Building</v>
          </cell>
        </row>
      </sheetData>
      <sheetData sheetId="7668">
        <row r="8">
          <cell r="D8" t="str">
            <v>Paramaz Avedisian Building</v>
          </cell>
        </row>
      </sheetData>
      <sheetData sheetId="7669"/>
      <sheetData sheetId="7670"/>
      <sheetData sheetId="7671"/>
      <sheetData sheetId="7672"/>
      <sheetData sheetId="7673">
        <row r="8">
          <cell r="D8" t="str">
            <v>Paramaz Avedisian Building</v>
          </cell>
        </row>
      </sheetData>
      <sheetData sheetId="7674">
        <row r="8">
          <cell r="D8" t="str">
            <v>Paramaz Avedisian Building</v>
          </cell>
        </row>
      </sheetData>
      <sheetData sheetId="7675">
        <row r="8">
          <cell r="D8" t="str">
            <v>Paramaz Avedisian Building</v>
          </cell>
        </row>
      </sheetData>
      <sheetData sheetId="7676">
        <row r="8">
          <cell r="D8" t="str">
            <v>Paramaz Avedisian Building</v>
          </cell>
        </row>
      </sheetData>
      <sheetData sheetId="7677">
        <row r="8">
          <cell r="D8" t="str">
            <v>Paramaz Avedisian Building</v>
          </cell>
        </row>
      </sheetData>
      <sheetData sheetId="7678">
        <row r="8">
          <cell r="D8" t="str">
            <v>Paramaz Avedisian Building</v>
          </cell>
        </row>
      </sheetData>
      <sheetData sheetId="7679">
        <row r="8">
          <cell r="D8" t="str">
            <v>Paramaz Avedisian Building</v>
          </cell>
        </row>
      </sheetData>
      <sheetData sheetId="7680">
        <row r="8">
          <cell r="D8" t="str">
            <v>Paramaz Avedisian Building</v>
          </cell>
        </row>
      </sheetData>
      <sheetData sheetId="7681">
        <row r="8">
          <cell r="D8" t="str">
            <v>Paramaz Avedisian Building</v>
          </cell>
        </row>
      </sheetData>
      <sheetData sheetId="7682">
        <row r="8">
          <cell r="D8" t="str">
            <v>Paramaz Avedisian Building</v>
          </cell>
        </row>
      </sheetData>
      <sheetData sheetId="7683">
        <row r="8">
          <cell r="D8" t="str">
            <v>Paramaz Avedisian Building</v>
          </cell>
        </row>
      </sheetData>
      <sheetData sheetId="7684"/>
      <sheetData sheetId="7685"/>
      <sheetData sheetId="7686"/>
      <sheetData sheetId="7687"/>
      <sheetData sheetId="7688"/>
      <sheetData sheetId="7689"/>
      <sheetData sheetId="7690"/>
      <sheetData sheetId="7691"/>
      <sheetData sheetId="7692">
        <row r="8">
          <cell r="D8" t="str">
            <v>Paramaz Avedisian Building</v>
          </cell>
        </row>
      </sheetData>
      <sheetData sheetId="7693">
        <row r="8">
          <cell r="D8" t="str">
            <v>Paramaz Avedisian Building</v>
          </cell>
        </row>
      </sheetData>
      <sheetData sheetId="7694">
        <row r="8">
          <cell r="D8" t="str">
            <v>Paramaz Avedisian Building</v>
          </cell>
        </row>
      </sheetData>
      <sheetData sheetId="7695">
        <row r="8">
          <cell r="D8" t="str">
            <v>Paramaz Avedisian Building</v>
          </cell>
        </row>
      </sheetData>
      <sheetData sheetId="7696">
        <row r="8">
          <cell r="D8" t="str">
            <v>Paramaz Avedisian Building</v>
          </cell>
        </row>
      </sheetData>
      <sheetData sheetId="7697">
        <row r="8">
          <cell r="D8" t="str">
            <v>Paramaz Avedisian Building</v>
          </cell>
        </row>
      </sheetData>
      <sheetData sheetId="7698">
        <row r="8">
          <cell r="D8" t="str">
            <v>Paramaz Avedisian Building</v>
          </cell>
        </row>
      </sheetData>
      <sheetData sheetId="7699">
        <row r="8">
          <cell r="D8" t="str">
            <v>Paramaz Avedisian Building</v>
          </cell>
        </row>
      </sheetData>
      <sheetData sheetId="7700">
        <row r="8">
          <cell r="D8" t="str">
            <v>Paramaz Avedisian Building</v>
          </cell>
        </row>
      </sheetData>
      <sheetData sheetId="7701"/>
      <sheetData sheetId="7702"/>
      <sheetData sheetId="7703"/>
      <sheetData sheetId="7704"/>
      <sheetData sheetId="7705"/>
      <sheetData sheetId="7706"/>
      <sheetData sheetId="7707"/>
      <sheetData sheetId="7708"/>
      <sheetData sheetId="7709"/>
      <sheetData sheetId="7710">
        <row r="8">
          <cell r="D8" t="str">
            <v>Paramaz Avedisian Building</v>
          </cell>
        </row>
      </sheetData>
      <sheetData sheetId="7711">
        <row r="8">
          <cell r="D8" t="str">
            <v>Paramaz Avedisian Building</v>
          </cell>
        </row>
      </sheetData>
      <sheetData sheetId="7712">
        <row r="8">
          <cell r="D8" t="str">
            <v>Paramaz Avedisian Building</v>
          </cell>
        </row>
      </sheetData>
      <sheetData sheetId="7713">
        <row r="8">
          <cell r="D8" t="str">
            <v>Paramaz Avedisian Building</v>
          </cell>
        </row>
      </sheetData>
      <sheetData sheetId="7714">
        <row r="8">
          <cell r="D8" t="str">
            <v>Paramaz Avedisian Building</v>
          </cell>
        </row>
      </sheetData>
      <sheetData sheetId="7715">
        <row r="8">
          <cell r="D8" t="str">
            <v>Paramaz Avedisian Building</v>
          </cell>
        </row>
      </sheetData>
      <sheetData sheetId="7716">
        <row r="8">
          <cell r="D8" t="str">
            <v>Paramaz Avedisian Building</v>
          </cell>
        </row>
      </sheetData>
      <sheetData sheetId="7717">
        <row r="8">
          <cell r="D8" t="str">
            <v>Paramaz Avedisian Building</v>
          </cell>
        </row>
      </sheetData>
      <sheetData sheetId="7718">
        <row r="8">
          <cell r="D8" t="str">
            <v>Paramaz Avedisian Building</v>
          </cell>
        </row>
      </sheetData>
      <sheetData sheetId="7719"/>
      <sheetData sheetId="7720"/>
      <sheetData sheetId="7721"/>
      <sheetData sheetId="7722"/>
      <sheetData sheetId="7723"/>
      <sheetData sheetId="7724"/>
      <sheetData sheetId="7725"/>
      <sheetData sheetId="7726"/>
      <sheetData sheetId="7727"/>
      <sheetData sheetId="7728"/>
      <sheetData sheetId="7729">
        <row r="8">
          <cell r="D8" t="str">
            <v>Paramaz Avedisian Building</v>
          </cell>
        </row>
      </sheetData>
      <sheetData sheetId="7730">
        <row r="8">
          <cell r="D8" t="str">
            <v>Paramaz Avedisian Building</v>
          </cell>
        </row>
      </sheetData>
      <sheetData sheetId="7731">
        <row r="8">
          <cell r="D8" t="str">
            <v>Paramaz Avedisian Building</v>
          </cell>
        </row>
      </sheetData>
      <sheetData sheetId="7732">
        <row r="8">
          <cell r="D8" t="str">
            <v>Paramaz Avedisian Building</v>
          </cell>
        </row>
      </sheetData>
      <sheetData sheetId="7733">
        <row r="8">
          <cell r="D8" t="str">
            <v>Paramaz Avedisian Building</v>
          </cell>
        </row>
      </sheetData>
      <sheetData sheetId="7734">
        <row r="8">
          <cell r="D8" t="str">
            <v>Paramaz Avedisian Building</v>
          </cell>
        </row>
      </sheetData>
      <sheetData sheetId="7735">
        <row r="8">
          <cell r="D8" t="str">
            <v>Paramaz Avedisian Building</v>
          </cell>
        </row>
      </sheetData>
      <sheetData sheetId="7736">
        <row r="8">
          <cell r="D8" t="str">
            <v>Paramaz Avedisian Building</v>
          </cell>
        </row>
      </sheetData>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ow r="8">
          <cell r="D8" t="str">
            <v>Paramaz Avedisian Building</v>
          </cell>
        </row>
      </sheetData>
      <sheetData sheetId="8022">
        <row r="8">
          <cell r="D8" t="str">
            <v>Paramaz Avedisian Building</v>
          </cell>
        </row>
      </sheetData>
      <sheetData sheetId="8023">
        <row r="8">
          <cell r="D8" t="str">
            <v>Paramaz Avedisian Building</v>
          </cell>
        </row>
      </sheetData>
      <sheetData sheetId="8024">
        <row r="8">
          <cell r="D8" t="str">
            <v>Paramaz Avedisian Building</v>
          </cell>
        </row>
      </sheetData>
      <sheetData sheetId="8025"/>
      <sheetData sheetId="8026"/>
      <sheetData sheetId="8027">
        <row r="8">
          <cell r="D8" t="str">
            <v>Paramaz Avedisian Building</v>
          </cell>
        </row>
      </sheetData>
      <sheetData sheetId="8028">
        <row r="8">
          <cell r="D8" t="str">
            <v>Paramaz Avedisian Building</v>
          </cell>
        </row>
      </sheetData>
      <sheetData sheetId="8029">
        <row r="8">
          <cell r="D8" t="str">
            <v>Paramaz Avedisian Building</v>
          </cell>
        </row>
      </sheetData>
      <sheetData sheetId="8030">
        <row r="8">
          <cell r="D8" t="str">
            <v>Paramaz Avedisian Building</v>
          </cell>
        </row>
      </sheetData>
      <sheetData sheetId="8031">
        <row r="8">
          <cell r="D8" t="str">
            <v>Paramaz Avedisian Building</v>
          </cell>
        </row>
      </sheetData>
      <sheetData sheetId="8032">
        <row r="8">
          <cell r="D8" t="str">
            <v>Paramaz Avedisian Building</v>
          </cell>
        </row>
      </sheetData>
      <sheetData sheetId="8033">
        <row r="8">
          <cell r="D8" t="str">
            <v>Paramaz Avedisian Building</v>
          </cell>
        </row>
      </sheetData>
      <sheetData sheetId="8034">
        <row r="8">
          <cell r="D8" t="str">
            <v>Paramaz Avedisian Building</v>
          </cell>
        </row>
      </sheetData>
      <sheetData sheetId="8035">
        <row r="8">
          <cell r="D8" t="str">
            <v>Paramaz Avedisian Building</v>
          </cell>
        </row>
      </sheetData>
      <sheetData sheetId="8036">
        <row r="8">
          <cell r="D8" t="str">
            <v>Paramaz Avedisian Building</v>
          </cell>
        </row>
      </sheetData>
      <sheetData sheetId="8037">
        <row r="8">
          <cell r="D8" t="str">
            <v>Paramaz Avedisian Building</v>
          </cell>
        </row>
      </sheetData>
      <sheetData sheetId="8038">
        <row r="8">
          <cell r="D8" t="str">
            <v>Paramaz Avedisian Building</v>
          </cell>
        </row>
      </sheetData>
      <sheetData sheetId="8039">
        <row r="8">
          <cell r="D8" t="str">
            <v>Paramaz Avedisian Building</v>
          </cell>
        </row>
      </sheetData>
      <sheetData sheetId="8040">
        <row r="8">
          <cell r="D8" t="str">
            <v>Paramaz Avedisian Building</v>
          </cell>
        </row>
      </sheetData>
      <sheetData sheetId="8041">
        <row r="8">
          <cell r="D8" t="str">
            <v>Paramaz Avedisian Building</v>
          </cell>
        </row>
      </sheetData>
      <sheetData sheetId="8042">
        <row r="8">
          <cell r="D8" t="str">
            <v>Paramaz Avedisian Building</v>
          </cell>
        </row>
      </sheetData>
      <sheetData sheetId="8043">
        <row r="8">
          <cell r="D8" t="str">
            <v>Paramaz Avedisian Building</v>
          </cell>
        </row>
      </sheetData>
      <sheetData sheetId="8044">
        <row r="8">
          <cell r="D8" t="str">
            <v>Paramaz Avedisian Building</v>
          </cell>
        </row>
      </sheetData>
      <sheetData sheetId="8045">
        <row r="8">
          <cell r="D8" t="str">
            <v>Paramaz Avedisian Building</v>
          </cell>
        </row>
      </sheetData>
      <sheetData sheetId="8046">
        <row r="8">
          <cell r="D8" t="str">
            <v>Paramaz Avedisian Building</v>
          </cell>
        </row>
      </sheetData>
      <sheetData sheetId="8047">
        <row r="8">
          <cell r="D8" t="str">
            <v>Paramaz Avedisian Building</v>
          </cell>
        </row>
      </sheetData>
      <sheetData sheetId="8048">
        <row r="8">
          <cell r="D8" t="str">
            <v>Paramaz Avedisian Building</v>
          </cell>
        </row>
      </sheetData>
      <sheetData sheetId="8049">
        <row r="8">
          <cell r="D8" t="str">
            <v>Paramaz Avedisian Building</v>
          </cell>
        </row>
      </sheetData>
      <sheetData sheetId="8050">
        <row r="8">
          <cell r="D8" t="str">
            <v>Paramaz Avedisian Building</v>
          </cell>
        </row>
      </sheetData>
      <sheetData sheetId="8051">
        <row r="8">
          <cell r="D8" t="str">
            <v>Paramaz Avedisian Building</v>
          </cell>
        </row>
      </sheetData>
      <sheetData sheetId="8052">
        <row r="8">
          <cell r="D8" t="str">
            <v>Paramaz Avedisian Building</v>
          </cell>
        </row>
      </sheetData>
      <sheetData sheetId="8053">
        <row r="8">
          <cell r="D8" t="str">
            <v>Paramaz Avedisian Building</v>
          </cell>
        </row>
      </sheetData>
      <sheetData sheetId="8054">
        <row r="8">
          <cell r="D8" t="str">
            <v>Paramaz Avedisian Building</v>
          </cell>
        </row>
      </sheetData>
      <sheetData sheetId="8055">
        <row r="8">
          <cell r="D8" t="str">
            <v>Paramaz Avedisian Building</v>
          </cell>
        </row>
      </sheetData>
      <sheetData sheetId="8056">
        <row r="8">
          <cell r="D8" t="str">
            <v>Paramaz Avedisian Building</v>
          </cell>
        </row>
      </sheetData>
      <sheetData sheetId="8057">
        <row r="8">
          <cell r="D8" t="str">
            <v>Paramaz Avedisian Building</v>
          </cell>
        </row>
      </sheetData>
      <sheetData sheetId="8058">
        <row r="8">
          <cell r="D8" t="str">
            <v>Paramaz Avedisian Building</v>
          </cell>
        </row>
      </sheetData>
      <sheetData sheetId="8059">
        <row r="8">
          <cell r="D8" t="str">
            <v>Paramaz Avedisian Building</v>
          </cell>
        </row>
      </sheetData>
      <sheetData sheetId="8060">
        <row r="8">
          <cell r="D8" t="str">
            <v>Paramaz Avedisian Building</v>
          </cell>
        </row>
      </sheetData>
      <sheetData sheetId="8061">
        <row r="8">
          <cell r="D8" t="str">
            <v>Paramaz Avedisian Building</v>
          </cell>
        </row>
      </sheetData>
      <sheetData sheetId="8062">
        <row r="8">
          <cell r="D8" t="str">
            <v>Paramaz Avedisian Building</v>
          </cell>
        </row>
      </sheetData>
      <sheetData sheetId="8063"/>
      <sheetData sheetId="8064"/>
      <sheetData sheetId="8065">
        <row r="8">
          <cell r="D8" t="str">
            <v>Paramaz Avedisian Building</v>
          </cell>
        </row>
      </sheetData>
      <sheetData sheetId="8066">
        <row r="8">
          <cell r="D8" t="str">
            <v>Paramaz Avedisian Building</v>
          </cell>
        </row>
      </sheetData>
      <sheetData sheetId="8067">
        <row r="8">
          <cell r="D8" t="str">
            <v>Paramaz Avedisian Building</v>
          </cell>
        </row>
      </sheetData>
      <sheetData sheetId="8068">
        <row r="8">
          <cell r="D8" t="str">
            <v>Paramaz Avedisian Building</v>
          </cell>
        </row>
      </sheetData>
      <sheetData sheetId="8069">
        <row r="8">
          <cell r="D8" t="str">
            <v>Paramaz Avedisian Building</v>
          </cell>
        </row>
      </sheetData>
      <sheetData sheetId="8070">
        <row r="8">
          <cell r="D8" t="str">
            <v>Paramaz Avedisian Building</v>
          </cell>
        </row>
      </sheetData>
      <sheetData sheetId="8071">
        <row r="8">
          <cell r="D8" t="str">
            <v>Paramaz Avedisian Building</v>
          </cell>
        </row>
      </sheetData>
      <sheetData sheetId="8072">
        <row r="8">
          <cell r="D8" t="str">
            <v>Paramaz Avedisian Building</v>
          </cell>
        </row>
      </sheetData>
      <sheetData sheetId="8073">
        <row r="8">
          <cell r="D8" t="str">
            <v>Paramaz Avedisian Building</v>
          </cell>
        </row>
      </sheetData>
      <sheetData sheetId="8074">
        <row r="8">
          <cell r="D8" t="str">
            <v>Paramaz Avedisian Building</v>
          </cell>
        </row>
      </sheetData>
      <sheetData sheetId="8075">
        <row r="8">
          <cell r="D8" t="str">
            <v>Paramaz Avedisian Building</v>
          </cell>
        </row>
      </sheetData>
      <sheetData sheetId="8076">
        <row r="8">
          <cell r="D8" t="str">
            <v>Paramaz Avedisian Building</v>
          </cell>
        </row>
      </sheetData>
      <sheetData sheetId="8077">
        <row r="8">
          <cell r="D8" t="str">
            <v>Paramaz Avedisian Building</v>
          </cell>
        </row>
      </sheetData>
      <sheetData sheetId="8078"/>
      <sheetData sheetId="8079"/>
      <sheetData sheetId="8080"/>
      <sheetData sheetId="8081"/>
      <sheetData sheetId="8082"/>
      <sheetData sheetId="8083">
        <row r="8">
          <cell r="D8" t="str">
            <v>Paramaz Avedisian Building</v>
          </cell>
        </row>
      </sheetData>
      <sheetData sheetId="8084">
        <row r="8">
          <cell r="D8" t="str">
            <v>Paramaz Avedisian Building</v>
          </cell>
        </row>
      </sheetData>
      <sheetData sheetId="8085">
        <row r="8">
          <cell r="D8" t="str">
            <v>Paramaz Avedisian Building</v>
          </cell>
        </row>
      </sheetData>
      <sheetData sheetId="8086">
        <row r="8">
          <cell r="D8" t="str">
            <v>Paramaz Avedisian Building</v>
          </cell>
        </row>
      </sheetData>
      <sheetData sheetId="8087">
        <row r="8">
          <cell r="D8" t="str">
            <v>Paramaz Avedisian Building</v>
          </cell>
        </row>
      </sheetData>
      <sheetData sheetId="8088">
        <row r="8">
          <cell r="D8" t="str">
            <v>Paramaz Avedisian Building</v>
          </cell>
        </row>
      </sheetData>
      <sheetData sheetId="8089">
        <row r="8">
          <cell r="D8" t="str">
            <v>Paramaz Avedisian Building</v>
          </cell>
        </row>
      </sheetData>
      <sheetData sheetId="8090">
        <row r="8">
          <cell r="D8" t="str">
            <v>Paramaz Avedisian Building</v>
          </cell>
        </row>
      </sheetData>
      <sheetData sheetId="8091">
        <row r="8">
          <cell r="D8" t="str">
            <v>Paramaz Avedisian Building</v>
          </cell>
        </row>
      </sheetData>
      <sheetData sheetId="8092">
        <row r="8">
          <cell r="D8" t="str">
            <v>Paramaz Avedisian Building</v>
          </cell>
        </row>
      </sheetData>
      <sheetData sheetId="8093">
        <row r="8">
          <cell r="D8" t="str">
            <v>Paramaz Avedisian Building</v>
          </cell>
        </row>
      </sheetData>
      <sheetData sheetId="8094">
        <row r="8">
          <cell r="D8" t="str">
            <v>Paramaz Avedisian Building</v>
          </cell>
        </row>
      </sheetData>
      <sheetData sheetId="8095">
        <row r="8">
          <cell r="D8" t="str">
            <v>Paramaz Avedisian Building</v>
          </cell>
        </row>
      </sheetData>
      <sheetData sheetId="8096"/>
      <sheetData sheetId="8097"/>
      <sheetData sheetId="8098"/>
      <sheetData sheetId="8099"/>
      <sheetData sheetId="8100"/>
      <sheetData sheetId="8101">
        <row r="8">
          <cell r="D8" t="str">
            <v>Paramaz Avedisian Building</v>
          </cell>
        </row>
      </sheetData>
      <sheetData sheetId="8102">
        <row r="8">
          <cell r="D8" t="str">
            <v>Paramaz Avedisian Building</v>
          </cell>
        </row>
      </sheetData>
      <sheetData sheetId="8103">
        <row r="8">
          <cell r="D8" t="str">
            <v>Paramaz Avedisian Building</v>
          </cell>
        </row>
      </sheetData>
      <sheetData sheetId="8104">
        <row r="8">
          <cell r="D8" t="str">
            <v>Paramaz Avedisian Building</v>
          </cell>
        </row>
      </sheetData>
      <sheetData sheetId="8105">
        <row r="8">
          <cell r="D8" t="str">
            <v>Paramaz Avedisian Building</v>
          </cell>
        </row>
      </sheetData>
      <sheetData sheetId="8106">
        <row r="8">
          <cell r="D8" t="str">
            <v>Paramaz Avedisian Building</v>
          </cell>
        </row>
      </sheetData>
      <sheetData sheetId="8107">
        <row r="8">
          <cell r="D8" t="str">
            <v>Paramaz Avedisian Building</v>
          </cell>
        </row>
      </sheetData>
      <sheetData sheetId="8108">
        <row r="8">
          <cell r="D8" t="str">
            <v>Paramaz Avedisian Building</v>
          </cell>
        </row>
      </sheetData>
      <sheetData sheetId="8109">
        <row r="8">
          <cell r="D8" t="str">
            <v>Paramaz Avedisian Building</v>
          </cell>
        </row>
      </sheetData>
      <sheetData sheetId="8110"/>
      <sheetData sheetId="8111"/>
      <sheetData sheetId="8112"/>
      <sheetData sheetId="8113"/>
      <sheetData sheetId="8114"/>
      <sheetData sheetId="8115"/>
      <sheetData sheetId="8116"/>
      <sheetData sheetId="8117"/>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ow r="8">
          <cell r="D8">
            <v>0</v>
          </cell>
        </row>
      </sheetData>
      <sheetData sheetId="8246"/>
      <sheetData sheetId="8247"/>
      <sheetData sheetId="8248"/>
      <sheetData sheetId="8249"/>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sheetData sheetId="8262"/>
      <sheetData sheetId="8263"/>
      <sheetData sheetId="8264"/>
      <sheetData sheetId="8265"/>
      <sheetData sheetId="8266"/>
      <sheetData sheetId="8267"/>
      <sheetData sheetId="8268">
        <row r="8">
          <cell r="D8" t="str">
            <v>Paramaz Avedisian Building</v>
          </cell>
        </row>
      </sheetData>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row r="8">
          <cell r="D8" t="str">
            <v>Paramaz Avedisian Building</v>
          </cell>
        </row>
      </sheetData>
      <sheetData sheetId="8288">
        <row r="8">
          <cell r="D8" t="str">
            <v>Paramaz Avedisian Building</v>
          </cell>
        </row>
      </sheetData>
      <sheetData sheetId="8289">
        <row r="8">
          <cell r="D8" t="str">
            <v>Paramaz Avedisian Building</v>
          </cell>
        </row>
      </sheetData>
      <sheetData sheetId="8290">
        <row r="8">
          <cell r="D8" t="str">
            <v>Paramaz Avedisian Building</v>
          </cell>
        </row>
      </sheetData>
      <sheetData sheetId="8291">
        <row r="8">
          <cell r="D8" t="str">
            <v>Paramaz Avedisian Building</v>
          </cell>
        </row>
      </sheetData>
      <sheetData sheetId="8292">
        <row r="8">
          <cell r="D8" t="str">
            <v>Paramaz Avedisian Building</v>
          </cell>
        </row>
      </sheetData>
      <sheetData sheetId="8293">
        <row r="8">
          <cell r="D8" t="str">
            <v>Paramaz Avedisian Building</v>
          </cell>
        </row>
      </sheetData>
      <sheetData sheetId="8294">
        <row r="8">
          <cell r="D8" t="str">
            <v>Paramaz Avedisian Building</v>
          </cell>
        </row>
      </sheetData>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row r="8">
          <cell r="D8" t="str">
            <v>Paramaz Avedisian Building</v>
          </cell>
        </row>
      </sheetData>
      <sheetData sheetId="8409">
        <row r="8">
          <cell r="D8" t="str">
            <v>Paramaz Avedisian Building</v>
          </cell>
        </row>
      </sheetData>
      <sheetData sheetId="8410">
        <row r="8">
          <cell r="D8" t="str">
            <v>Paramaz Avedisian Building</v>
          </cell>
        </row>
      </sheetData>
      <sheetData sheetId="8411">
        <row r="8">
          <cell r="D8" t="str">
            <v>Paramaz Avedisian Building</v>
          </cell>
        </row>
      </sheetData>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row r="8">
          <cell r="D8" t="str">
            <v>ASU's Application</v>
          </cell>
        </row>
      </sheetData>
      <sheetData sheetId="8440">
        <row r="8">
          <cell r="D8" t="str">
            <v>ASU's Application</v>
          </cell>
        </row>
      </sheetData>
      <sheetData sheetId="8441">
        <row r="8">
          <cell r="D8" t="str">
            <v>ASU's Application</v>
          </cell>
        </row>
      </sheetData>
      <sheetData sheetId="8442">
        <row r="8">
          <cell r="D8" t="str">
            <v>Paramaz Avedisian Building</v>
          </cell>
        </row>
      </sheetData>
      <sheetData sheetId="8443">
        <row r="8">
          <cell r="D8" t="str">
            <v>Paramaz Avedisian Building</v>
          </cell>
        </row>
      </sheetData>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row r="8">
          <cell r="D8" t="str">
            <v>Paramaz Avedisian Building</v>
          </cell>
        </row>
      </sheetData>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row r="8">
          <cell r="D8" t="str">
            <v>ASU's Application</v>
          </cell>
        </row>
      </sheetData>
      <sheetData sheetId="8496">
        <row r="8">
          <cell r="D8" t="str">
            <v>Paramaz Avedisian Building</v>
          </cell>
        </row>
      </sheetData>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ow r="8">
          <cell r="D8" t="str">
            <v>Paramaz Avedisian Building</v>
          </cell>
        </row>
      </sheetData>
      <sheetData sheetId="8544">
        <row r="8">
          <cell r="D8" t="str">
            <v>Paramaz Avedisian Building</v>
          </cell>
        </row>
      </sheetData>
      <sheetData sheetId="8545">
        <row r="8">
          <cell r="D8" t="str">
            <v>Paramaz Avedisian Building</v>
          </cell>
        </row>
      </sheetData>
      <sheetData sheetId="8546"/>
      <sheetData sheetId="8547">
        <row r="8">
          <cell r="D8" t="str">
            <v>Paramaz Avedisian Building</v>
          </cell>
        </row>
      </sheetData>
      <sheetData sheetId="8548"/>
      <sheetData sheetId="8549">
        <row r="8">
          <cell r="D8" t="str">
            <v>Paramaz Avedisian Building</v>
          </cell>
        </row>
      </sheetData>
      <sheetData sheetId="8550">
        <row r="8">
          <cell r="D8" t="str">
            <v>Paramaz Avedisian Building</v>
          </cell>
        </row>
      </sheetData>
      <sheetData sheetId="8551">
        <row r="8">
          <cell r="D8" t="str">
            <v>Paramaz Avedisian Building</v>
          </cell>
        </row>
      </sheetData>
      <sheetData sheetId="8552">
        <row r="8">
          <cell r="D8" t="str">
            <v>Paramaz Avedisian Building</v>
          </cell>
        </row>
      </sheetData>
      <sheetData sheetId="8553">
        <row r="8">
          <cell r="D8" t="str">
            <v>Paramaz Avedisian Building</v>
          </cell>
        </row>
      </sheetData>
      <sheetData sheetId="8554">
        <row r="8">
          <cell r="D8" t="str">
            <v>Paramaz Avedisian Building</v>
          </cell>
        </row>
      </sheetData>
      <sheetData sheetId="8555">
        <row r="8">
          <cell r="D8" t="str">
            <v>Paramaz Avedisian Building</v>
          </cell>
        </row>
      </sheetData>
      <sheetData sheetId="8556">
        <row r="8">
          <cell r="D8" t="str">
            <v>Paramaz Avedisian Building</v>
          </cell>
        </row>
      </sheetData>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sheetData sheetId="8599"/>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sheetData sheetId="8614"/>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ow r="8">
          <cell r="D8">
            <v>0</v>
          </cell>
        </row>
      </sheetData>
      <sheetData sheetId="8843"/>
      <sheetData sheetId="8844"/>
      <sheetData sheetId="8845"/>
      <sheetData sheetId="8846"/>
      <sheetData sheetId="8847"/>
      <sheetData sheetId="8848"/>
      <sheetData sheetId="8849"/>
      <sheetData sheetId="8850"/>
      <sheetData sheetId="885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ign"/>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 TABLE"/>
      <sheetName val="dg size"/>
      <sheetName val="Sheet1"/>
      <sheetName val="RES-PLANNING"/>
      <sheetName val="Fill this out first..."/>
      <sheetName val="TBAL9697 -group wise  sdpl"/>
      <sheetName val="girder"/>
      <sheetName val="INPUT SHEET"/>
      <sheetName val="Basement Budget"/>
      <sheetName val="GBW"/>
      <sheetName val="Sheet3"/>
      <sheetName val="Data"/>
      <sheetName val="Lead"/>
      <sheetName val="p&amp;m"/>
      <sheetName val="PRECAST lightconc-II"/>
      <sheetName val="Meas.-Hotel Part"/>
      <sheetName val="VCH-SLC"/>
      <sheetName val="Supplier"/>
      <sheetName val="Material "/>
      <sheetName val="Labour &amp; Plant"/>
      <sheetName val="Pacakges split"/>
      <sheetName val="Database"/>
      <sheetName val="SCHEDULE"/>
      <sheetName val="schedule nos"/>
      <sheetName val="Design"/>
      <sheetName val="Cashflow projection"/>
      <sheetName val="MenuData"/>
      <sheetName val="factors"/>
      <sheetName val="Deprec."/>
      <sheetName val="3. Elemental Summary"/>
      <sheetName val="9. Package split - Cost "/>
      <sheetName val="10. &amp; 11. Rate Code &amp; BQ"/>
      <sheetName val="Rate analysis"/>
      <sheetName val="labour coeff"/>
      <sheetName val="Sun E Type"/>
      <sheetName val="Parameter"/>
      <sheetName val="Sheet2"/>
      <sheetName val="Headings"/>
      <sheetName val="Extra Item"/>
      <sheetName val="Project Budget Worksheet"/>
      <sheetName val="Assmpns"/>
      <sheetName val="Name List"/>
      <sheetName val="Desgn(zone I)"/>
      <sheetName val="BASIS -DEC 08"/>
      <sheetName val="Main-Material"/>
      <sheetName val="Footings"/>
      <sheetName val="BOQ_Direct_selling cost"/>
      <sheetName val="lsd"/>
      <sheetName val="Build-up"/>
      <sheetName val="PROPERTIES"/>
      <sheetName val="PARASITIC"/>
      <sheetName val="CALCULATIONS"/>
      <sheetName val="Data sheet"/>
    </sheetNames>
    <sheetDataSet>
      <sheetData sheetId="0" refreshError="1">
        <row r="1">
          <cell r="A1" t="str">
            <v xml:space="preserve">DG ROOM SIZE - LENGTH </v>
          </cell>
        </row>
        <row r="2">
          <cell r="A2" t="str">
            <v xml:space="preserve">DG KVA RATING </v>
          </cell>
          <cell r="B2" t="str">
            <v xml:space="preserve"> GAP B/W DG's</v>
          </cell>
        </row>
        <row r="3">
          <cell r="A3">
            <v>30</v>
          </cell>
          <cell r="B3">
            <v>1000</v>
          </cell>
        </row>
        <row r="4">
          <cell r="A4">
            <v>40</v>
          </cell>
          <cell r="B4">
            <v>1000</v>
          </cell>
        </row>
        <row r="5">
          <cell r="A5">
            <v>45</v>
          </cell>
          <cell r="B5">
            <v>1000</v>
          </cell>
        </row>
        <row r="6">
          <cell r="A6">
            <v>50</v>
          </cell>
          <cell r="B6">
            <v>1000</v>
          </cell>
        </row>
        <row r="7">
          <cell r="A7">
            <v>63</v>
          </cell>
          <cell r="B7">
            <v>1000</v>
          </cell>
        </row>
        <row r="8">
          <cell r="A8">
            <v>75</v>
          </cell>
          <cell r="B8">
            <v>1000</v>
          </cell>
        </row>
        <row r="9">
          <cell r="A9">
            <v>82.5</v>
          </cell>
          <cell r="B9">
            <v>1000</v>
          </cell>
        </row>
        <row r="10">
          <cell r="A10">
            <v>100</v>
          </cell>
          <cell r="B10">
            <v>1000</v>
          </cell>
        </row>
        <row r="11">
          <cell r="A11">
            <v>110</v>
          </cell>
          <cell r="B11">
            <v>1000</v>
          </cell>
        </row>
        <row r="12">
          <cell r="A12">
            <v>125</v>
          </cell>
          <cell r="B12">
            <v>1000</v>
          </cell>
        </row>
        <row r="13">
          <cell r="A13">
            <v>160</v>
          </cell>
          <cell r="B13">
            <v>1000</v>
          </cell>
        </row>
        <row r="14">
          <cell r="A14">
            <v>250</v>
          </cell>
          <cell r="B14">
            <v>1800</v>
          </cell>
        </row>
        <row r="15">
          <cell r="A15">
            <v>320</v>
          </cell>
          <cell r="B15">
            <v>1800</v>
          </cell>
        </row>
        <row r="16">
          <cell r="A16">
            <v>380</v>
          </cell>
          <cell r="B16">
            <v>1800</v>
          </cell>
        </row>
        <row r="17">
          <cell r="A17">
            <v>500</v>
          </cell>
          <cell r="B17">
            <v>1800</v>
          </cell>
        </row>
        <row r="18">
          <cell r="A18">
            <v>625</v>
          </cell>
          <cell r="B18">
            <v>1800</v>
          </cell>
        </row>
        <row r="19">
          <cell r="A19">
            <v>750</v>
          </cell>
          <cell r="B19">
            <v>1800</v>
          </cell>
        </row>
        <row r="20">
          <cell r="A20">
            <v>1000</v>
          </cell>
          <cell r="B20">
            <v>2000</v>
          </cell>
        </row>
        <row r="21">
          <cell r="A21">
            <v>1250</v>
          </cell>
          <cell r="B21">
            <v>2500</v>
          </cell>
        </row>
        <row r="22">
          <cell r="A22">
            <v>1500</v>
          </cell>
          <cell r="B22">
            <v>2500</v>
          </cell>
        </row>
        <row r="23">
          <cell r="A23">
            <v>2000</v>
          </cell>
          <cell r="B23">
            <v>2500</v>
          </cell>
        </row>
        <row r="24">
          <cell r="A24" t="str">
            <v>GRAND TOTAL</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Tender Summary"/>
      <sheetName val="Cost summary"/>
      <sheetName val="management"/>
      <sheetName val="labour"/>
      <sheetName val="material"/>
      <sheetName val="general"/>
      <sheetName val="subcons"/>
      <sheetName val="site est"/>
      <sheetName val="hardware"/>
      <sheetName val="PCS DATA"/>
      <sheetName val="Base data Security Procedures"/>
      <sheetName val="3. Elemental Summary"/>
      <sheetName val="9. Package split - Cost "/>
      <sheetName val="10. &amp; 11. Rate Code &amp; BQ"/>
      <sheetName val="12a. CFTable"/>
      <sheetName val="Site Dev BOQ"/>
      <sheetName val="Voucher"/>
      <sheetName val="Material "/>
      <sheetName val="INPUT SHEET"/>
      <sheetName val="RES-PLANNING"/>
      <sheetName val="Labour &amp; Plant"/>
      <sheetName val="Detail"/>
      <sheetName val="Lintel"/>
      <sheetName val="Rate analysis"/>
      <sheetName val="P4-BOQ"/>
      <sheetName val="Fill this out first..."/>
      <sheetName val="Staff Acco."/>
      <sheetName val="labour coeff"/>
      <sheetName val="WORK TABLE"/>
      <sheetName val="p&amp;m"/>
      <sheetName val="RA-markate"/>
      <sheetName val="Costing"/>
      <sheetName val="Door"/>
      <sheetName val="Window"/>
      <sheetName val="NetBQ"/>
      <sheetName val="Boq"/>
      <sheetName val="RCC,Ret. Wall"/>
      <sheetName val="TBAL9697 -group wise  sdp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W"/>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sheetName val="2gii"/>
      <sheetName val="GBW"/>
    </sheetNames>
    <sheetDataSet>
      <sheetData sheetId="0" refreshError="1"/>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WER GROUND FLOOR"/>
      <sheetName val="GROUND  FLOOR "/>
      <sheetName val="FIRST  FLOOR "/>
      <sheetName val="SECOND  FLOOR "/>
      <sheetName val="FD,VCD"/>
      <sheetName val="BOQ"/>
      <sheetName val="PUMP"/>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OUP CODE"/>
      <sheetName val="COP"/>
      <sheetName val="SUMMARY"/>
      <sheetName val="Summary- PLANT ROOM"/>
      <sheetName val="PIPING WORKS _supply"/>
      <sheetName val="PIPES SUPPLY"/>
      <sheetName val="VALVES-  SUPPLY "/>
      <sheetName val="PIPING WORKS _Insta"/>
      <sheetName val="VALVES- INSTAL- PLANT ROOMS "/>
      <sheetName val="suports"/>
      <sheetName val="pipe instal _plant Room"/>
      <sheetName val="SUMMARY Low side"/>
      <sheetName val="DUCTING&amp;PIPING Supply"/>
      <sheetName val="DUCT SUPPLY"/>
      <sheetName val="VALVES- Low side SUPPLY"/>
      <sheetName val="PIPES SUPPLY_low side"/>
      <sheetName val="LOW SIDE &amp; CHANELS SUPPLY"/>
      <sheetName val="Ducting &amp; Piping Insta"/>
      <sheetName val="VALVES- INSTAL- Ducting "/>
      <sheetName val="SUMMARY DUCTING INSTAL"/>
      <sheetName val="pipe instal"/>
      <sheetName val="SECOND  FLOOR "/>
      <sheetName val="FIRST  FLOOR "/>
      <sheetName val="SF COLLERS "/>
      <sheetName val="FF COLLERS "/>
      <sheetName val="LGF COLLERS "/>
      <sheetName val="AHU ROOMS"/>
      <sheetName val="Toilets"/>
      <sheetName val="RA DUCTING"/>
      <sheetName val="Fin Sum"/>
      <sheetName val="Name List"/>
    </sheetNames>
    <sheetDataSet>
      <sheetData sheetId="0">
        <row r="1">
          <cell r="A1" t="str">
            <v>BSLF</v>
          </cell>
        </row>
        <row r="2">
          <cell r="A2" t="str">
            <v>EQPT</v>
          </cell>
        </row>
        <row r="3">
          <cell r="A3" t="str">
            <v>WS</v>
          </cell>
        </row>
        <row r="4">
          <cell r="A4" t="str">
            <v>AS</v>
          </cell>
        </row>
        <row r="5">
          <cell r="A5" t="str">
            <v>ELEC</v>
          </cell>
        </row>
        <row r="6">
          <cell r="A6" t="str">
            <v>ANCL</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OLING TOWER-Supply"/>
      <sheetName val="LOWER GROUND FLOOR"/>
      <sheetName val="GROUND  FLOOR "/>
      <sheetName val="FIRST  FLOOR "/>
      <sheetName val="SECOND  FLOOR "/>
      <sheetName val="FD,VCD"/>
      <sheetName val="LIST OF MAK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e Dev BOQ"/>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NING"/>
      <sheetName val="ACHIEVED"/>
      <sheetName val="plan-achieved"/>
      <sheetName val="Sheet1"/>
      <sheetName val="INPUT SHEET"/>
      <sheetName val="RES-PLANNING"/>
      <sheetName val="SUMMARY"/>
      <sheetName val="Module1"/>
      <sheetName val="Macro1"/>
      <sheetName val="B4"/>
      <sheetName val="B5"/>
      <sheetName val="RD&amp;CC"/>
      <sheetName val="FC &amp; UG"/>
      <sheetName val="radar"/>
      <sheetName val="GBW"/>
      <sheetName val="Site Dev BOQ"/>
      <sheetName val="LIST OF MAKES"/>
      <sheetName val="Material "/>
      <sheetName val="Labour &amp; Plant"/>
      <sheetName val="CFForecast detail"/>
      <sheetName val="Sheet4"/>
      <sheetName val="07016, Master List-Major Minor"/>
      <sheetName val="WORK TABLE"/>
      <sheetName val="Headings"/>
      <sheetName val="Design"/>
      <sheetName val="Voucher"/>
      <sheetName val="3. Elemental Summary"/>
      <sheetName val="9. Package split - Cost "/>
      <sheetName val="10. &amp; 11. Rate Code &amp; BQ"/>
      <sheetName val=" B1"/>
      <sheetName val="PCS DATA"/>
      <sheetName val="Basement Budget"/>
      <sheetName val="Detail"/>
      <sheetName val="Pay_Sep06"/>
      <sheetName val="Balustrade"/>
      <sheetName val="RES_PLANNING"/>
      <sheetName val="sept-plan"/>
      <sheetName val="Footings"/>
      <sheetName val="BOQ_Direct_selling cost"/>
      <sheetName val="Civil Boq"/>
      <sheetName val="RMZ Summary"/>
      <sheetName val="SITE OVERHEADS"/>
      <sheetName val="Codes"/>
      <sheetName val="Basic Rates"/>
      <sheetName val="final abstract"/>
      <sheetName val="Break_Up"/>
      <sheetName val="RESULT"/>
      <sheetName val="Builtup Area"/>
      <sheetName val="BASIS -DEC 08"/>
      <sheetName val="Lead"/>
      <sheetName val="Project Budget Worksheet"/>
      <sheetName val="RCC,Ret. Wall"/>
      <sheetName val="Main-Material"/>
      <sheetName val="factors"/>
      <sheetName val="dlvoid"/>
      <sheetName val="Base data Security Procedures"/>
      <sheetName val="12a. CFTable"/>
      <sheetName val="horizontal"/>
      <sheetName val="Introduction"/>
      <sheetName val="Break up Sheet"/>
      <sheetName val="Fin Sum"/>
      <sheetName val="switch"/>
      <sheetName val="Sheet3 (2)"/>
      <sheetName val="Indices"/>
      <sheetName val="BBS"/>
      <sheetName val="loadcal"/>
      <sheetName val="X rate"/>
      <sheetName val="Data sheet"/>
      <sheetName val="Fill this out first..."/>
      <sheetName val="TBAL9697 -group wise  sdpl"/>
      <sheetName val="Legend"/>
      <sheetName val="NLD - Assum"/>
      <sheetName val="INDIGINEOUS ITEMS "/>
      <sheetName val="analysis"/>
      <sheetName val="Boq"/>
      <sheetName val="PHE"/>
      <sheetName val="Cost summary"/>
      <sheetName val="F1a-Pile"/>
      <sheetName val="Boiler&amp;TG"/>
      <sheetName val="Publicbuilding"/>
      <sheetName val="DSLP"/>
      <sheetName val="FORM7"/>
      <sheetName val="March Analysts"/>
      <sheetName val="매크로"/>
      <sheetName val="LOCAL RATES"/>
      <sheetName val="Sweeper Machine"/>
      <sheetName val="Input"/>
      <sheetName val="Msht 5F"/>
      <sheetName val="segment_topsheet"/>
      <sheetName val="Bal Sheet"/>
      <sheetName val="defaults"/>
      <sheetName val="header"/>
      <sheetName val="ABB"/>
      <sheetName val="Data base"/>
      <sheetName val="Assumptions"/>
      <sheetName val="Block A - BOQ"/>
      <sheetName val="Sqn_Abs"/>
      <sheetName val="Detail In Door Stad"/>
      <sheetName val="Fin. Assumpt. - Sensitivities"/>
      <sheetName val="월선수금"/>
      <sheetName val="Pay_Sep"/>
      <sheetName val="labour coeff"/>
      <sheetName val="IO LIST"/>
      <sheetName val="Mantri A"/>
      <sheetName val="Sheet3"/>
      <sheetName val="Formula"/>
      <sheetName val="Cal"/>
      <sheetName val="Data"/>
      <sheetName val="B1"/>
      <sheetName val="Sump_cal"/>
      <sheetName val="girder"/>
      <sheetName val="Wordsdata"/>
      <sheetName val="item"/>
      <sheetName val="HPL"/>
      <sheetName val="재1"/>
      <sheetName val="Vehicles"/>
      <sheetName val="Cover sheet"/>
      <sheetName val="Abstract Sheet"/>
      <sheetName val="Hotel Info Input"/>
      <sheetName val="Rate Analysis"/>
      <sheetName val="NPV"/>
      <sheetName val="Parameter"/>
      <sheetName val="CCTV_EST1"/>
      <sheetName val="NT LBH"/>
      <sheetName val="Cover"/>
      <sheetName val="FINOLEX"/>
      <sheetName val="FITZ MORT 94"/>
      <sheetName val="keyword"/>
      <sheetName val="HOLIDAYS"/>
      <sheetName val="M.S."/>
      <sheetName val="INPUT_SHEET"/>
      <sheetName val="FC_&amp;_UG"/>
      <sheetName val="M_S_"/>
      <sheetName val="INDEX"/>
      <sheetName val="DETAILED  BOQ"/>
      <sheetName val="EARTHING SYSTEM"/>
      <sheetName val="Cem_Recon"/>
      <sheetName val="NetBQ"/>
      <sheetName val="jobhist"/>
      <sheetName val="list"/>
      <sheetName val="p&amp;m"/>
      <sheetName val="INPUT_SHEET1"/>
      <sheetName val="FC_&amp;_UG1"/>
      <sheetName val="Site_Dev_BOQ"/>
      <sheetName val="07016,_Master_List-Major_Minor"/>
      <sheetName val="Material_"/>
      <sheetName val="Labour_&amp;_Plant"/>
      <sheetName val="WORK_TABLE"/>
      <sheetName val="LIST_OF_MAKES"/>
      <sheetName val="CFForecast_detail"/>
      <sheetName val="3__Elemental_Summary"/>
      <sheetName val="9__Package_split_-_Cost_"/>
      <sheetName val="10__&amp;_11__Rate_Code_&amp;_BQ"/>
      <sheetName val="PCS_DATA"/>
      <sheetName val="_B1"/>
      <sheetName val="Basement_Budget"/>
      <sheetName val="BOQ_Direct_selling_cost"/>
      <sheetName val="Civil_Boq"/>
      <sheetName val="RMZ_Summary"/>
      <sheetName val="SITE_OVERHEADS"/>
      <sheetName val="Basic_Rates"/>
      <sheetName val="final_abstract"/>
      <sheetName val="Builtup_Area"/>
      <sheetName val="BASIS_-DEC_08"/>
      <sheetName val="Project_Budget_Worksheet"/>
      <sheetName val="RCC,Ret__Wall"/>
      <sheetName val="Base_data_Security_Procedures"/>
      <sheetName val="12a__CFTable"/>
      <sheetName val="Break_up_Sheet"/>
      <sheetName val="Fin_Sum"/>
      <sheetName val="Sheet3_(2)"/>
      <sheetName val="X_rate"/>
      <sheetName val="Fill_this_out_first___"/>
      <sheetName val="TBAL9697_-group_wise__sdpl"/>
      <sheetName val="Data_sheet"/>
      <sheetName val="INDIGINEOUS_ITEMS_"/>
      <sheetName val="NLD_-_Assum"/>
      <sheetName val="Cost_summary"/>
      <sheetName val="March_Analysts"/>
      <sheetName val="Msht_5F"/>
      <sheetName val="LOCAL_RATES"/>
      <sheetName val="Data_base"/>
      <sheetName val="Block_A_-_BOQ"/>
      <sheetName val="Detail_In_Door_Stad"/>
      <sheetName val="Sweeper_Machine"/>
      <sheetName val="Bal_Sheet"/>
      <sheetName val="IO_LIST"/>
      <sheetName val="Fin__Assumpt__-_Sensitivities"/>
      <sheetName val="labour_coeff"/>
      <sheetName val="Mantri_A"/>
      <sheetName val="Hotel_Info_Input"/>
      <sheetName val="Cover_sheet"/>
      <sheetName val="Abstract_Sheet"/>
      <sheetName val="Rate_Analysis"/>
      <sheetName val="FITZ_MORT_94"/>
      <sheetName val="M_S_1"/>
      <sheetName val="INPUT_SHEET3"/>
      <sheetName val="FC_&amp;_UG3"/>
      <sheetName val="Site_Dev_BOQ2"/>
      <sheetName val="07016,_Master_List-Major_Minor2"/>
      <sheetName val="Material_2"/>
      <sheetName val="Labour_&amp;_Plant2"/>
      <sheetName val="WORK_TABLE2"/>
      <sheetName val="LIST_OF_MAKES2"/>
      <sheetName val="CFForecast_detail2"/>
      <sheetName val="3__Elemental_Summary2"/>
      <sheetName val="9__Package_split_-_Cost_2"/>
      <sheetName val="10__&amp;_11__Rate_Code_&amp;_BQ2"/>
      <sheetName val="PCS_DATA2"/>
      <sheetName val="_B12"/>
      <sheetName val="Basement_Budget2"/>
      <sheetName val="BOQ_Direct_selling_cost2"/>
      <sheetName val="Civil_Boq2"/>
      <sheetName val="RMZ_Summary2"/>
      <sheetName val="SITE_OVERHEADS2"/>
      <sheetName val="Basic_Rates2"/>
      <sheetName val="final_abstract2"/>
      <sheetName val="Builtup_Area2"/>
      <sheetName val="BASIS_-DEC_082"/>
      <sheetName val="Project_Budget_Worksheet2"/>
      <sheetName val="RCC,Ret__Wall2"/>
      <sheetName val="Base_data_Security_Procedures2"/>
      <sheetName val="12a__CFTable2"/>
      <sheetName val="Break_up_Sheet2"/>
      <sheetName val="Fin_Sum2"/>
      <sheetName val="Sheet3_(2)2"/>
      <sheetName val="X_rate2"/>
      <sheetName val="Fill_this_out_first___2"/>
      <sheetName val="TBAL9697_-group_wise__sdpl2"/>
      <sheetName val="Data_sheet2"/>
      <sheetName val="INDIGINEOUS_ITEMS_2"/>
      <sheetName val="NLD_-_Assum2"/>
      <sheetName val="Cost_summary2"/>
      <sheetName val="March_Analysts2"/>
      <sheetName val="Msht_5F2"/>
      <sheetName val="LOCAL_RATES2"/>
      <sheetName val="Data_base2"/>
      <sheetName val="Block_A_-_BOQ2"/>
      <sheetName val="Detail_In_Door_Stad2"/>
      <sheetName val="Sweeper_Machine2"/>
      <sheetName val="Bal_Sheet2"/>
      <sheetName val="IO_LIST2"/>
      <sheetName val="Fin__Assumpt__-_Sensitivities2"/>
      <sheetName val="labour_coeff2"/>
      <sheetName val="Mantri_A2"/>
      <sheetName val="Hotel_Info_Input2"/>
      <sheetName val="Cover_sheet2"/>
      <sheetName val="Abstract_Sheet2"/>
      <sheetName val="Rate_Analysis2"/>
      <sheetName val="FITZ_MORT_942"/>
      <sheetName val="M_S_3"/>
      <sheetName val="INPUT_SHEET2"/>
      <sheetName val="FC_&amp;_UG2"/>
      <sheetName val="Site_Dev_BOQ1"/>
      <sheetName val="07016,_Master_List-Major_Minor1"/>
      <sheetName val="Material_1"/>
      <sheetName val="Labour_&amp;_Plant1"/>
      <sheetName val="WORK_TABLE1"/>
      <sheetName val="LIST_OF_MAKES1"/>
      <sheetName val="CFForecast_detail1"/>
      <sheetName val="3__Elemental_Summary1"/>
      <sheetName val="9__Package_split_-_Cost_1"/>
      <sheetName val="10__&amp;_11__Rate_Code_&amp;_BQ1"/>
      <sheetName val="PCS_DATA1"/>
      <sheetName val="_B11"/>
      <sheetName val="Basement_Budget1"/>
      <sheetName val="BOQ_Direct_selling_cost1"/>
      <sheetName val="Civil_Boq1"/>
      <sheetName val="RMZ_Summary1"/>
      <sheetName val="SITE_OVERHEADS1"/>
      <sheetName val="Basic_Rates1"/>
      <sheetName val="final_abstract1"/>
      <sheetName val="Builtup_Area1"/>
      <sheetName val="BASIS_-DEC_081"/>
      <sheetName val="Project_Budget_Worksheet1"/>
      <sheetName val="RCC,Ret__Wall1"/>
      <sheetName val="Base_data_Security_Procedures1"/>
      <sheetName val="12a__CFTable1"/>
      <sheetName val="Break_up_Sheet1"/>
      <sheetName val="Fin_Sum1"/>
      <sheetName val="Sheet3_(2)1"/>
      <sheetName val="X_rate1"/>
      <sheetName val="Fill_this_out_first___1"/>
      <sheetName val="TBAL9697_-group_wise__sdpl1"/>
      <sheetName val="Data_sheet1"/>
      <sheetName val="INDIGINEOUS_ITEMS_1"/>
      <sheetName val="NLD_-_Assum1"/>
      <sheetName val="Cost_summary1"/>
      <sheetName val="March_Analysts1"/>
      <sheetName val="Msht_5F1"/>
      <sheetName val="LOCAL_RATES1"/>
      <sheetName val="Data_base1"/>
      <sheetName val="Block_A_-_BOQ1"/>
      <sheetName val="Detail_In_Door_Stad1"/>
      <sheetName val="Sweeper_Machine1"/>
      <sheetName val="Bal_Sheet1"/>
      <sheetName val="IO_LIST1"/>
      <sheetName val="Fin__Assumpt__-_Sensitivities1"/>
      <sheetName val="labour_coeff1"/>
      <sheetName val="Mantri_A1"/>
      <sheetName val="Hotel_Info_Input1"/>
      <sheetName val="Cover_sheet1"/>
      <sheetName val="Abstract_Sheet1"/>
      <sheetName val="Rate_Analysis1"/>
      <sheetName val="FITZ_MORT_941"/>
      <sheetName val="M_S_2"/>
      <sheetName val="INPUT_SHEET4"/>
      <sheetName val="FC_&amp;_UG4"/>
      <sheetName val="Site_Dev_BOQ3"/>
      <sheetName val="07016,_Master_List-Major_Minor3"/>
      <sheetName val="Material_3"/>
      <sheetName val="Labour_&amp;_Plant3"/>
      <sheetName val="WORK_TABLE3"/>
      <sheetName val="LIST_OF_MAKES3"/>
      <sheetName val="CFForecast_detail3"/>
      <sheetName val="3__Elemental_Summary3"/>
      <sheetName val="9__Package_split_-_Cost_3"/>
      <sheetName val="10__&amp;_11__Rate_Code_&amp;_BQ3"/>
      <sheetName val="PCS_DATA3"/>
      <sheetName val="_B13"/>
      <sheetName val="Basement_Budget3"/>
      <sheetName val="BOQ_Direct_selling_cost3"/>
      <sheetName val="Civil_Boq3"/>
      <sheetName val="RMZ_Summary3"/>
      <sheetName val="SITE_OVERHEADS3"/>
      <sheetName val="Basic_Rates3"/>
      <sheetName val="final_abstract3"/>
      <sheetName val="Builtup_Area3"/>
      <sheetName val="BASIS_-DEC_083"/>
      <sheetName val="Project_Budget_Worksheet3"/>
      <sheetName val="RCC,Ret__Wall3"/>
      <sheetName val="Base_data_Security_Procedures3"/>
      <sheetName val="12a__CFTable3"/>
      <sheetName val="Break_up_Sheet3"/>
      <sheetName val="Fin_Sum3"/>
      <sheetName val="Sheet3_(2)3"/>
      <sheetName val="X_rate3"/>
      <sheetName val="Fill_this_out_first___3"/>
      <sheetName val="TBAL9697_-group_wise__sdpl3"/>
      <sheetName val="Data_sheet3"/>
      <sheetName val="INDIGINEOUS_ITEMS_3"/>
      <sheetName val="NLD_-_Assum3"/>
      <sheetName val="Cost_summary3"/>
      <sheetName val="March_Analysts3"/>
      <sheetName val="Msht_5F3"/>
      <sheetName val="LOCAL_RATES3"/>
      <sheetName val="Data_base3"/>
      <sheetName val="Block_A_-_BOQ3"/>
      <sheetName val="Detail_In_Door_Stad3"/>
      <sheetName val="Sweeper_Machine3"/>
      <sheetName val="Bal_Sheet3"/>
      <sheetName val="IO_LIST3"/>
      <sheetName val="Fin__Assumpt__-_Sensitivities3"/>
      <sheetName val="labour_coeff3"/>
      <sheetName val="Mantri_A3"/>
      <sheetName val="Hotel_Info_Input3"/>
      <sheetName val="Cover_sheet3"/>
      <sheetName val="Abstract_Sheet3"/>
      <sheetName val="Rate_Analysis3"/>
      <sheetName val="FITZ_MORT_943"/>
      <sheetName val="M_S_4"/>
      <sheetName val="INPUT_SHEET5"/>
      <sheetName val="FC_&amp;_UG5"/>
      <sheetName val="Site_Dev_BOQ4"/>
      <sheetName val="07016,_Master_List-Major_Minor4"/>
      <sheetName val="Material_4"/>
      <sheetName val="Labour_&amp;_Plant4"/>
      <sheetName val="WORK_TABLE4"/>
      <sheetName val="LIST_OF_MAKES4"/>
      <sheetName val="CFForecast_detail4"/>
      <sheetName val="3__Elemental_Summary4"/>
      <sheetName val="9__Package_split_-_Cost_4"/>
      <sheetName val="10__&amp;_11__Rate_Code_&amp;_BQ4"/>
      <sheetName val="PCS_DATA4"/>
      <sheetName val="_B14"/>
      <sheetName val="Basement_Budget4"/>
      <sheetName val="BOQ_Direct_selling_cost4"/>
      <sheetName val="Civil_Boq4"/>
      <sheetName val="RMZ_Summary4"/>
      <sheetName val="SITE_OVERHEADS4"/>
      <sheetName val="Basic_Rates4"/>
      <sheetName val="final_abstract4"/>
      <sheetName val="Builtup_Area4"/>
      <sheetName val="BASIS_-DEC_084"/>
      <sheetName val="Project_Budget_Worksheet4"/>
      <sheetName val="RCC,Ret__Wall4"/>
      <sheetName val="Base_data_Security_Procedures4"/>
      <sheetName val="12a__CFTable4"/>
      <sheetName val="Break_up_Sheet4"/>
      <sheetName val="Fin_Sum4"/>
      <sheetName val="Sheet3_(2)4"/>
      <sheetName val="X_rate4"/>
      <sheetName val="Fill_this_out_first___4"/>
      <sheetName val="TBAL9697_-group_wise__sdpl4"/>
      <sheetName val="Data_sheet4"/>
      <sheetName val="INDIGINEOUS_ITEMS_4"/>
      <sheetName val="NLD_-_Assum4"/>
      <sheetName val="Cost_summary4"/>
      <sheetName val="March_Analysts4"/>
      <sheetName val="Msht_5F4"/>
      <sheetName val="LOCAL_RATES4"/>
      <sheetName val="Data_base4"/>
      <sheetName val="Block_A_-_BOQ4"/>
      <sheetName val="Detail_In_Door_Stad4"/>
      <sheetName val="Sweeper_Machine4"/>
      <sheetName val="Bal_Sheet4"/>
      <sheetName val="IO_LIST4"/>
      <sheetName val="Fin__Assumpt__-_Sensitivities4"/>
      <sheetName val="labour_coeff4"/>
      <sheetName val="Mantri_A4"/>
      <sheetName val="Hotel_Info_Input4"/>
      <sheetName val="Cover_sheet4"/>
      <sheetName val="Abstract_Sheet4"/>
      <sheetName val="Rate_Analysis4"/>
      <sheetName val="FITZ_MORT_944"/>
      <sheetName val="M_S_5"/>
      <sheetName val="INPUT_SHEET6"/>
      <sheetName val="FC_&amp;_UG6"/>
      <sheetName val="Site_Dev_BOQ5"/>
      <sheetName val="07016,_Master_List-Major_Minor5"/>
      <sheetName val="Material_5"/>
      <sheetName val="Labour_&amp;_Plant5"/>
      <sheetName val="WORK_TABLE5"/>
      <sheetName val="LIST_OF_MAKES5"/>
      <sheetName val="CFForecast_detail5"/>
      <sheetName val="3__Elemental_Summary5"/>
      <sheetName val="9__Package_split_-_Cost_5"/>
      <sheetName val="10__&amp;_11__Rate_Code_&amp;_BQ5"/>
      <sheetName val="PCS_DATA5"/>
      <sheetName val="_B15"/>
      <sheetName val="Basement_Budget5"/>
      <sheetName val="BOQ_Direct_selling_cost5"/>
      <sheetName val="Civil_Boq5"/>
      <sheetName val="RMZ_Summary5"/>
      <sheetName val="SITE_OVERHEADS5"/>
      <sheetName val="Basic_Rates5"/>
      <sheetName val="final_abstract5"/>
      <sheetName val="Builtup_Area5"/>
      <sheetName val="BASIS_-DEC_085"/>
      <sheetName val="Project_Budget_Worksheet5"/>
      <sheetName val="RCC,Ret__Wall5"/>
      <sheetName val="Base_data_Security_Procedures5"/>
      <sheetName val="12a__CFTable5"/>
      <sheetName val="Break_up_Sheet5"/>
      <sheetName val="Fin_Sum5"/>
      <sheetName val="Sheet3_(2)5"/>
      <sheetName val="X_rate5"/>
      <sheetName val="Fill_this_out_first___5"/>
      <sheetName val="TBAL9697_-group_wise__sdpl5"/>
      <sheetName val="Data_sheet5"/>
      <sheetName val="INDIGINEOUS_ITEMS_5"/>
      <sheetName val="NLD_-_Assum5"/>
      <sheetName val="Cost_summary5"/>
      <sheetName val="March_Analysts5"/>
      <sheetName val="Msht_5F5"/>
      <sheetName val="LOCAL_RATES5"/>
      <sheetName val="Data_base5"/>
      <sheetName val="Block_A_-_BOQ5"/>
      <sheetName val="Detail_In_Door_Stad5"/>
      <sheetName val="Sweeper_Machine5"/>
      <sheetName val="Bal_Sheet5"/>
      <sheetName val="IO_LIST5"/>
      <sheetName val="Fin__Assumpt__-_Sensitivities5"/>
      <sheetName val="labour_coeff5"/>
      <sheetName val="Mantri_A5"/>
      <sheetName val="Hotel_Info_Input5"/>
      <sheetName val="Cover_sheet5"/>
      <sheetName val="Abstract_Sheet5"/>
      <sheetName val="Rate_Analysis5"/>
      <sheetName val="FITZ_MORT_945"/>
      <sheetName val="M_S_6"/>
      <sheetName val="INPUT_SHEET7"/>
      <sheetName val="FC_&amp;_UG7"/>
      <sheetName val="Site_Dev_BOQ6"/>
      <sheetName val="07016,_Master_List-Major_Minor6"/>
      <sheetName val="Material_6"/>
      <sheetName val="Labour_&amp;_Plant6"/>
      <sheetName val="WORK_TABLE6"/>
      <sheetName val="LIST_OF_MAKES6"/>
      <sheetName val="CFForecast_detail6"/>
      <sheetName val="3__Elemental_Summary6"/>
      <sheetName val="9__Package_split_-_Cost_6"/>
      <sheetName val="10__&amp;_11__Rate_Code_&amp;_BQ6"/>
      <sheetName val="PCS_DATA6"/>
      <sheetName val="_B16"/>
      <sheetName val="Basement_Budget6"/>
      <sheetName val="BOQ_Direct_selling_cost6"/>
      <sheetName val="Civil_Boq6"/>
      <sheetName val="RMZ_Summary6"/>
      <sheetName val="SITE_OVERHEADS6"/>
      <sheetName val="Basic_Rates6"/>
      <sheetName val="final_abstract6"/>
      <sheetName val="Builtup_Area6"/>
      <sheetName val="BASIS_-DEC_086"/>
      <sheetName val="Project_Budget_Worksheet6"/>
      <sheetName val="RCC,Ret__Wall6"/>
      <sheetName val="Base_data_Security_Procedures6"/>
      <sheetName val="12a__CFTable6"/>
      <sheetName val="estimate"/>
      <sheetName val="Sheet 1"/>
      <sheetName val=" B3"/>
      <sheetName val="Reference Information"/>
      <sheetName val="INFMAY"/>
      <sheetName val="Employee List"/>
      <sheetName val="Sales Office"/>
      <sheetName val="PRECAST lightconc-II"/>
      <sheetName val="Back filling"/>
      <sheetName val="NT items summary"/>
      <sheetName val="TBEAM"/>
      <sheetName val="Code"/>
      <sheetName val="Masonry"/>
      <sheetName val="Sheet5"/>
      <sheetName val="PARASITIC"/>
      <sheetName val="Break_up_Sheet6"/>
      <sheetName val="Fin_Sum6"/>
      <sheetName val="Sheet3_(2)6"/>
      <sheetName val="X_rate6"/>
      <sheetName val="Fill_this_out_first___6"/>
      <sheetName val="TBAL9697_-group_wise__sdpl6"/>
      <sheetName val="Data_sheet6"/>
      <sheetName val="INDIGINEOUS_ITEMS_6"/>
      <sheetName val="NLD_-_Assum6"/>
      <sheetName val="Cost_summary6"/>
      <sheetName val="March_Analysts6"/>
      <sheetName val="Msht_5F6"/>
      <sheetName val="LOCAL_RATES6"/>
      <sheetName val="Data_base6"/>
      <sheetName val="Block_A_-_BOQ6"/>
      <sheetName val="Detail_In_Door_Stad6"/>
      <sheetName val="Sweeper_Machine6"/>
      <sheetName val="Bal_Sheet6"/>
      <sheetName val="IO_LIST6"/>
      <sheetName val="Fin__Assumpt__-_Sensitivities6"/>
      <sheetName val="labour_coeff6"/>
      <sheetName val="Mantri_A6"/>
      <sheetName val="Hotel_Info_Input6"/>
      <sheetName val="Cover_sheet6"/>
      <sheetName val="Abstract_Sheet6"/>
      <sheetName val="Rate_Analysis6"/>
      <sheetName val="FITZ_MORT_946"/>
      <sheetName val="M_S_7"/>
      <sheetName val="INPUT_SHEET8"/>
      <sheetName val="FC_&amp;_UG8"/>
      <sheetName val="Site_Dev_BOQ7"/>
      <sheetName val="07016,_Master_List-Major_Minor7"/>
      <sheetName val="Material_7"/>
      <sheetName val="Labour_&amp;_Plant7"/>
      <sheetName val="WORK_TABLE7"/>
      <sheetName val="LIST_OF_MAKES7"/>
      <sheetName val="CFForecast_detail7"/>
      <sheetName val="3__Elemental_Summary7"/>
      <sheetName val="9__Package_split_-_Cost_7"/>
      <sheetName val="10__&amp;_11__Rate_Code_&amp;_BQ7"/>
      <sheetName val="PCS_DATA7"/>
      <sheetName val="_B17"/>
      <sheetName val="Basement_Budget7"/>
      <sheetName val="BOQ_Direct_selling_cost7"/>
      <sheetName val="Civil_Boq7"/>
      <sheetName val="RMZ_Summary7"/>
      <sheetName val="SITE_OVERHEADS7"/>
      <sheetName val="Basic_Rates7"/>
      <sheetName val="final_abstract7"/>
      <sheetName val="Builtup_Area7"/>
      <sheetName val="BASIS_-DEC_087"/>
      <sheetName val="Project_Budget_Worksheet7"/>
      <sheetName val="RCC,Ret__Wall7"/>
      <sheetName val="Base_data_Security_Procedures7"/>
      <sheetName val="12a__CFTable7"/>
      <sheetName val="Break_up_Sheet7"/>
      <sheetName val="Fin_Sum7"/>
      <sheetName val="Sheet3_(2)7"/>
      <sheetName val="X_rate7"/>
      <sheetName val="Fill_this_out_first___7"/>
      <sheetName val="TBAL9697_-group_wise__sdpl7"/>
      <sheetName val="Data_sheet7"/>
      <sheetName val="INDIGINEOUS_ITEMS_7"/>
      <sheetName val="NLD_-_Assum7"/>
      <sheetName val="Cost_summary7"/>
      <sheetName val="March_Analysts7"/>
      <sheetName val="Msht_5F7"/>
      <sheetName val="LOCAL_RATES7"/>
      <sheetName val="Data_base7"/>
      <sheetName val="Block_A_-_BOQ7"/>
      <sheetName val="Detail_In_Door_Stad7"/>
      <sheetName val="Sweeper_Machine7"/>
      <sheetName val="Bal_Sheet7"/>
      <sheetName val="IO_LIST7"/>
      <sheetName val="Fin__Assumpt__-_Sensitivities7"/>
      <sheetName val="labour_coeff7"/>
      <sheetName val="Mantri_A7"/>
      <sheetName val="Hotel_Info_Input7"/>
      <sheetName val="Cover_sheet7"/>
      <sheetName val="Abstract_Sheet7"/>
      <sheetName val="Rate_Analysis7"/>
      <sheetName val="FITZ_MORT_947"/>
      <sheetName val="M_S_8"/>
      <sheetName val="INPUT_SHEET9"/>
      <sheetName val="FC_&amp;_UG9"/>
      <sheetName val="Site_Dev_BOQ8"/>
      <sheetName val="07016,_Master_List-Major_Minor8"/>
      <sheetName val="Material_8"/>
      <sheetName val="Labour_&amp;_Plant8"/>
      <sheetName val="WORK_TABLE8"/>
      <sheetName val="LIST_OF_MAKES8"/>
      <sheetName val="CFForecast_detail8"/>
      <sheetName val="3__Elemental_Summary8"/>
      <sheetName val="9__Package_split_-_Cost_8"/>
      <sheetName val="10__&amp;_11__Rate_Code_&amp;_BQ8"/>
      <sheetName val="PCS_DATA8"/>
      <sheetName val="_B18"/>
      <sheetName val="Basement_Budget8"/>
      <sheetName val="BOQ_Direct_selling_cost8"/>
      <sheetName val="Civil_Boq8"/>
      <sheetName val="RMZ_Summary8"/>
      <sheetName val="SITE_OVERHEADS8"/>
      <sheetName val="Basic_Rates8"/>
      <sheetName val="final_abstract8"/>
      <sheetName val="Builtup_Area8"/>
      <sheetName val="BASIS_-DEC_088"/>
      <sheetName val="Project_Budget_Worksheet8"/>
      <sheetName val="RCC,Ret__Wall8"/>
      <sheetName val="Base_data_Security_Procedures8"/>
      <sheetName val="12a__CFTable8"/>
      <sheetName val="Break_up_Sheet8"/>
      <sheetName val="Fin_Sum8"/>
      <sheetName val="Sheet3_(2)8"/>
      <sheetName val="X_rate8"/>
      <sheetName val="Fill_this_out_first___8"/>
      <sheetName val="TBAL9697_-group_wise__sdpl8"/>
      <sheetName val="Data_sheet8"/>
      <sheetName val="INDIGINEOUS_ITEMS_8"/>
      <sheetName val="NLD_-_Assum8"/>
      <sheetName val="Cost_summary8"/>
      <sheetName val="March_Analysts8"/>
      <sheetName val="Msht_5F8"/>
      <sheetName val="LOCAL_RATES8"/>
      <sheetName val="Data_base8"/>
      <sheetName val="Block_A_-_BOQ8"/>
      <sheetName val="Detail_In_Door_Stad8"/>
      <sheetName val="Sweeper_Machine8"/>
      <sheetName val="Bal_Sheet8"/>
      <sheetName val="IO_LIST8"/>
      <sheetName val="Fin__Assumpt__-_Sensitivities8"/>
      <sheetName val="labour_coeff8"/>
      <sheetName val="Mantri_A8"/>
      <sheetName val="Hotel_Info_Input8"/>
      <sheetName val="Cover_sheet8"/>
      <sheetName val="Abstract_Sheet8"/>
      <sheetName val="Rate_Analysis8"/>
      <sheetName val="FITZ_MORT_948"/>
      <sheetName val="M_S_9"/>
      <sheetName val="INPUT_SHEET15"/>
      <sheetName val="FC_&amp;_UG15"/>
      <sheetName val="Site_Dev_BOQ14"/>
      <sheetName val="07016,_Master_List-Major_Mino14"/>
      <sheetName val="Material_14"/>
      <sheetName val="Labour_&amp;_Plant14"/>
      <sheetName val="WORK_TABLE14"/>
      <sheetName val="LIST_OF_MAKES14"/>
      <sheetName val="CFForecast_detail14"/>
      <sheetName val="3__Elemental_Summary14"/>
      <sheetName val="9__Package_split_-_Cost_14"/>
      <sheetName val="10__&amp;_11__Rate_Code_&amp;_BQ14"/>
      <sheetName val="PCS_DATA14"/>
      <sheetName val="_B114"/>
      <sheetName val="Basement_Budget14"/>
      <sheetName val="BOQ_Direct_selling_cost14"/>
      <sheetName val="Civil_Boq14"/>
      <sheetName val="RMZ_Summary14"/>
      <sheetName val="SITE_OVERHEADS14"/>
      <sheetName val="Basic_Rates14"/>
      <sheetName val="final_abstract14"/>
      <sheetName val="Builtup_Area14"/>
      <sheetName val="BASIS_-DEC_0814"/>
      <sheetName val="Project_Budget_Worksheet14"/>
      <sheetName val="RCC,Ret__Wall14"/>
      <sheetName val="Base_data_Security_Procedures14"/>
      <sheetName val="12a__CFTable14"/>
      <sheetName val="Break_up_Sheet14"/>
      <sheetName val="Fin_Sum14"/>
      <sheetName val="Sheet3_(2)14"/>
      <sheetName val="X_rate14"/>
      <sheetName val="Fill_this_out_first___14"/>
      <sheetName val="TBAL9697_-group_wise__sdpl14"/>
      <sheetName val="Data_sheet14"/>
      <sheetName val="INDIGINEOUS_ITEMS_14"/>
      <sheetName val="NLD_-_Assum14"/>
      <sheetName val="Cost_summary14"/>
      <sheetName val="March_Analysts14"/>
      <sheetName val="Msht_5F14"/>
      <sheetName val="LOCAL_RATES14"/>
      <sheetName val="Data_base14"/>
      <sheetName val="Block_A_-_BOQ14"/>
      <sheetName val="Detail_In_Door_Stad14"/>
      <sheetName val="Sweeper_Machine14"/>
      <sheetName val="Bal_Sheet14"/>
      <sheetName val="IO_LIST14"/>
      <sheetName val="Fin__Assumpt__-_Sensitivities14"/>
      <sheetName val="labour_coeff14"/>
      <sheetName val="Mantri_A14"/>
      <sheetName val="Hotel_Info_Input14"/>
      <sheetName val="Cover_sheet14"/>
      <sheetName val="Abstract_Sheet14"/>
      <sheetName val="Rate_Analysis14"/>
      <sheetName val="FITZ_MORT_9414"/>
      <sheetName val="M_S_15"/>
      <sheetName val="INPUT_SHEET11"/>
      <sheetName val="FC_&amp;_UG11"/>
      <sheetName val="Site_Dev_BOQ10"/>
      <sheetName val="07016,_Master_List-Major_Mino10"/>
      <sheetName val="Material_10"/>
      <sheetName val="Labour_&amp;_Plant10"/>
      <sheetName val="WORK_TABLE10"/>
      <sheetName val="LIST_OF_MAKES10"/>
      <sheetName val="CFForecast_detail10"/>
      <sheetName val="3__Elemental_Summary10"/>
      <sheetName val="9__Package_split_-_Cost_10"/>
      <sheetName val="10__&amp;_11__Rate_Code_&amp;_BQ10"/>
      <sheetName val="PCS_DATA10"/>
      <sheetName val="_B110"/>
      <sheetName val="Basement_Budget10"/>
      <sheetName val="BOQ_Direct_selling_cost10"/>
      <sheetName val="Civil_Boq10"/>
      <sheetName val="RMZ_Summary10"/>
      <sheetName val="SITE_OVERHEADS10"/>
      <sheetName val="Basic_Rates10"/>
      <sheetName val="final_abstract10"/>
      <sheetName val="Builtup_Area10"/>
      <sheetName val="BASIS_-DEC_0810"/>
      <sheetName val="Project_Budget_Worksheet10"/>
      <sheetName val="RCC,Ret__Wall10"/>
      <sheetName val="Base_data_Security_Procedures10"/>
      <sheetName val="12a__CFTable10"/>
      <sheetName val="Break_up_Sheet10"/>
      <sheetName val="Fin_Sum10"/>
      <sheetName val="Sheet3_(2)10"/>
      <sheetName val="X_rate10"/>
      <sheetName val="Fill_this_out_first___10"/>
      <sheetName val="TBAL9697_-group_wise__sdpl10"/>
      <sheetName val="Data_sheet10"/>
      <sheetName val="INDIGINEOUS_ITEMS_10"/>
      <sheetName val="NLD_-_Assum10"/>
      <sheetName val="Cost_summary10"/>
      <sheetName val="March_Analysts10"/>
      <sheetName val="Msht_5F10"/>
      <sheetName val="LOCAL_RATES10"/>
      <sheetName val="Data_base10"/>
      <sheetName val="Block_A_-_BOQ10"/>
      <sheetName val="Detail_In_Door_Stad10"/>
      <sheetName val="Sweeper_Machine10"/>
      <sheetName val="Bal_Sheet10"/>
      <sheetName val="IO_LIST10"/>
      <sheetName val="Fin__Assumpt__-_Sensitivities10"/>
      <sheetName val="labour_coeff10"/>
      <sheetName val="Mantri_A10"/>
      <sheetName val="Hotel_Info_Input10"/>
      <sheetName val="Cover_sheet10"/>
      <sheetName val="Abstract_Sheet10"/>
      <sheetName val="Rate_Analysis10"/>
      <sheetName val="FITZ_MORT_9410"/>
      <sheetName val="M_S_11"/>
      <sheetName val="INPUT_SHEET10"/>
      <sheetName val="FC_&amp;_UG10"/>
      <sheetName val="Site_Dev_BOQ9"/>
      <sheetName val="07016,_Master_List-Major_Minor9"/>
      <sheetName val="Material_9"/>
      <sheetName val="Labour_&amp;_Plant9"/>
      <sheetName val="WORK_TABLE9"/>
      <sheetName val="LIST_OF_MAKES9"/>
      <sheetName val="CFForecast_detail9"/>
      <sheetName val="3__Elemental_Summary9"/>
      <sheetName val="9__Package_split_-_Cost_9"/>
      <sheetName val="10__&amp;_11__Rate_Code_&amp;_BQ9"/>
      <sheetName val="PCS_DATA9"/>
      <sheetName val="_B19"/>
      <sheetName val="Basement_Budget9"/>
      <sheetName val="BOQ_Direct_selling_cost9"/>
      <sheetName val="Civil_Boq9"/>
      <sheetName val="RMZ_Summary9"/>
      <sheetName val="SITE_OVERHEADS9"/>
      <sheetName val="Basic_Rates9"/>
      <sheetName val="final_abstract9"/>
      <sheetName val="Builtup_Area9"/>
      <sheetName val="BASIS_-DEC_089"/>
      <sheetName val="Project_Budget_Worksheet9"/>
      <sheetName val="RCC,Ret__Wall9"/>
      <sheetName val="Base_data_Security_Procedures9"/>
      <sheetName val="12a__CFTable9"/>
      <sheetName val="Break_up_Sheet9"/>
      <sheetName val="Fin_Sum9"/>
      <sheetName val="Sheet3_(2)9"/>
      <sheetName val="X_rate9"/>
      <sheetName val="Fill_this_out_first___9"/>
      <sheetName val="TBAL9697_-group_wise__sdpl9"/>
      <sheetName val="Data_sheet9"/>
      <sheetName val="INDIGINEOUS_ITEMS_9"/>
      <sheetName val="NLD_-_Assum9"/>
      <sheetName val="Cost_summary9"/>
      <sheetName val="March_Analysts9"/>
      <sheetName val="Msht_5F9"/>
      <sheetName val="LOCAL_RATES9"/>
      <sheetName val="Data_base9"/>
      <sheetName val="Block_A_-_BOQ9"/>
      <sheetName val="Detail_In_Door_Stad9"/>
      <sheetName val="Sweeper_Machine9"/>
      <sheetName val="Bal_Sheet9"/>
      <sheetName val="IO_LIST9"/>
      <sheetName val="Fin__Assumpt__-_Sensitivities9"/>
      <sheetName val="labour_coeff9"/>
      <sheetName val="Mantri_A9"/>
      <sheetName val="Hotel_Info_Input9"/>
      <sheetName val="Cover_sheet9"/>
      <sheetName val="Abstract_Sheet9"/>
      <sheetName val="Rate_Analysis9"/>
      <sheetName val="FITZ_MORT_949"/>
      <sheetName val="M_S_10"/>
      <sheetName val="INPUT_SHEET12"/>
      <sheetName val="FC_&amp;_UG12"/>
      <sheetName val="Site_Dev_BOQ11"/>
      <sheetName val="07016,_Master_List-Major_Mino11"/>
      <sheetName val="Material_11"/>
      <sheetName val="Labour_&amp;_Plant11"/>
      <sheetName val="WORK_TABLE11"/>
      <sheetName val="LIST_OF_MAKES11"/>
      <sheetName val="CFForecast_detail11"/>
      <sheetName val="3__Elemental_Summary11"/>
      <sheetName val="9__Package_split_-_Cost_11"/>
      <sheetName val="10__&amp;_11__Rate_Code_&amp;_BQ11"/>
      <sheetName val="PCS_DATA11"/>
      <sheetName val="_B111"/>
      <sheetName val="Basement_Budget11"/>
      <sheetName val="BOQ_Direct_selling_cost11"/>
      <sheetName val="Civil_Boq11"/>
      <sheetName val="RMZ_Summary11"/>
      <sheetName val="SITE_OVERHEADS11"/>
      <sheetName val="Basic_Rates11"/>
      <sheetName val="final_abstract11"/>
      <sheetName val="Builtup_Area11"/>
      <sheetName val="BASIS_-DEC_0811"/>
      <sheetName val="Project_Budget_Worksheet11"/>
      <sheetName val="RCC,Ret__Wall11"/>
      <sheetName val="Base_data_Security_Procedures11"/>
      <sheetName val="12a__CFTable11"/>
      <sheetName val="Break_up_Sheet11"/>
      <sheetName val="Fin_Sum11"/>
      <sheetName val="Sheet3_(2)11"/>
      <sheetName val="X_rate11"/>
      <sheetName val="Fill_this_out_first___11"/>
      <sheetName val="TBAL9697_-group_wise__sdpl11"/>
      <sheetName val="Data_sheet11"/>
      <sheetName val="INDIGINEOUS_ITEMS_11"/>
      <sheetName val="NLD_-_Assum11"/>
      <sheetName val="Cost_summary11"/>
      <sheetName val="March_Analysts11"/>
      <sheetName val="Msht_5F11"/>
      <sheetName val="LOCAL_RATES11"/>
      <sheetName val="Data_base11"/>
      <sheetName val="Block_A_-_BOQ11"/>
      <sheetName val="Detail_In_Door_Stad11"/>
      <sheetName val="Sweeper_Machine11"/>
      <sheetName val="Bal_Sheet11"/>
      <sheetName val="IO_LIST11"/>
      <sheetName val="Fin__Assumpt__-_Sensitivities11"/>
      <sheetName val="labour_coeff11"/>
      <sheetName val="Mantri_A11"/>
      <sheetName val="Hotel_Info_Input11"/>
      <sheetName val="Cover_sheet11"/>
      <sheetName val="Abstract_Sheet11"/>
      <sheetName val="Rate_Analysis11"/>
      <sheetName val="FITZ_MORT_9411"/>
      <sheetName val="M_S_12"/>
      <sheetName val="INPUT_SHEET13"/>
      <sheetName val="FC_&amp;_UG13"/>
      <sheetName val="Site_Dev_BOQ12"/>
      <sheetName val="07016,_Master_List-Major_Mino12"/>
      <sheetName val="Material_12"/>
      <sheetName val="Labour_&amp;_Plant12"/>
      <sheetName val="WORK_TABLE12"/>
      <sheetName val="LIST_OF_MAKES12"/>
      <sheetName val="CFForecast_detail12"/>
      <sheetName val="3__Elemental_Summary12"/>
      <sheetName val="9__Package_split_-_Cost_12"/>
      <sheetName val="10__&amp;_11__Rate_Code_&amp;_BQ12"/>
      <sheetName val="PCS_DATA12"/>
      <sheetName val="_B112"/>
      <sheetName val="Basement_Budget12"/>
      <sheetName val="BOQ_Direct_selling_cost12"/>
      <sheetName val="Civil_Boq12"/>
      <sheetName val="RMZ_Summary12"/>
      <sheetName val="SITE_OVERHEADS12"/>
      <sheetName val="Basic_Rates12"/>
      <sheetName val="final_abstract12"/>
      <sheetName val="Builtup_Area12"/>
      <sheetName val="BASIS_-DEC_0812"/>
      <sheetName val="Project_Budget_Worksheet12"/>
      <sheetName val="RCC,Ret__Wall12"/>
      <sheetName val="Base_data_Security_Procedures12"/>
      <sheetName val="12a__CFTable12"/>
      <sheetName val="Break_up_Sheet12"/>
      <sheetName val="Fin_Sum12"/>
      <sheetName val="Sheet3_(2)12"/>
      <sheetName val="X_rate12"/>
      <sheetName val="Fill_this_out_first___12"/>
      <sheetName val="TBAL9697_-group_wise__sdpl12"/>
      <sheetName val="Data_sheet12"/>
      <sheetName val="INDIGINEOUS_ITEMS_12"/>
      <sheetName val="NLD_-_Assum12"/>
      <sheetName val="Cost_summary12"/>
      <sheetName val="March_Analysts12"/>
      <sheetName val="Msht_5F12"/>
      <sheetName val="LOCAL_RATES12"/>
      <sheetName val="Data_base12"/>
      <sheetName val="Block_A_-_BOQ12"/>
      <sheetName val="Detail_In_Door_Stad12"/>
      <sheetName val="Sweeper_Machine12"/>
      <sheetName val="Bal_Sheet12"/>
      <sheetName val="IO_LIST12"/>
      <sheetName val="Fin__Assumpt__-_Sensitivities12"/>
      <sheetName val="labour_coeff12"/>
      <sheetName val="Mantri_A12"/>
      <sheetName val="Hotel_Info_Input12"/>
      <sheetName val="Cover_sheet12"/>
      <sheetName val="Abstract_Sheet12"/>
      <sheetName val="Rate_Analysis12"/>
      <sheetName val="FITZ_MORT_9412"/>
      <sheetName val="M_S_13"/>
      <sheetName val="INPUT_SHEET14"/>
      <sheetName val="FC_&amp;_UG14"/>
      <sheetName val="Site_Dev_BOQ13"/>
      <sheetName val="07016,_Master_List-Major_Mino13"/>
      <sheetName val="Material_13"/>
      <sheetName val="Labour_&amp;_Plant13"/>
      <sheetName val="WORK_TABLE13"/>
      <sheetName val="LIST_OF_MAKES13"/>
      <sheetName val="CFForecast_detail13"/>
      <sheetName val="3__Elemental_Summary13"/>
      <sheetName val="9__Package_split_-_Cost_13"/>
      <sheetName val="10__&amp;_11__Rate_Code_&amp;_BQ13"/>
      <sheetName val="PCS_DATA13"/>
      <sheetName val="_B113"/>
      <sheetName val="Basement_Budget13"/>
      <sheetName val="BOQ_Direct_selling_cost13"/>
      <sheetName val="Civil_Boq13"/>
      <sheetName val="RMZ_Summary13"/>
      <sheetName val="SITE_OVERHEADS13"/>
      <sheetName val="Basic_Rates13"/>
      <sheetName val="final_abstract13"/>
      <sheetName val="Builtup_Area13"/>
      <sheetName val="BASIS_-DEC_0813"/>
      <sheetName val="Project_Budget_Worksheet13"/>
      <sheetName val="RCC,Ret__Wall13"/>
      <sheetName val="Base_data_Security_Procedures13"/>
      <sheetName val="12a__CFTable13"/>
      <sheetName val="Break_up_Sheet13"/>
      <sheetName val="Fin_Sum13"/>
      <sheetName val="Sheet3_(2)13"/>
      <sheetName val="X_rate13"/>
      <sheetName val="Fill_this_out_first___13"/>
      <sheetName val="TBAL9697_-group_wise__sdpl13"/>
      <sheetName val="Data_sheet13"/>
      <sheetName val="INDIGINEOUS_ITEMS_13"/>
      <sheetName val="NLD_-_Assum13"/>
      <sheetName val="Cost_summary13"/>
      <sheetName val="March_Analysts13"/>
      <sheetName val="Msht_5F13"/>
      <sheetName val="LOCAL_RATES13"/>
      <sheetName val="Data_base13"/>
      <sheetName val="Block_A_-_BOQ13"/>
      <sheetName val="Detail_In_Door_Stad13"/>
      <sheetName val="Sweeper_Machine13"/>
      <sheetName val="Bal_Sheet13"/>
      <sheetName val="IO_LIST13"/>
      <sheetName val="Fin__Assumpt__-_Sensitivities13"/>
      <sheetName val="labour_coeff13"/>
      <sheetName val="Mantri_A13"/>
      <sheetName val="Hotel_Info_Input13"/>
      <sheetName val="Cover_sheet13"/>
      <sheetName val="Abstract_Sheet13"/>
      <sheetName val="Rate_Analysis13"/>
      <sheetName val="FITZ_MORT_9413"/>
      <sheetName val="M_S_14"/>
      <sheetName val="INPUT_SHEET21"/>
      <sheetName val="FC_&amp;_UG21"/>
      <sheetName val="Site_Dev_BOQ20"/>
      <sheetName val="07016,_Master_List-Major_Mino20"/>
      <sheetName val="Material_20"/>
      <sheetName val="Labour_&amp;_Plant20"/>
      <sheetName val="WORK_TABLE20"/>
      <sheetName val="LIST_OF_MAKES20"/>
      <sheetName val="CFForecast_detail20"/>
      <sheetName val="3__Elemental_Summary20"/>
      <sheetName val="9__Package_split_-_Cost_20"/>
      <sheetName val="10__&amp;_11__Rate_Code_&amp;_BQ20"/>
      <sheetName val="PCS_DATA20"/>
      <sheetName val="_B120"/>
      <sheetName val="Basement_Budget20"/>
      <sheetName val="BOQ_Direct_selling_cost20"/>
      <sheetName val="Civil_Boq20"/>
      <sheetName val="RMZ_Summary20"/>
      <sheetName val="SITE_OVERHEADS20"/>
      <sheetName val="Basic_Rates20"/>
      <sheetName val="final_abstract20"/>
      <sheetName val="Builtup_Area20"/>
      <sheetName val="BASIS_-DEC_0820"/>
      <sheetName val="Project_Budget_Worksheet20"/>
      <sheetName val="RCC,Ret__Wall20"/>
      <sheetName val="Base_data_Security_Procedures20"/>
      <sheetName val="12a__CFTable20"/>
      <sheetName val="Break_up_Sheet20"/>
      <sheetName val="Fin_Sum20"/>
      <sheetName val="Sheet3_(2)20"/>
      <sheetName val="X_rate20"/>
      <sheetName val="Fill_this_out_first___20"/>
      <sheetName val="TBAL9697_-group_wise__sdpl20"/>
      <sheetName val="Data_sheet20"/>
      <sheetName val="INDIGINEOUS_ITEMS_20"/>
      <sheetName val="NLD_-_Assum20"/>
      <sheetName val="Cost_summary20"/>
      <sheetName val="March_Analysts20"/>
      <sheetName val="Msht_5F20"/>
      <sheetName val="LOCAL_RATES20"/>
      <sheetName val="Data_base20"/>
      <sheetName val="Block_A_-_BOQ20"/>
      <sheetName val="Detail_In_Door_Stad20"/>
      <sheetName val="Sweeper_Machine20"/>
      <sheetName val="Bal_Sheet20"/>
      <sheetName val="IO_LIST20"/>
      <sheetName val="Fin__Assumpt__-_Sensitivities20"/>
      <sheetName val="labour_coeff20"/>
      <sheetName val="Mantri_A20"/>
      <sheetName val="Hotel_Info_Input20"/>
      <sheetName val="Cover_sheet20"/>
      <sheetName val="Abstract_Sheet20"/>
      <sheetName val="Rate_Analysis20"/>
      <sheetName val="FITZ_MORT_9420"/>
      <sheetName val="M_S_21"/>
      <sheetName val="INPUT_SHEET16"/>
      <sheetName val="FC_&amp;_UG16"/>
      <sheetName val="Site_Dev_BOQ15"/>
      <sheetName val="07016,_Master_List-Major_Mino15"/>
      <sheetName val="Material_15"/>
      <sheetName val="Labour_&amp;_Plant15"/>
      <sheetName val="WORK_TABLE15"/>
      <sheetName val="LIST_OF_MAKES15"/>
      <sheetName val="CFForecast_detail15"/>
      <sheetName val="3__Elemental_Summary15"/>
      <sheetName val="9__Package_split_-_Cost_15"/>
      <sheetName val="10__&amp;_11__Rate_Code_&amp;_BQ15"/>
      <sheetName val="PCS_DATA15"/>
      <sheetName val="_B115"/>
      <sheetName val="Basement_Budget15"/>
      <sheetName val="BOQ_Direct_selling_cost15"/>
      <sheetName val="Civil_Boq15"/>
      <sheetName val="RMZ_Summary15"/>
      <sheetName val="SITE_OVERHEADS15"/>
      <sheetName val="Basic_Rates15"/>
      <sheetName val="final_abstract15"/>
      <sheetName val="Builtup_Area15"/>
      <sheetName val="BASIS_-DEC_0815"/>
      <sheetName val="Project_Budget_Worksheet15"/>
      <sheetName val="RCC,Ret__Wall15"/>
      <sheetName val="Base_data_Security_Procedures15"/>
      <sheetName val="12a__CFTable15"/>
      <sheetName val="Break_up_Sheet15"/>
      <sheetName val="Fin_Sum15"/>
      <sheetName val="Sheet3_(2)15"/>
      <sheetName val="X_rate15"/>
      <sheetName val="Fill_this_out_first___15"/>
      <sheetName val="TBAL9697_-group_wise__sdpl15"/>
      <sheetName val="Data_sheet15"/>
      <sheetName val="INDIGINEOUS_ITEMS_15"/>
      <sheetName val="NLD_-_Assum15"/>
      <sheetName val="Cost_summary15"/>
      <sheetName val="March_Analysts15"/>
      <sheetName val="Msht_5F15"/>
      <sheetName val="LOCAL_RATES15"/>
      <sheetName val="Data_base15"/>
      <sheetName val="Block_A_-_BOQ15"/>
      <sheetName val="Detail_In_Door_Stad15"/>
      <sheetName val="Sweeper_Machine15"/>
      <sheetName val="Bal_Sheet15"/>
      <sheetName val="IO_LIST15"/>
      <sheetName val="Fin__Assumpt__-_Sensitivities15"/>
      <sheetName val="labour_coeff15"/>
      <sheetName val="Mantri_A15"/>
      <sheetName val="Hotel_Info_Input15"/>
      <sheetName val="Cover_sheet15"/>
      <sheetName val="Abstract_Sheet15"/>
      <sheetName val="Rate_Analysis15"/>
      <sheetName val="FITZ_MORT_9415"/>
      <sheetName val="M_S_16"/>
      <sheetName val="INPUT_SHEET17"/>
      <sheetName val="FC_&amp;_UG17"/>
      <sheetName val="Site_Dev_BOQ16"/>
      <sheetName val="07016,_Master_List-Major_Mino16"/>
      <sheetName val="Material_16"/>
      <sheetName val="Labour_&amp;_Plant16"/>
      <sheetName val="WORK_TABLE16"/>
      <sheetName val="LIST_OF_MAKES16"/>
      <sheetName val="CFForecast_detail16"/>
      <sheetName val="3__Elemental_Summary16"/>
      <sheetName val="9__Package_split_-_Cost_16"/>
      <sheetName val="10__&amp;_11__Rate_Code_&amp;_BQ16"/>
      <sheetName val="PCS_DATA16"/>
      <sheetName val="_B116"/>
      <sheetName val="Basement_Budget16"/>
      <sheetName val="BOQ_Direct_selling_cost16"/>
      <sheetName val="Civil_Boq16"/>
      <sheetName val="RMZ_Summary16"/>
      <sheetName val="SITE_OVERHEADS16"/>
      <sheetName val="Basic_Rates16"/>
      <sheetName val="final_abstract16"/>
      <sheetName val="Builtup_Area16"/>
      <sheetName val="BASIS_-DEC_0816"/>
      <sheetName val="Project_Budget_Worksheet16"/>
      <sheetName val="RCC,Ret__Wall16"/>
      <sheetName val="Base_data_Security_Procedures16"/>
      <sheetName val="12a__CFTable16"/>
      <sheetName val="Break_up_Sheet16"/>
      <sheetName val="Fin_Sum16"/>
      <sheetName val="Sheet3_(2)16"/>
      <sheetName val="X_rate16"/>
      <sheetName val="Fill_this_out_first___16"/>
      <sheetName val="TBAL9697_-group_wise__sdpl16"/>
      <sheetName val="Data_sheet16"/>
      <sheetName val="INDIGINEOUS_ITEMS_16"/>
      <sheetName val="NLD_-_Assum16"/>
      <sheetName val="Cost_summary16"/>
      <sheetName val="March_Analysts16"/>
      <sheetName val="Msht_5F16"/>
      <sheetName val="LOCAL_RATES16"/>
      <sheetName val="Data_base16"/>
      <sheetName val="Block_A_-_BOQ16"/>
      <sheetName val="Detail_In_Door_Stad16"/>
      <sheetName val="Sweeper_Machine16"/>
      <sheetName val="Bal_Sheet16"/>
      <sheetName val="IO_LIST16"/>
      <sheetName val="Fin__Assumpt__-_Sensitivities16"/>
      <sheetName val="labour_coeff16"/>
      <sheetName val="Mantri_A16"/>
      <sheetName val="Hotel_Info_Input16"/>
      <sheetName val="Cover_sheet16"/>
      <sheetName val="Abstract_Sheet16"/>
      <sheetName val="Rate_Analysis16"/>
      <sheetName val="FITZ_MORT_9416"/>
      <sheetName val="M_S_17"/>
      <sheetName val="NT_LBH3"/>
      <sheetName val="EARTHING_SYSTEM3"/>
      <sheetName val="INPUT_SHEET18"/>
      <sheetName val="FC_&amp;_UG18"/>
      <sheetName val="Site_Dev_BOQ17"/>
      <sheetName val="07016,_Master_List-Major_Mino17"/>
      <sheetName val="Material_17"/>
      <sheetName val="Labour_&amp;_Plant17"/>
      <sheetName val="WORK_TABLE17"/>
      <sheetName val="LIST_OF_MAKES17"/>
      <sheetName val="CFForecast_detail17"/>
      <sheetName val="3__Elemental_Summary17"/>
      <sheetName val="9__Package_split_-_Cost_17"/>
      <sheetName val="10__&amp;_11__Rate_Code_&amp;_BQ17"/>
      <sheetName val="PCS_DATA17"/>
      <sheetName val="_B117"/>
      <sheetName val="Basement_Budget17"/>
      <sheetName val="BOQ_Direct_selling_cost17"/>
      <sheetName val="Civil_Boq17"/>
      <sheetName val="RMZ_Summary17"/>
      <sheetName val="SITE_OVERHEADS17"/>
      <sheetName val="Basic_Rates17"/>
      <sheetName val="final_abstract17"/>
      <sheetName val="Builtup_Area17"/>
      <sheetName val="BASIS_-DEC_0817"/>
      <sheetName val="Project_Budget_Worksheet17"/>
      <sheetName val="RCC,Ret__Wall17"/>
      <sheetName val="Base_data_Security_Procedures17"/>
      <sheetName val="12a__CFTable17"/>
      <sheetName val="Break_up_Sheet17"/>
      <sheetName val="Fin_Sum17"/>
      <sheetName val="Sheet3_(2)17"/>
      <sheetName val="X_rate17"/>
      <sheetName val="Fill_this_out_first___17"/>
      <sheetName val="TBAL9697_-group_wise__sdpl17"/>
      <sheetName val="Data_sheet17"/>
      <sheetName val="INDIGINEOUS_ITEMS_17"/>
      <sheetName val="NLD_-_Assum17"/>
      <sheetName val="Cost_summary17"/>
      <sheetName val="March_Analysts17"/>
      <sheetName val="Msht_5F17"/>
      <sheetName val="LOCAL_RATES17"/>
      <sheetName val="Data_base17"/>
      <sheetName val="Block_A_-_BOQ17"/>
      <sheetName val="Detail_In_Door_Stad17"/>
      <sheetName val="Sweeper_Machine17"/>
      <sheetName val="Bal_Sheet17"/>
      <sheetName val="IO_LIST17"/>
      <sheetName val="Fin__Assumpt__-_Sensitivities17"/>
      <sheetName val="labour_coeff17"/>
      <sheetName val="Mantri_A17"/>
      <sheetName val="Hotel_Info_Input17"/>
      <sheetName val="Cover_sheet17"/>
      <sheetName val="Abstract_Sheet17"/>
      <sheetName val="Rate_Analysis17"/>
      <sheetName val="FITZ_MORT_9417"/>
      <sheetName val="M_S_18"/>
      <sheetName val="NT_LBH"/>
      <sheetName val="EARTHING_SYSTEM"/>
      <sheetName val="INPUT_SHEET19"/>
      <sheetName val="FC_&amp;_UG19"/>
      <sheetName val="Site_Dev_BOQ18"/>
      <sheetName val="07016,_Master_List-Major_Mino18"/>
      <sheetName val="Material_18"/>
      <sheetName val="Labour_&amp;_Plant18"/>
      <sheetName val="WORK_TABLE18"/>
      <sheetName val="LIST_OF_MAKES18"/>
      <sheetName val="CFForecast_detail18"/>
      <sheetName val="3__Elemental_Summary18"/>
      <sheetName val="9__Package_split_-_Cost_18"/>
      <sheetName val="10__&amp;_11__Rate_Code_&amp;_BQ18"/>
      <sheetName val="PCS_DATA18"/>
      <sheetName val="_B118"/>
      <sheetName val="Basement_Budget18"/>
      <sheetName val="BOQ_Direct_selling_cost18"/>
      <sheetName val="Civil_Boq18"/>
      <sheetName val="RMZ_Summary18"/>
      <sheetName val="SITE_OVERHEADS18"/>
      <sheetName val="Basic_Rates18"/>
      <sheetName val="final_abstract18"/>
      <sheetName val="Builtup_Area18"/>
      <sheetName val="BASIS_-DEC_0818"/>
      <sheetName val="Project_Budget_Worksheet18"/>
      <sheetName val="RCC,Ret__Wall18"/>
      <sheetName val="Base_data_Security_Procedures18"/>
      <sheetName val="12a__CFTable18"/>
      <sheetName val="Break_up_Sheet18"/>
      <sheetName val="Fin_Sum18"/>
      <sheetName val="Sheet3_(2)18"/>
      <sheetName val="X_rate18"/>
      <sheetName val="Fill_this_out_first___18"/>
      <sheetName val="TBAL9697_-group_wise__sdpl18"/>
      <sheetName val="Data_sheet18"/>
      <sheetName val="INDIGINEOUS_ITEMS_18"/>
      <sheetName val="NLD_-_Assum18"/>
      <sheetName val="Cost_summary18"/>
      <sheetName val="March_Analysts18"/>
      <sheetName val="Msht_5F18"/>
      <sheetName val="LOCAL_RATES18"/>
      <sheetName val="Data_base18"/>
      <sheetName val="Block_A_-_BOQ18"/>
      <sheetName val="Detail_In_Door_Stad18"/>
      <sheetName val="Sweeper_Machine18"/>
      <sheetName val="Bal_Sheet18"/>
      <sheetName val="IO_LIST18"/>
      <sheetName val="Fin__Assumpt__-_Sensitivities18"/>
      <sheetName val="labour_coeff18"/>
      <sheetName val="Mantri_A18"/>
      <sheetName val="Hotel_Info_Input18"/>
      <sheetName val="Cover_sheet18"/>
      <sheetName val="Abstract_Sheet18"/>
      <sheetName val="Rate_Analysis18"/>
      <sheetName val="FITZ_MORT_9418"/>
      <sheetName val="M_S_19"/>
      <sheetName val="NT_LBH1"/>
      <sheetName val="EARTHING_SYSTEM1"/>
      <sheetName val="INPUT_SHEET20"/>
      <sheetName val="FC_&amp;_UG20"/>
      <sheetName val="Site_Dev_BOQ19"/>
      <sheetName val="07016,_Master_List-Major_Mino19"/>
      <sheetName val="Material_19"/>
      <sheetName val="Labour_&amp;_Plant19"/>
      <sheetName val="WORK_TABLE19"/>
      <sheetName val="LIST_OF_MAKES19"/>
      <sheetName val="CFForecast_detail19"/>
      <sheetName val="3__Elemental_Summary19"/>
      <sheetName val="9__Package_split_-_Cost_19"/>
      <sheetName val="10__&amp;_11__Rate_Code_&amp;_BQ19"/>
      <sheetName val="PCS_DATA19"/>
      <sheetName val="_B119"/>
      <sheetName val="Basement_Budget19"/>
      <sheetName val="BOQ_Direct_selling_cost19"/>
      <sheetName val="Civil_Boq19"/>
      <sheetName val="RMZ_Summary19"/>
      <sheetName val="SITE_OVERHEADS19"/>
      <sheetName val="Basic_Rates19"/>
      <sheetName val="final_abstract19"/>
      <sheetName val="Builtup_Area19"/>
      <sheetName val="BASIS_-DEC_0819"/>
      <sheetName val="Project_Budget_Worksheet19"/>
      <sheetName val="RCC,Ret__Wall19"/>
      <sheetName val="Base_data_Security_Procedures19"/>
      <sheetName val="12a__CFTable19"/>
      <sheetName val="Break_up_Sheet19"/>
      <sheetName val="Fin_Sum19"/>
      <sheetName val="Sheet3_(2)19"/>
      <sheetName val="X_rate19"/>
      <sheetName val="Fill_this_out_first___19"/>
      <sheetName val="TBAL9697_-group_wise__sdpl19"/>
      <sheetName val="Data_sheet19"/>
      <sheetName val="INDIGINEOUS_ITEMS_19"/>
      <sheetName val="NLD_-_Assum19"/>
      <sheetName val="Cost_summary19"/>
      <sheetName val="March_Analysts19"/>
      <sheetName val="Msht_5F19"/>
      <sheetName val="LOCAL_RATES19"/>
      <sheetName val="Data_base19"/>
      <sheetName val="Block_A_-_BOQ19"/>
      <sheetName val="Detail_In_Door_Stad19"/>
      <sheetName val="Sweeper_Machine19"/>
      <sheetName val="Bal_Sheet19"/>
      <sheetName val="IO_LIST19"/>
      <sheetName val="Fin__Assumpt__-_Sensitivities19"/>
      <sheetName val="labour_coeff19"/>
      <sheetName val="Mantri_A19"/>
      <sheetName val="Hotel_Info_Input19"/>
      <sheetName val="Cover_sheet19"/>
      <sheetName val="Abstract_Sheet19"/>
      <sheetName val="Rate_Analysis19"/>
      <sheetName val="FITZ_MORT_9419"/>
      <sheetName val="M_S_20"/>
      <sheetName val="NT_LBH2"/>
      <sheetName val="EARTHING_SYSTEM2"/>
      <sheetName val="INPUT_SHEET22"/>
      <sheetName val="FC_&amp;_UG22"/>
      <sheetName val="Site_Dev_BOQ21"/>
      <sheetName val="07016,_Master_List-Major_Mino21"/>
      <sheetName val="Material_21"/>
      <sheetName val="Labour_&amp;_Plant21"/>
      <sheetName val="WORK_TABLE21"/>
      <sheetName val="LIST_OF_MAKES21"/>
      <sheetName val="CFForecast_detail21"/>
      <sheetName val="3__Elemental_Summary21"/>
      <sheetName val="9__Package_split_-_Cost_21"/>
      <sheetName val="10__&amp;_11__Rate_Code_&amp;_BQ21"/>
      <sheetName val="PCS_DATA21"/>
      <sheetName val="_B121"/>
      <sheetName val="Basement_Budget21"/>
      <sheetName val="BOQ_Direct_selling_cost21"/>
      <sheetName val="Civil_Boq21"/>
      <sheetName val="RMZ_Summary21"/>
      <sheetName val="SITE_OVERHEADS21"/>
      <sheetName val="Basic_Rates21"/>
      <sheetName val="final_abstract21"/>
      <sheetName val="Builtup_Area21"/>
      <sheetName val="BASIS_-DEC_0821"/>
      <sheetName val="Project_Budget_Worksheet21"/>
      <sheetName val="RCC,Ret__Wall21"/>
      <sheetName val="Base_data_Security_Procedures21"/>
      <sheetName val="12a__CFTable21"/>
      <sheetName val="Break_up_Sheet21"/>
      <sheetName val="Fin_Sum21"/>
      <sheetName val="Sheet3_(2)21"/>
      <sheetName val="X_rate21"/>
      <sheetName val="Fill_this_out_first___21"/>
      <sheetName val="TBAL9697_-group_wise__sdpl21"/>
      <sheetName val="Data_sheet21"/>
      <sheetName val="INDIGINEOUS_ITEMS_21"/>
      <sheetName val="NLD_-_Assum21"/>
      <sheetName val="Cost_summary21"/>
      <sheetName val="March_Analysts21"/>
      <sheetName val="Msht_5F21"/>
      <sheetName val="LOCAL_RATES21"/>
      <sheetName val="Data_base21"/>
      <sheetName val="Block_A_-_BOQ21"/>
      <sheetName val="Detail_In_Door_Stad21"/>
      <sheetName val="Sweeper_Machine21"/>
      <sheetName val="Bal_Sheet21"/>
      <sheetName val="IO_LIST21"/>
      <sheetName val="Fin__Assumpt__-_Sensitivities21"/>
      <sheetName val="labour_coeff21"/>
      <sheetName val="Mantri_A21"/>
      <sheetName val="Hotel_Info_Input21"/>
      <sheetName val="Cover_sheet21"/>
      <sheetName val="Abstract_Sheet21"/>
      <sheetName val="Rate_Analysis21"/>
      <sheetName val="FITZ_MORT_9421"/>
      <sheetName val="M_S_22"/>
      <sheetName val="NT_LBH4"/>
      <sheetName val="EARTHING_SYSTEM4"/>
      <sheetName val="INPUT_SHEET23"/>
      <sheetName val="FC_&amp;_UG23"/>
      <sheetName val="Site_Dev_BOQ22"/>
      <sheetName val="07016,_Master_List-Major_Mino22"/>
      <sheetName val="Material_22"/>
      <sheetName val="Labour_&amp;_Plant22"/>
      <sheetName val="WORK_TABLE22"/>
      <sheetName val="LIST_OF_MAKES22"/>
      <sheetName val="CFForecast_detail22"/>
      <sheetName val="3__Elemental_Summary22"/>
      <sheetName val="9__Package_split_-_Cost_22"/>
      <sheetName val="10__&amp;_11__Rate_Code_&amp;_BQ22"/>
      <sheetName val="PCS_DATA22"/>
      <sheetName val="_B122"/>
      <sheetName val="Basement_Budget22"/>
      <sheetName val="BOQ_Direct_selling_cost22"/>
      <sheetName val="Civil_Boq22"/>
      <sheetName val="RMZ_Summary22"/>
      <sheetName val="SITE_OVERHEADS22"/>
      <sheetName val="Basic_Rates22"/>
      <sheetName val="final_abstract22"/>
      <sheetName val="Builtup_Area22"/>
      <sheetName val="BASIS_-DEC_0822"/>
      <sheetName val="Project_Budget_Worksheet22"/>
      <sheetName val="RCC,Ret__Wall22"/>
      <sheetName val="Base_data_Security_Procedures22"/>
      <sheetName val="12a__CFTable22"/>
      <sheetName val="Break_up_Sheet22"/>
      <sheetName val="Fin_Sum22"/>
      <sheetName val="Sheet3_(2)22"/>
      <sheetName val="X_rate22"/>
      <sheetName val="Fill_this_out_first___22"/>
      <sheetName val="TBAL9697_-group_wise__sdpl22"/>
      <sheetName val="Data_sheet22"/>
      <sheetName val="INDIGINEOUS_ITEMS_22"/>
      <sheetName val="NLD_-_Assum22"/>
      <sheetName val="Cost_summary22"/>
      <sheetName val="March_Analysts22"/>
      <sheetName val="Msht_5F22"/>
      <sheetName val="LOCAL_RATES22"/>
      <sheetName val="Data_base22"/>
      <sheetName val="Block_A_-_BOQ22"/>
      <sheetName val="Detail_In_Door_Stad22"/>
      <sheetName val="Sweeper_Machine22"/>
      <sheetName val="Bal_Sheet22"/>
      <sheetName val="IO_LIST22"/>
      <sheetName val="Fin__Assumpt__-_Sensitivities22"/>
      <sheetName val="labour_coeff22"/>
      <sheetName val="Mantri_A22"/>
      <sheetName val="Hotel_Info_Input22"/>
      <sheetName val="Cover_sheet22"/>
      <sheetName val="Abstract_Sheet22"/>
      <sheetName val="Rate_Analysis22"/>
      <sheetName val="FITZ_MORT_9422"/>
      <sheetName val="M_S_23"/>
      <sheetName val="NT_LBH5"/>
      <sheetName val="EARTHING_SYSTEM5"/>
      <sheetName val="Mactan"/>
      <sheetName val="Mandaue"/>
      <sheetName val="Name List"/>
      <sheetName val="Intro"/>
      <sheetName val="Load Details(B2)"/>
      <sheetName val="INPUT_SHEET24"/>
      <sheetName val="FC_&amp;_UG24"/>
      <sheetName val="Site_Dev_BOQ23"/>
      <sheetName val="07016,_Master_List-Major_Mino23"/>
      <sheetName val="Material_23"/>
      <sheetName val="Labour_&amp;_Plant23"/>
      <sheetName val="WORK_TABLE23"/>
      <sheetName val="LIST_OF_MAKES23"/>
      <sheetName val="CFForecast_detail23"/>
      <sheetName val="3__Elemental_Summary23"/>
      <sheetName val="9__Package_split_-_Cost_23"/>
      <sheetName val="10__&amp;_11__Rate_Code_&amp;_BQ23"/>
      <sheetName val="PCS_DATA23"/>
      <sheetName val="_B123"/>
      <sheetName val="Basement_Budget23"/>
      <sheetName val="BOQ_Direct_selling_cost23"/>
      <sheetName val="Civil_Boq23"/>
      <sheetName val="RMZ_Summary23"/>
      <sheetName val="SITE_OVERHEADS23"/>
      <sheetName val="Basic_Rates23"/>
      <sheetName val="final_abstract23"/>
      <sheetName val="Builtup_Area23"/>
      <sheetName val="BASIS_-DEC_0823"/>
      <sheetName val="Project_Budget_Worksheet23"/>
      <sheetName val="RCC,Ret__Wall23"/>
      <sheetName val="Base_data_Security_Procedures23"/>
      <sheetName val="12a__CFTable23"/>
      <sheetName val="Break_up_Sheet23"/>
      <sheetName val="Fin_Sum23"/>
      <sheetName val="Sheet3_(2)23"/>
      <sheetName val="X_rate23"/>
      <sheetName val="Fill_this_out_first___23"/>
      <sheetName val="TBAL9697_-group_wise__sdpl23"/>
      <sheetName val="Data_sheet23"/>
      <sheetName val="INDIGINEOUS_ITEMS_23"/>
      <sheetName val="NLD_-_Assum23"/>
      <sheetName val="Cost_summary23"/>
      <sheetName val="March_Analysts23"/>
      <sheetName val="Msht_5F23"/>
      <sheetName val="LOCAL_RATES23"/>
      <sheetName val="Data_base23"/>
      <sheetName val="Block_A_-_BOQ23"/>
      <sheetName val="Detail_In_Door_Stad23"/>
      <sheetName val="Sweeper_Machine23"/>
      <sheetName val="Bal_Sheet23"/>
      <sheetName val="IO_LIST23"/>
      <sheetName val="Fin__Assumpt__-_Sensitivities23"/>
      <sheetName val="labour_coeff23"/>
      <sheetName val="Mantri_A23"/>
      <sheetName val="Hotel_Info_Input23"/>
      <sheetName val="Cover_sheet23"/>
      <sheetName val="Abstract_Sheet23"/>
      <sheetName val="Rate_Analysis23"/>
      <sheetName val="FITZ_MORT_9423"/>
      <sheetName val="M_S_24"/>
      <sheetName val="NT_LBH6"/>
      <sheetName val="EARTHING_SYSTEM6"/>
      <sheetName val="INPUT_SHEET25"/>
      <sheetName val="FC_&amp;_UG25"/>
      <sheetName val="Site_Dev_BOQ24"/>
      <sheetName val="07016,_Master_List-Major_Mino24"/>
      <sheetName val="Material_24"/>
      <sheetName val="Labour_&amp;_Plant24"/>
      <sheetName val="WORK_TABLE24"/>
      <sheetName val="LIST_OF_MAKES24"/>
      <sheetName val="CFForecast_detail24"/>
      <sheetName val="3__Elemental_Summary24"/>
      <sheetName val="9__Package_split_-_Cost_24"/>
      <sheetName val="10__&amp;_11__Rate_Code_&amp;_BQ24"/>
      <sheetName val="PCS_DATA24"/>
      <sheetName val="_B124"/>
      <sheetName val="Basement_Budget24"/>
      <sheetName val="BOQ_Direct_selling_cost24"/>
      <sheetName val="Civil_Boq24"/>
      <sheetName val="RMZ_Summary24"/>
      <sheetName val="SITE_OVERHEADS24"/>
      <sheetName val="Basic_Rates24"/>
      <sheetName val="final_abstract24"/>
      <sheetName val="Builtup_Area24"/>
      <sheetName val="BASIS_-DEC_0824"/>
      <sheetName val="Project_Budget_Worksheet24"/>
      <sheetName val="RCC,Ret__Wall24"/>
      <sheetName val="Base_data_Security_Procedures24"/>
      <sheetName val="12a__CFTable24"/>
      <sheetName val="Break_up_Sheet24"/>
      <sheetName val="Fin_Sum24"/>
      <sheetName val="Sheet3_(2)24"/>
      <sheetName val="X_rate24"/>
      <sheetName val="Fill_this_out_first___24"/>
      <sheetName val="TBAL9697_-group_wise__sdpl24"/>
      <sheetName val="Data_sheet24"/>
      <sheetName val="INDIGINEOUS_ITEMS_24"/>
      <sheetName val="NLD_-_Assum24"/>
      <sheetName val="Cost_summary24"/>
      <sheetName val="March_Analysts24"/>
      <sheetName val="Msht_5F24"/>
      <sheetName val="LOCAL_RATES24"/>
      <sheetName val="Data_base24"/>
      <sheetName val="Block_A_-_BOQ24"/>
      <sheetName val="Detail_In_Door_Stad24"/>
      <sheetName val="Sweeper_Machine24"/>
      <sheetName val="Bal_Sheet24"/>
      <sheetName val="IO_LIST24"/>
      <sheetName val="Fin__Assumpt__-_Sensitivities24"/>
      <sheetName val="labour_coeff24"/>
      <sheetName val="Mantri_A24"/>
      <sheetName val="Hotel_Info_Input24"/>
      <sheetName val="Cover_sheet24"/>
      <sheetName val="Abstract_Sheet24"/>
      <sheetName val="Rate_Analysis24"/>
      <sheetName val="FITZ_MORT_9424"/>
      <sheetName val="M_S_25"/>
      <sheetName val="NT_LBH7"/>
      <sheetName val="EARTHING_SYSTEM7"/>
      <sheetName val="DETAILED__BOQ"/>
      <sheetName val="Old"/>
      <sheetName val="I-CO"/>
      <sheetName val="Ass"/>
      <sheetName val="Vind-BtB"/>
      <sheetName val="basdat"/>
      <sheetName val="CASHFLOWS"/>
      <sheetName val="except wiring"/>
      <sheetName val="Driveway Beams"/>
      <sheetName val="GN-ST-10"/>
      <sheetName val="oresreqsum"/>
      <sheetName val="ANNX - I ( a )"/>
      <sheetName val="dBase"/>
      <sheetName val="DEPTH CHART (ORR) L.S."/>
      <sheetName val="Wire"/>
      <sheetName val="RA-markate"/>
      <sheetName val="INPUT-DATA1"/>
      <sheetName val="Evaluate"/>
      <sheetName val="Fill_this_out_fir䁳t___17"/>
      <sheetName val="Extra Item"/>
      <sheetName val="Costing"/>
      <sheetName val="FitOutConfCentre"/>
      <sheetName val="공사비 내역 (가)"/>
      <sheetName val="Demand"/>
      <sheetName val="Occ"/>
      <sheetName val="SPT vs PHI"/>
      <sheetName val="sales invoices"/>
      <sheetName val="COLUMN"/>
      <sheetName val="Field Values"/>
      <sheetName val="Substation"/>
      <sheetName val="Sheet2"/>
      <sheetName val="Linked Lead"/>
      <sheetName val="SCurv (3)"/>
      <sheetName val="S &amp; A"/>
      <sheetName val="DetEst"/>
      <sheetName val="labour"/>
      <sheetName val="Plant _  Machinery"/>
      <sheetName val="Legal Risk Analysis"/>
      <sheetName val="Project_ID"/>
      <sheetName val="Modular"/>
      <sheetName val="Internal"/>
      <sheetName val="Measurements"/>
      <sheetName val="Tables"/>
      <sheetName val="Flooring"/>
      <sheetName val="Ceilings"/>
      <sheetName val="ACAD Finishes"/>
      <sheetName val="Site Details"/>
      <sheetName val="Chair"/>
      <sheetName val="Site Area Statement"/>
      <sheetName val="Doors"/>
      <sheetName val="Structure Bills Qty"/>
      <sheetName val="Micro"/>
      <sheetName val="GM &amp; TA"/>
      <sheetName val="Macro"/>
      <sheetName val="PCC"/>
      <sheetName val="Approved MTD Proj #'s"/>
      <sheetName val="Sheet_1"/>
      <sheetName val="_B3"/>
      <sheetName val="Reference_Information"/>
      <sheetName val="Employee_List"/>
      <sheetName val="Sales_Office"/>
      <sheetName val="PRECAST_lightconc-II"/>
      <sheetName val="Back_filling"/>
      <sheetName val="NT_items_summary"/>
      <sheetName val="SETTING"/>
      <sheetName val="Next Weeks Plan"/>
      <sheetName val="Loads"/>
      <sheetName val="Variables"/>
      <sheetName val="電気設備表"/>
      <sheetName val="EAS"/>
      <sheetName val="conc-foot-gradeslab"/>
      <sheetName val="96수출"/>
      <sheetName val="Timesheet"/>
      <sheetName val="BOQ T4B"/>
      <sheetName val="Construction"/>
      <sheetName val="INPUT_SHEET26"/>
      <sheetName val="FC_&amp;_UG26"/>
      <sheetName val="Site_Dev_BOQ25"/>
      <sheetName val="LIST_OF_MAKES25"/>
      <sheetName val="Material_25"/>
      <sheetName val="Labour_&amp;_Plant25"/>
      <sheetName val="CFForecast_detail25"/>
      <sheetName val="07016,_Master_List-Major_Mino25"/>
      <sheetName val="WORK_TABLE25"/>
      <sheetName val="3__Elemental_Summary25"/>
      <sheetName val="9__Package_split_-_Cost_25"/>
      <sheetName val="10__&amp;_11__Rate_Code_&amp;_BQ25"/>
      <sheetName val="PCS_DATA25"/>
      <sheetName val="_B125"/>
      <sheetName val="Basement_Budget25"/>
      <sheetName val="SITE_OVERHEADS25"/>
      <sheetName val="BOQ_Direct_selling_cost25"/>
      <sheetName val="Civil_Boq25"/>
      <sheetName val="RMZ_Summary25"/>
      <sheetName val="Basic_Rates25"/>
      <sheetName val="final_abstract25"/>
      <sheetName val="Builtup_Area25"/>
      <sheetName val="BASIS_-DEC_0825"/>
      <sheetName val="Project_Budget_Worksheet25"/>
      <sheetName val="RCC,Ret__Wall25"/>
      <sheetName val="Base_data_Security_Procedures25"/>
      <sheetName val="12a__CFTable25"/>
      <sheetName val="Break_up_Sheet25"/>
      <sheetName val="Fin_Sum25"/>
      <sheetName val="Sheet3_(2)25"/>
      <sheetName val="Fill_this_out_first___25"/>
      <sheetName val="Data_sheet25"/>
      <sheetName val="X_rate25"/>
      <sheetName val="TBAL9697_-group_wise__sdpl25"/>
      <sheetName val="NLD_-_Assum25"/>
      <sheetName val="INDIGINEOUS_ITEMS_25"/>
      <sheetName val="Cost_summary25"/>
      <sheetName val="March_Analysts25"/>
      <sheetName val="Fin__Assumpt__-_Sensitivities25"/>
      <sheetName val="LOCAL_RATES25"/>
      <sheetName val="Data_base25"/>
      <sheetName val="Msht_5F25"/>
      <sheetName val="Block_A_-_BOQ25"/>
      <sheetName val="Detail_In_Door_Stad25"/>
      <sheetName val="Bal_Sheet25"/>
      <sheetName val="Sweeper_Machine25"/>
      <sheetName val="labour_coeff25"/>
      <sheetName val="IO_LIST25"/>
      <sheetName val="Mantri_A25"/>
      <sheetName val="Abstract_Sheet25"/>
      <sheetName val="Hotel_Info_Input25"/>
      <sheetName val="Cover_sheet25"/>
      <sheetName val="EARTHING_SYSTEM8"/>
      <sheetName val="NT_LBH8"/>
      <sheetName val="Rate_Analysis25"/>
      <sheetName val="공사비_내역_(가)"/>
      <sheetName val="ACAD_Finishes"/>
      <sheetName val="Site_Details"/>
      <sheetName val="Site_Area_Statement"/>
      <sheetName val="Structure_Bills_Qty"/>
      <sheetName val="GM_&amp;_TA"/>
      <sheetName val="FITZ_MORT_9425"/>
      <sheetName val="M_S_26"/>
      <sheetName val="DETAILED__BOQ1"/>
      <sheetName val="Legal_Risk_Analysis"/>
      <sheetName val="Load_Details(B2)"/>
      <sheetName val="Name_List"/>
      <sheetName val="except_wiring"/>
      <sheetName val="ANNX_-_I_(_a_)"/>
      <sheetName val="Linked_Lead"/>
      <sheetName val="SPT_vs_PHI"/>
      <sheetName val="sales_invoices"/>
      <sheetName val="Extra_Item"/>
      <sheetName val="DEPTH_CHART_(ORR)_L_S_"/>
      <sheetName val="S_&amp;_A"/>
      <sheetName val="SCurv_(3)"/>
      <sheetName val="Driveway_Beams"/>
      <sheetName val="BOQ_T4B"/>
      <sheetName val="Config"/>
      <sheetName val="Break Dw"/>
    </sheetNames>
    <sheetDataSet>
      <sheetData sheetId="0" refreshError="1"/>
      <sheetData sheetId="1" refreshError="1"/>
      <sheetData sheetId="2" refreshError="1"/>
      <sheetData sheetId="3" refreshError="1"/>
      <sheetData sheetId="4" refreshError="1">
        <row r="437">
          <cell r="B437" t="str">
            <v>LOCAL STAFF</v>
          </cell>
        </row>
        <row r="438">
          <cell r="B438" t="str">
            <v>MASON</v>
          </cell>
        </row>
        <row r="439">
          <cell r="B439" t="str">
            <v>OPERATOR</v>
          </cell>
        </row>
        <row r="440">
          <cell r="B440" t="str">
            <v>ELETRICIAN</v>
          </cell>
        </row>
        <row r="441">
          <cell r="B441" t="str">
            <v>PLUMBER</v>
          </cell>
        </row>
        <row r="442">
          <cell r="B442" t="str">
            <v>MIXER OPERATOR</v>
          </cell>
        </row>
        <row r="443">
          <cell r="B443" t="str">
            <v>FITTER</v>
          </cell>
        </row>
        <row r="444">
          <cell r="B444" t="str">
            <v>total amount</v>
          </cell>
        </row>
        <row r="461">
          <cell r="B461">
            <v>1</v>
          </cell>
        </row>
        <row r="462">
          <cell r="B462" t="str">
            <v>REGULAR STAFF</v>
          </cell>
        </row>
        <row r="463">
          <cell r="B463" t="str">
            <v>PM</v>
          </cell>
        </row>
        <row r="464">
          <cell r="B464" t="str">
            <v>RE</v>
          </cell>
        </row>
        <row r="465">
          <cell r="B465" t="str">
            <v>SPE</v>
          </cell>
        </row>
        <row r="466">
          <cell r="B466" t="str">
            <v>PE</v>
          </cell>
        </row>
        <row r="467">
          <cell r="B467" t="str">
            <v>AE</v>
          </cell>
        </row>
        <row r="468">
          <cell r="B468" t="str">
            <v>JE</v>
          </cell>
        </row>
        <row r="469">
          <cell r="B469" t="str">
            <v>SUPERVISOR</v>
          </cell>
        </row>
        <row r="470">
          <cell r="B470" t="str">
            <v>W/A</v>
          </cell>
        </row>
        <row r="471">
          <cell r="B471" t="str">
            <v>CHARGE HAND</v>
          </cell>
        </row>
        <row r="473">
          <cell r="B473" t="str">
            <v>total amount</v>
          </cell>
        </row>
        <row r="486">
          <cell r="B486">
            <v>1</v>
          </cell>
        </row>
        <row r="487">
          <cell r="B487" t="str">
            <v>MACHINE_EQUIPMENT</v>
          </cell>
        </row>
        <row r="488">
          <cell r="B488" t="str">
            <v>MIXER MACHINE</v>
          </cell>
        </row>
        <row r="489">
          <cell r="B489" t="str">
            <v>VIBRATOR</v>
          </cell>
        </row>
        <row r="490">
          <cell r="B490" t="str">
            <v>TRECTOR</v>
          </cell>
        </row>
        <row r="492">
          <cell r="B492" t="str">
            <v>total amount</v>
          </cell>
        </row>
        <row r="511">
          <cell r="B511">
            <v>1</v>
          </cell>
        </row>
        <row r="512">
          <cell r="B512" t="str">
            <v>OVER HEADS</v>
          </cell>
        </row>
        <row r="513">
          <cell r="B513" t="str">
            <v>SITE O/H</v>
          </cell>
        </row>
        <row r="514">
          <cell r="B514" t="str">
            <v>CONVEYANCE</v>
          </cell>
        </row>
        <row r="515">
          <cell r="B515" t="str">
            <v>OTHER EXPENSES</v>
          </cell>
        </row>
        <row r="518">
          <cell r="B518" t="str">
            <v>total amount</v>
          </cell>
        </row>
        <row r="536">
          <cell r="B536">
            <v>1</v>
          </cell>
        </row>
        <row r="540">
          <cell r="B540" t="str">
            <v>Material</v>
          </cell>
          <cell r="C540" t="str">
            <v>Unit</v>
          </cell>
          <cell r="D540" t="str">
            <v>Rate</v>
          </cell>
        </row>
        <row r="541">
          <cell r="B541" t="str">
            <v xml:space="preserve">Cement </v>
          </cell>
          <cell r="C541" t="str">
            <v>bag</v>
          </cell>
          <cell r="D541">
            <v>4</v>
          </cell>
        </row>
        <row r="542">
          <cell r="B542" t="str">
            <v>Sand</v>
          </cell>
          <cell r="C542" t="str">
            <v>cmt</v>
          </cell>
          <cell r="D542">
            <v>352.8</v>
          </cell>
        </row>
        <row r="543">
          <cell r="B543" t="str">
            <v>Grit</v>
          </cell>
          <cell r="C543" t="str">
            <v>cmt</v>
          </cell>
          <cell r="D543">
            <v>352.8</v>
          </cell>
        </row>
        <row r="544">
          <cell r="B544" t="str">
            <v>Kapchi</v>
          </cell>
          <cell r="C544" t="str">
            <v>cmt</v>
          </cell>
          <cell r="D544">
            <v>529.20000000000005</v>
          </cell>
        </row>
        <row r="545">
          <cell r="B545" t="str">
            <v xml:space="preserve">Bricks </v>
          </cell>
          <cell r="C545" t="str">
            <v>nos</v>
          </cell>
          <cell r="D545">
            <v>2</v>
          </cell>
        </row>
        <row r="546">
          <cell r="B546" t="str">
            <v>Filling sand</v>
          </cell>
          <cell r="C546" t="str">
            <v>cmt</v>
          </cell>
          <cell r="D546">
            <v>282.24</v>
          </cell>
        </row>
        <row r="547">
          <cell r="B547" t="str">
            <v>Rubble</v>
          </cell>
          <cell r="C547" t="str">
            <v>cmt</v>
          </cell>
        </row>
        <row r="548">
          <cell r="B548" t="str">
            <v>Metal</v>
          </cell>
          <cell r="C548" t="str">
            <v>cmt</v>
          </cell>
          <cell r="D548">
            <v>352.8</v>
          </cell>
        </row>
        <row r="549">
          <cell r="B549" t="str">
            <v>Reinf. steel</v>
          </cell>
          <cell r="C549" t="str">
            <v>MT</v>
          </cell>
          <cell r="D549">
            <v>100</v>
          </cell>
        </row>
        <row r="550">
          <cell r="B550" t="str">
            <v>Str.Steel</v>
          </cell>
          <cell r="C550" t="str">
            <v>MT</v>
          </cell>
        </row>
        <row r="551">
          <cell r="B551" t="str">
            <v>S.BLOCK</v>
          </cell>
          <cell r="C551" t="str">
            <v>smt</v>
          </cell>
          <cell r="D551">
            <v>14</v>
          </cell>
        </row>
        <row r="552">
          <cell r="B552" t="str">
            <v>Brickbats</v>
          </cell>
          <cell r="C552" t="str">
            <v>cmt</v>
          </cell>
          <cell r="D552">
            <v>211.68</v>
          </cell>
        </row>
        <row r="553">
          <cell r="B553" t="str">
            <v>other-3</v>
          </cell>
        </row>
        <row r="554">
          <cell r="B554" t="str">
            <v>other-4</v>
          </cell>
        </row>
        <row r="555">
          <cell r="B555" t="str">
            <v>other-5</v>
          </cell>
        </row>
        <row r="833">
          <cell r="B833" t="str">
            <v>INFRASTRUCTURE_ENTRY</v>
          </cell>
        </row>
        <row r="834">
          <cell r="B834" t="str">
            <v>STRUCTURE</v>
          </cell>
          <cell r="C834" t="str">
            <v>AREA/NO.</v>
          </cell>
          <cell r="D834" t="str">
            <v>UNIT</v>
          </cell>
          <cell r="E834" t="str">
            <v>RATE</v>
          </cell>
          <cell r="F834" t="str">
            <v>AMOUNT</v>
          </cell>
        </row>
        <row r="835">
          <cell r="B835" t="str">
            <v>STORE</v>
          </cell>
          <cell r="C835">
            <v>0</v>
          </cell>
          <cell r="D835" t="str">
            <v>SMT</v>
          </cell>
          <cell r="E835">
            <v>150</v>
          </cell>
          <cell r="F835">
            <v>0</v>
          </cell>
        </row>
        <row r="836">
          <cell r="B836" t="str">
            <v>OFFICE BUILDING</v>
          </cell>
          <cell r="C836">
            <v>0</v>
          </cell>
          <cell r="D836" t="str">
            <v>SMT</v>
          </cell>
          <cell r="E836">
            <v>250</v>
          </cell>
          <cell r="F836">
            <v>0</v>
          </cell>
        </row>
        <row r="837">
          <cell r="B837" t="str">
            <v>WATER TANK</v>
          </cell>
          <cell r="F837">
            <v>0</v>
          </cell>
        </row>
        <row r="838">
          <cell r="B838" t="str">
            <v>CEMENT GODOWN</v>
          </cell>
          <cell r="F838">
            <v>0</v>
          </cell>
        </row>
        <row r="839">
          <cell r="B839" t="str">
            <v>LABOUR COLONY</v>
          </cell>
          <cell r="F839">
            <v>0</v>
          </cell>
        </row>
        <row r="840">
          <cell r="B840" t="str">
            <v>STAFF QUARTERS</v>
          </cell>
          <cell r="F840">
            <v>0</v>
          </cell>
        </row>
        <row r="841">
          <cell r="B841" t="str">
            <v>BORE</v>
          </cell>
          <cell r="C841">
            <v>0</v>
          </cell>
          <cell r="E841">
            <v>10000</v>
          </cell>
          <cell r="F841">
            <v>0</v>
          </cell>
        </row>
        <row r="842">
          <cell r="B842" t="str">
            <v>PIPELINE</v>
          </cell>
          <cell r="C842">
            <v>0</v>
          </cell>
          <cell r="D842" t="str">
            <v>RMT</v>
          </cell>
          <cell r="E842">
            <v>15</v>
          </cell>
          <cell r="F842">
            <v>0</v>
          </cell>
        </row>
        <row r="843">
          <cell r="B843" t="str">
            <v>ROAD</v>
          </cell>
          <cell r="F843">
            <v>0</v>
          </cell>
        </row>
        <row r="844">
          <cell r="B844" t="str">
            <v>ELECTRIFICATION</v>
          </cell>
          <cell r="F844">
            <v>0</v>
          </cell>
        </row>
        <row r="845">
          <cell r="B845" t="str">
            <v>ERECTION OF BATCH MIXING PLANT</v>
          </cell>
          <cell r="F845">
            <v>0</v>
          </cell>
        </row>
        <row r="846">
          <cell r="F846">
            <v>0</v>
          </cell>
        </row>
        <row r="847">
          <cell r="B847" t="str">
            <v>total infra-structure</v>
          </cell>
          <cell r="F847">
            <v>1600000</v>
          </cell>
        </row>
        <row r="848">
          <cell r="F848">
            <v>0</v>
          </cell>
        </row>
        <row r="849">
          <cell r="F849">
            <v>0</v>
          </cell>
        </row>
        <row r="850">
          <cell r="F850">
            <v>0</v>
          </cell>
        </row>
        <row r="851">
          <cell r="F851">
            <v>0</v>
          </cell>
        </row>
        <row r="852">
          <cell r="F852">
            <v>0</v>
          </cell>
        </row>
        <row r="853">
          <cell r="F853">
            <v>0</v>
          </cell>
        </row>
        <row r="854">
          <cell r="F854">
            <v>0</v>
          </cell>
        </row>
        <row r="855">
          <cell r="F855">
            <v>0</v>
          </cell>
        </row>
        <row r="856">
          <cell r="F856">
            <v>0</v>
          </cell>
        </row>
        <row r="857">
          <cell r="F857">
            <v>0</v>
          </cell>
        </row>
        <row r="858">
          <cell r="B858" t="str">
            <v>TOTAL</v>
          </cell>
          <cell r="F858">
            <v>1600000</v>
          </cell>
        </row>
      </sheetData>
      <sheetData sheetId="5" refreshError="1">
        <row r="437">
          <cell r="B437" t="str">
            <v>TOTAL CONSUMPTION</v>
          </cell>
        </row>
        <row r="452">
          <cell r="A452" t="str">
            <v>LOCAL STAFF</v>
          </cell>
          <cell r="H452" t="str">
            <v>REGULAR STAFF</v>
          </cell>
          <cell r="M452" t="str">
            <v>MACHINE/EQUIPMENT</v>
          </cell>
          <cell r="R452" t="str">
            <v>h</v>
          </cell>
        </row>
        <row r="453">
          <cell r="A453" t="str">
            <v>CATEGORY</v>
          </cell>
          <cell r="B453" t="str">
            <v>NO</v>
          </cell>
          <cell r="C453" t="str">
            <v>PAY</v>
          </cell>
          <cell r="D453" t="str">
            <v>AMOUNT</v>
          </cell>
          <cell r="H453" t="str">
            <v>CATEGORY</v>
          </cell>
          <cell r="I453" t="str">
            <v>NO</v>
          </cell>
          <cell r="J453" t="str">
            <v>PAY</v>
          </cell>
          <cell r="K453" t="str">
            <v>AMOUNT</v>
          </cell>
          <cell r="M453" t="str">
            <v>CATEGORY</v>
          </cell>
          <cell r="N453" t="str">
            <v>NO</v>
          </cell>
          <cell r="O453" t="str">
            <v>RENT</v>
          </cell>
          <cell r="P453" t="str">
            <v>AMOUNT</v>
          </cell>
          <cell r="R453" t="str">
            <v>HEAD</v>
          </cell>
          <cell r="S453" t="str">
            <v>AMOUNT</v>
          </cell>
        </row>
        <row r="454">
          <cell r="A454" t="str">
            <v>MASON</v>
          </cell>
          <cell r="B454">
            <v>0</v>
          </cell>
          <cell r="D454">
            <v>0</v>
          </cell>
          <cell r="H454" t="str">
            <v>PM</v>
          </cell>
          <cell r="I454">
            <v>0</v>
          </cell>
          <cell r="J454">
            <v>15000</v>
          </cell>
          <cell r="K454">
            <v>0</v>
          </cell>
          <cell r="M454" t="str">
            <v>MIXER MACHINE</v>
          </cell>
          <cell r="N454">
            <v>0</v>
          </cell>
          <cell r="O454">
            <v>5000</v>
          </cell>
          <cell r="P454">
            <v>0</v>
          </cell>
          <cell r="R454" t="str">
            <v>SITE O/H</v>
          </cell>
          <cell r="S454">
            <v>0</v>
          </cell>
        </row>
        <row r="455">
          <cell r="A455" t="str">
            <v>OPERATOR</v>
          </cell>
          <cell r="B455">
            <v>0</v>
          </cell>
          <cell r="D455">
            <v>0</v>
          </cell>
          <cell r="H455" t="str">
            <v>RE</v>
          </cell>
          <cell r="I455">
            <v>0</v>
          </cell>
          <cell r="J455">
            <v>12000</v>
          </cell>
          <cell r="K455">
            <v>0</v>
          </cell>
          <cell r="M455" t="str">
            <v>VIBRATOR</v>
          </cell>
          <cell r="N455">
            <v>0</v>
          </cell>
          <cell r="O455">
            <v>450</v>
          </cell>
          <cell r="P455">
            <v>0</v>
          </cell>
          <cell r="R455" t="str">
            <v>CONVEYANCE</v>
          </cell>
          <cell r="S455">
            <v>0</v>
          </cell>
        </row>
        <row r="456">
          <cell r="A456" t="str">
            <v>ELETRICIAN</v>
          </cell>
          <cell r="B456">
            <v>0</v>
          </cell>
          <cell r="D456">
            <v>0</v>
          </cell>
          <cell r="H456" t="str">
            <v>SPE</v>
          </cell>
          <cell r="I456">
            <v>0</v>
          </cell>
          <cell r="J456">
            <v>10000</v>
          </cell>
          <cell r="K456">
            <v>0</v>
          </cell>
          <cell r="M456" t="str">
            <v>TRECTOR</v>
          </cell>
          <cell r="N456">
            <v>0</v>
          </cell>
          <cell r="O456">
            <v>6000</v>
          </cell>
          <cell r="P456">
            <v>0</v>
          </cell>
          <cell r="R456" t="str">
            <v>OTHER EXPENSES</v>
          </cell>
          <cell r="S456">
            <v>0</v>
          </cell>
        </row>
        <row r="457">
          <cell r="A457" t="str">
            <v>PLUMBER</v>
          </cell>
          <cell r="B457">
            <v>0</v>
          </cell>
          <cell r="D457">
            <v>0</v>
          </cell>
          <cell r="H457" t="str">
            <v>PE</v>
          </cell>
          <cell r="I457">
            <v>0</v>
          </cell>
          <cell r="J457">
            <v>9000</v>
          </cell>
          <cell r="K457">
            <v>0</v>
          </cell>
          <cell r="M457">
            <v>0</v>
          </cell>
          <cell r="N457">
            <v>0</v>
          </cell>
          <cell r="P457">
            <v>0</v>
          </cell>
          <cell r="R457">
            <v>0</v>
          </cell>
          <cell r="S457">
            <v>0</v>
          </cell>
        </row>
        <row r="458">
          <cell r="A458" t="str">
            <v>MIXER OPERATOR</v>
          </cell>
          <cell r="B458">
            <v>0</v>
          </cell>
          <cell r="D458">
            <v>0</v>
          </cell>
          <cell r="H458" t="str">
            <v>AE</v>
          </cell>
          <cell r="I458">
            <v>0</v>
          </cell>
          <cell r="J458">
            <v>8000</v>
          </cell>
          <cell r="K458">
            <v>0</v>
          </cell>
          <cell r="M458" t="str">
            <v>total amount</v>
          </cell>
          <cell r="N458">
            <v>0</v>
          </cell>
          <cell r="P458">
            <v>0</v>
          </cell>
          <cell r="R458">
            <v>0</v>
          </cell>
          <cell r="S458">
            <v>0</v>
          </cell>
        </row>
        <row r="459">
          <cell r="A459" t="str">
            <v>FITTER</v>
          </cell>
          <cell r="B459">
            <v>0</v>
          </cell>
          <cell r="D459">
            <v>0</v>
          </cell>
          <cell r="H459" t="str">
            <v>JE</v>
          </cell>
          <cell r="I459">
            <v>0</v>
          </cell>
          <cell r="J459">
            <v>6000</v>
          </cell>
          <cell r="K459">
            <v>0</v>
          </cell>
          <cell r="M459">
            <v>0</v>
          </cell>
          <cell r="N459">
            <v>0</v>
          </cell>
          <cell r="P459">
            <v>0</v>
          </cell>
          <cell r="R459" t="str">
            <v>total amount</v>
          </cell>
          <cell r="S459">
            <v>0</v>
          </cell>
        </row>
        <row r="460">
          <cell r="A460" t="str">
            <v>total amount</v>
          </cell>
          <cell r="B460">
            <v>0</v>
          </cell>
          <cell r="C460">
            <v>90000</v>
          </cell>
          <cell r="D460">
            <v>0</v>
          </cell>
          <cell r="H460" t="str">
            <v>SUPERVISOR</v>
          </cell>
          <cell r="I460">
            <v>0</v>
          </cell>
          <cell r="J460">
            <v>3500</v>
          </cell>
          <cell r="K460">
            <v>0</v>
          </cell>
          <cell r="M460">
            <v>0</v>
          </cell>
          <cell r="N460">
            <v>0</v>
          </cell>
          <cell r="P460">
            <v>0</v>
          </cell>
          <cell r="R460">
            <v>0</v>
          </cell>
          <cell r="S460">
            <v>0</v>
          </cell>
        </row>
        <row r="461">
          <cell r="A461">
            <v>0</v>
          </cell>
          <cell r="B461">
            <v>0</v>
          </cell>
          <cell r="D461">
            <v>0</v>
          </cell>
          <cell r="H461" t="str">
            <v>W/A</v>
          </cell>
          <cell r="I461">
            <v>0</v>
          </cell>
          <cell r="J461">
            <v>2100</v>
          </cell>
          <cell r="K461">
            <v>0</v>
          </cell>
          <cell r="M461">
            <v>0</v>
          </cell>
          <cell r="N461">
            <v>0</v>
          </cell>
          <cell r="P461">
            <v>0</v>
          </cell>
          <cell r="R461">
            <v>0</v>
          </cell>
          <cell r="S461">
            <v>0</v>
          </cell>
        </row>
        <row r="462">
          <cell r="A462">
            <v>0</v>
          </cell>
          <cell r="B462">
            <v>0</v>
          </cell>
          <cell r="D462">
            <v>0</v>
          </cell>
          <cell r="H462" t="str">
            <v>CHARGE HAND</v>
          </cell>
          <cell r="I462">
            <v>0</v>
          </cell>
          <cell r="J462">
            <v>1800</v>
          </cell>
          <cell r="K462">
            <v>0</v>
          </cell>
          <cell r="M462">
            <v>0</v>
          </cell>
          <cell r="N462">
            <v>0</v>
          </cell>
          <cell r="P462">
            <v>0</v>
          </cell>
          <cell r="R462">
            <v>0</v>
          </cell>
          <cell r="S462">
            <v>0</v>
          </cell>
        </row>
        <row r="463">
          <cell r="A463">
            <v>0</v>
          </cell>
          <cell r="B463">
            <v>0</v>
          </cell>
          <cell r="D463">
            <v>0</v>
          </cell>
          <cell r="H463">
            <v>0</v>
          </cell>
          <cell r="I463">
            <v>0</v>
          </cell>
          <cell r="K463">
            <v>0</v>
          </cell>
          <cell r="M463">
            <v>0</v>
          </cell>
          <cell r="N463">
            <v>0</v>
          </cell>
          <cell r="P463">
            <v>0</v>
          </cell>
          <cell r="R463">
            <v>0</v>
          </cell>
          <cell r="S463">
            <v>0</v>
          </cell>
        </row>
        <row r="464">
          <cell r="A464">
            <v>0</v>
          </cell>
          <cell r="B464">
            <v>0</v>
          </cell>
          <cell r="D464">
            <v>0</v>
          </cell>
          <cell r="H464" t="str">
            <v>total amount</v>
          </cell>
          <cell r="I464">
            <v>0</v>
          </cell>
          <cell r="J464">
            <v>3150000</v>
          </cell>
          <cell r="K464">
            <v>0</v>
          </cell>
          <cell r="M464">
            <v>0</v>
          </cell>
          <cell r="N464">
            <v>0</v>
          </cell>
          <cell r="P464">
            <v>0</v>
          </cell>
          <cell r="R464">
            <v>0</v>
          </cell>
          <cell r="S464">
            <v>0</v>
          </cell>
        </row>
        <row r="465">
          <cell r="A465">
            <v>0</v>
          </cell>
          <cell r="B465">
            <v>0</v>
          </cell>
          <cell r="D465">
            <v>0</v>
          </cell>
          <cell r="H465">
            <v>0</v>
          </cell>
          <cell r="I465">
            <v>0</v>
          </cell>
          <cell r="K465">
            <v>0</v>
          </cell>
          <cell r="M465">
            <v>0</v>
          </cell>
          <cell r="N465">
            <v>0</v>
          </cell>
          <cell r="P465">
            <v>0</v>
          </cell>
          <cell r="R465">
            <v>0</v>
          </cell>
          <cell r="S465">
            <v>0</v>
          </cell>
        </row>
        <row r="466">
          <cell r="A466">
            <v>0</v>
          </cell>
          <cell r="B466">
            <v>0</v>
          </cell>
          <cell r="D466">
            <v>0</v>
          </cell>
          <cell r="H466">
            <v>0</v>
          </cell>
          <cell r="I466">
            <v>0</v>
          </cell>
          <cell r="K466">
            <v>0</v>
          </cell>
          <cell r="M466">
            <v>0</v>
          </cell>
          <cell r="N466">
            <v>0</v>
          </cell>
          <cell r="P466">
            <v>0</v>
          </cell>
          <cell r="R466">
            <v>0</v>
          </cell>
          <cell r="S466">
            <v>0</v>
          </cell>
        </row>
        <row r="467">
          <cell r="A467">
            <v>0</v>
          </cell>
          <cell r="B467">
            <v>0</v>
          </cell>
          <cell r="D467">
            <v>0</v>
          </cell>
          <cell r="H467">
            <v>0</v>
          </cell>
          <cell r="I467">
            <v>0</v>
          </cell>
          <cell r="K467">
            <v>0</v>
          </cell>
          <cell r="M467">
            <v>0</v>
          </cell>
          <cell r="N467">
            <v>0</v>
          </cell>
          <cell r="P467">
            <v>0</v>
          </cell>
          <cell r="R467">
            <v>0</v>
          </cell>
          <cell r="S467">
            <v>0</v>
          </cell>
        </row>
        <row r="468">
          <cell r="A468">
            <v>0</v>
          </cell>
          <cell r="B468">
            <v>0</v>
          </cell>
          <cell r="D468">
            <v>0</v>
          </cell>
          <cell r="H468">
            <v>0</v>
          </cell>
          <cell r="I468">
            <v>0</v>
          </cell>
          <cell r="K468">
            <v>0</v>
          </cell>
          <cell r="M468">
            <v>0</v>
          </cell>
          <cell r="N468">
            <v>0</v>
          </cell>
          <cell r="P468">
            <v>0</v>
          </cell>
          <cell r="R468">
            <v>0</v>
          </cell>
          <cell r="S468">
            <v>0</v>
          </cell>
        </row>
        <row r="469">
          <cell r="A469">
            <v>0</v>
          </cell>
          <cell r="B469">
            <v>0</v>
          </cell>
          <cell r="D469">
            <v>0</v>
          </cell>
          <cell r="H469">
            <v>0</v>
          </cell>
          <cell r="I469">
            <v>0</v>
          </cell>
          <cell r="K469">
            <v>0</v>
          </cell>
          <cell r="M469">
            <v>0</v>
          </cell>
          <cell r="N469">
            <v>0</v>
          </cell>
          <cell r="P469">
            <v>0</v>
          </cell>
          <cell r="R469">
            <v>0</v>
          </cell>
          <cell r="S469">
            <v>0</v>
          </cell>
        </row>
        <row r="470">
          <cell r="A470">
            <v>0</v>
          </cell>
          <cell r="B470">
            <v>0</v>
          </cell>
          <cell r="D470">
            <v>0</v>
          </cell>
          <cell r="H470">
            <v>0</v>
          </cell>
          <cell r="I470">
            <v>0</v>
          </cell>
          <cell r="K470">
            <v>0</v>
          </cell>
          <cell r="M470">
            <v>0</v>
          </cell>
          <cell r="N470">
            <v>0</v>
          </cell>
          <cell r="P470">
            <v>0</v>
          </cell>
          <cell r="R470">
            <v>0</v>
          </cell>
          <cell r="S470">
            <v>0</v>
          </cell>
        </row>
        <row r="471">
          <cell r="A471">
            <v>0</v>
          </cell>
          <cell r="B471">
            <v>0</v>
          </cell>
          <cell r="D471">
            <v>0</v>
          </cell>
          <cell r="H471">
            <v>0</v>
          </cell>
          <cell r="I471">
            <v>0</v>
          </cell>
          <cell r="K471">
            <v>0</v>
          </cell>
          <cell r="M471">
            <v>0</v>
          </cell>
          <cell r="N471">
            <v>0</v>
          </cell>
          <cell r="P471">
            <v>0</v>
          </cell>
          <cell r="R471">
            <v>0</v>
          </cell>
          <cell r="S471">
            <v>0</v>
          </cell>
        </row>
        <row r="472">
          <cell r="A472">
            <v>0</v>
          </cell>
          <cell r="B472">
            <v>0</v>
          </cell>
          <cell r="D472">
            <v>0</v>
          </cell>
          <cell r="H472">
            <v>0</v>
          </cell>
          <cell r="I472">
            <v>0</v>
          </cell>
          <cell r="K472">
            <v>0</v>
          </cell>
          <cell r="M472">
            <v>0</v>
          </cell>
          <cell r="N472">
            <v>0</v>
          </cell>
          <cell r="P472">
            <v>0</v>
          </cell>
          <cell r="R472">
            <v>0</v>
          </cell>
          <cell r="S472">
            <v>0</v>
          </cell>
        </row>
        <row r="473">
          <cell r="A473">
            <v>0</v>
          </cell>
          <cell r="B473">
            <v>0</v>
          </cell>
          <cell r="D473">
            <v>0</v>
          </cell>
          <cell r="H473">
            <v>0</v>
          </cell>
          <cell r="I473">
            <v>0</v>
          </cell>
          <cell r="K473">
            <v>0</v>
          </cell>
          <cell r="M473">
            <v>0</v>
          </cell>
          <cell r="N473">
            <v>0</v>
          </cell>
          <cell r="P473">
            <v>0</v>
          </cell>
          <cell r="R473">
            <v>0</v>
          </cell>
          <cell r="S473">
            <v>0</v>
          </cell>
        </row>
        <row r="474">
          <cell r="A474">
            <v>0</v>
          </cell>
          <cell r="B474">
            <v>0</v>
          </cell>
          <cell r="D474">
            <v>0</v>
          </cell>
          <cell r="H474">
            <v>0</v>
          </cell>
          <cell r="I474">
            <v>0</v>
          </cell>
          <cell r="K474">
            <v>0</v>
          </cell>
          <cell r="M474">
            <v>0</v>
          </cell>
          <cell r="N474">
            <v>0</v>
          </cell>
          <cell r="P474">
            <v>0</v>
          </cell>
          <cell r="R474">
            <v>0</v>
          </cell>
          <cell r="S474">
            <v>0</v>
          </cell>
        </row>
        <row r="475">
          <cell r="A475">
            <v>0</v>
          </cell>
          <cell r="B475">
            <v>0</v>
          </cell>
          <cell r="D475">
            <v>0</v>
          </cell>
          <cell r="H475">
            <v>0</v>
          </cell>
          <cell r="I475">
            <v>0</v>
          </cell>
          <cell r="K475">
            <v>0</v>
          </cell>
          <cell r="M475">
            <v>0</v>
          </cell>
          <cell r="N475">
            <v>0</v>
          </cell>
          <cell r="P475">
            <v>0</v>
          </cell>
          <cell r="R475">
            <v>0</v>
          </cell>
          <cell r="S475">
            <v>0</v>
          </cell>
        </row>
        <row r="476">
          <cell r="A476">
            <v>0</v>
          </cell>
          <cell r="B476">
            <v>0</v>
          </cell>
          <cell r="D476">
            <v>0</v>
          </cell>
          <cell r="H476">
            <v>0</v>
          </cell>
          <cell r="I476">
            <v>0</v>
          </cell>
          <cell r="K476">
            <v>0</v>
          </cell>
          <cell r="M476">
            <v>0</v>
          </cell>
          <cell r="N476">
            <v>0</v>
          </cell>
          <cell r="P476">
            <v>0</v>
          </cell>
          <cell r="R476">
            <v>0</v>
          </cell>
          <cell r="S476">
            <v>0</v>
          </cell>
        </row>
        <row r="477">
          <cell r="A477">
            <v>1</v>
          </cell>
          <cell r="B477">
            <v>0</v>
          </cell>
          <cell r="D477">
            <v>0</v>
          </cell>
          <cell r="H477">
            <v>1</v>
          </cell>
          <cell r="I477">
            <v>0</v>
          </cell>
          <cell r="K477">
            <v>0</v>
          </cell>
          <cell r="M477">
            <v>1</v>
          </cell>
          <cell r="N477">
            <v>0</v>
          </cell>
          <cell r="P477">
            <v>0</v>
          </cell>
          <cell r="R477">
            <v>1</v>
          </cell>
          <cell r="S477">
            <v>0</v>
          </cell>
        </row>
        <row r="478">
          <cell r="A478" t="str">
            <v>TOTAL</v>
          </cell>
          <cell r="D478">
            <v>0</v>
          </cell>
          <cell r="H478" t="str">
            <v>TOTAL</v>
          </cell>
          <cell r="K478">
            <v>0</v>
          </cell>
          <cell r="M478" t="str">
            <v>TOTAL</v>
          </cell>
          <cell r="P478">
            <v>0</v>
          </cell>
          <cell r="R478" t="str">
            <v>TOTAL</v>
          </cell>
          <cell r="S478">
            <v>0</v>
          </cell>
        </row>
      </sheetData>
      <sheetData sheetId="6" refreshError="1"/>
      <sheetData sheetId="7" refreshError="1"/>
      <sheetData sheetId="8">
        <row r="1">
          <cell r="A1" t="str">
            <v>Macro1</v>
          </cell>
        </row>
      </sheetData>
      <sheetData sheetId="9"/>
      <sheetData sheetId="10"/>
      <sheetData sheetId="11"/>
      <sheetData sheetId="12">
        <row r="437">
          <cell r="B437" t="str">
            <v>LOCAL STAFF</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437">
          <cell r="B437" t="str">
            <v>LOCAL STAFF</v>
          </cell>
        </row>
      </sheetData>
      <sheetData sheetId="186">
        <row r="437">
          <cell r="B437" t="str">
            <v>LOCAL STAFF</v>
          </cell>
        </row>
      </sheetData>
      <sheetData sheetId="187">
        <row r="437">
          <cell r="B437" t="str">
            <v>LOCAL STAFF</v>
          </cell>
        </row>
      </sheetData>
      <sheetData sheetId="188"/>
      <sheetData sheetId="189">
        <row r="437">
          <cell r="B437" t="str">
            <v>LOCAL STAFF</v>
          </cell>
        </row>
      </sheetData>
      <sheetData sheetId="190">
        <row r="437">
          <cell r="B437" t="str">
            <v>LOCAL STAFF</v>
          </cell>
        </row>
      </sheetData>
      <sheetData sheetId="191">
        <row r="437">
          <cell r="B437" t="str">
            <v>LOCAL STAFF</v>
          </cell>
        </row>
      </sheetData>
      <sheetData sheetId="192">
        <row r="437">
          <cell r="B437" t="str">
            <v>LOCAL STAFF</v>
          </cell>
        </row>
      </sheetData>
      <sheetData sheetId="193">
        <row r="437">
          <cell r="B437" t="str">
            <v>LOCAL STAFF</v>
          </cell>
        </row>
      </sheetData>
      <sheetData sheetId="194">
        <row r="437">
          <cell r="B437" t="str">
            <v>LOCAL STAFF</v>
          </cell>
        </row>
      </sheetData>
      <sheetData sheetId="195">
        <row r="437">
          <cell r="B437" t="str">
            <v>LOCAL STAFF</v>
          </cell>
        </row>
      </sheetData>
      <sheetData sheetId="196">
        <row r="437">
          <cell r="B437" t="str">
            <v>LOCAL STAFF</v>
          </cell>
        </row>
      </sheetData>
      <sheetData sheetId="197">
        <row r="437">
          <cell r="B437" t="str">
            <v>LOCAL STAFF</v>
          </cell>
        </row>
      </sheetData>
      <sheetData sheetId="198">
        <row r="437">
          <cell r="B437" t="str">
            <v>LOCAL STAFF</v>
          </cell>
        </row>
      </sheetData>
      <sheetData sheetId="199">
        <row r="437">
          <cell r="B437" t="str">
            <v>LOCAL STAFF</v>
          </cell>
        </row>
      </sheetData>
      <sheetData sheetId="200">
        <row r="437">
          <cell r="B437" t="str">
            <v>LOCAL STAFF</v>
          </cell>
        </row>
      </sheetData>
      <sheetData sheetId="201">
        <row r="437">
          <cell r="B437" t="str">
            <v>LOCAL STAFF</v>
          </cell>
        </row>
      </sheetData>
      <sheetData sheetId="202">
        <row r="437">
          <cell r="B437" t="str">
            <v>LOCAL STAFF</v>
          </cell>
        </row>
      </sheetData>
      <sheetData sheetId="203">
        <row r="437">
          <cell r="B437" t="str">
            <v>LOCAL STAFF</v>
          </cell>
        </row>
      </sheetData>
      <sheetData sheetId="204">
        <row r="437">
          <cell r="B437" t="str">
            <v>LOCAL STAFF</v>
          </cell>
        </row>
      </sheetData>
      <sheetData sheetId="205">
        <row r="437">
          <cell r="B437" t="str">
            <v>LOCAL STAFF</v>
          </cell>
        </row>
      </sheetData>
      <sheetData sheetId="206">
        <row r="437">
          <cell r="B437" t="str">
            <v>LOCAL STAFF</v>
          </cell>
        </row>
      </sheetData>
      <sheetData sheetId="207">
        <row r="437">
          <cell r="B437" t="str">
            <v>LOCAL STAFF</v>
          </cell>
        </row>
      </sheetData>
      <sheetData sheetId="208">
        <row r="437">
          <cell r="B437" t="str">
            <v>LOCAL STAFF</v>
          </cell>
        </row>
      </sheetData>
      <sheetData sheetId="209">
        <row r="437">
          <cell r="B437" t="str">
            <v>LOCAL STAFF</v>
          </cell>
        </row>
      </sheetData>
      <sheetData sheetId="210">
        <row r="437">
          <cell r="B437" t="str">
            <v>LOCAL STAFF</v>
          </cell>
        </row>
      </sheetData>
      <sheetData sheetId="211">
        <row r="437">
          <cell r="B437" t="str">
            <v>LOCAL STAFF</v>
          </cell>
        </row>
      </sheetData>
      <sheetData sheetId="212">
        <row r="437">
          <cell r="B437" t="str">
            <v>LOCAL STAFF</v>
          </cell>
        </row>
      </sheetData>
      <sheetData sheetId="213">
        <row r="437">
          <cell r="B437" t="str">
            <v>LOCAL STAFF</v>
          </cell>
        </row>
      </sheetData>
      <sheetData sheetId="214">
        <row r="437">
          <cell r="B437" t="str">
            <v>LOCAL STAFF</v>
          </cell>
        </row>
      </sheetData>
      <sheetData sheetId="215">
        <row r="437">
          <cell r="B437" t="str">
            <v>LOCAL STAFF</v>
          </cell>
        </row>
      </sheetData>
      <sheetData sheetId="216">
        <row r="437">
          <cell r="B437" t="str">
            <v>LOCAL STAFF</v>
          </cell>
        </row>
      </sheetData>
      <sheetData sheetId="217">
        <row r="437">
          <cell r="B437" t="str">
            <v>LOCAL STAFF</v>
          </cell>
        </row>
      </sheetData>
      <sheetData sheetId="218">
        <row r="437">
          <cell r="B437" t="str">
            <v>LOCAL STAFF</v>
          </cell>
        </row>
      </sheetData>
      <sheetData sheetId="219">
        <row r="437">
          <cell r="B437" t="str">
            <v>LOCAL STAFF</v>
          </cell>
        </row>
      </sheetData>
      <sheetData sheetId="220">
        <row r="437">
          <cell r="B437" t="str">
            <v>LOCAL STAFF</v>
          </cell>
        </row>
      </sheetData>
      <sheetData sheetId="221">
        <row r="437">
          <cell r="B437" t="str">
            <v>LOCAL STAFF</v>
          </cell>
        </row>
      </sheetData>
      <sheetData sheetId="222">
        <row r="437">
          <cell r="B437" t="str">
            <v>LOCAL STAFF</v>
          </cell>
        </row>
      </sheetData>
      <sheetData sheetId="223">
        <row r="437">
          <cell r="B437" t="str">
            <v>LOCAL STAFF</v>
          </cell>
        </row>
      </sheetData>
      <sheetData sheetId="224">
        <row r="437">
          <cell r="B437" t="str">
            <v>LOCAL STAFF</v>
          </cell>
        </row>
      </sheetData>
      <sheetData sheetId="225">
        <row r="437">
          <cell r="B437" t="str">
            <v>LOCAL STAFF</v>
          </cell>
        </row>
      </sheetData>
      <sheetData sheetId="226">
        <row r="437">
          <cell r="B437" t="str">
            <v>LOCAL STAFF</v>
          </cell>
        </row>
      </sheetData>
      <sheetData sheetId="227">
        <row r="437">
          <cell r="B437" t="str">
            <v>LOCAL STAFF</v>
          </cell>
        </row>
      </sheetData>
      <sheetData sheetId="228">
        <row r="437">
          <cell r="B437" t="str">
            <v>LOCAL STAFF</v>
          </cell>
        </row>
      </sheetData>
      <sheetData sheetId="229">
        <row r="437">
          <cell r="B437" t="str">
            <v>LOCAL STAFF</v>
          </cell>
        </row>
      </sheetData>
      <sheetData sheetId="230">
        <row r="437">
          <cell r="B437" t="str">
            <v>LOCAL STAFF</v>
          </cell>
        </row>
      </sheetData>
      <sheetData sheetId="231">
        <row r="437">
          <cell r="B437" t="str">
            <v>LOCAL STAFF</v>
          </cell>
        </row>
      </sheetData>
      <sheetData sheetId="232">
        <row r="437">
          <cell r="B437" t="str">
            <v>LOCAL STAFF</v>
          </cell>
        </row>
      </sheetData>
      <sheetData sheetId="233">
        <row r="437">
          <cell r="B437" t="str">
            <v>LOCAL STAFF</v>
          </cell>
        </row>
      </sheetData>
      <sheetData sheetId="234">
        <row r="437">
          <cell r="B437" t="str">
            <v>LOCAL STAFF</v>
          </cell>
        </row>
      </sheetData>
      <sheetData sheetId="235">
        <row r="437">
          <cell r="B437" t="str">
            <v>LOCAL STAFF</v>
          </cell>
        </row>
      </sheetData>
      <sheetData sheetId="236">
        <row r="437">
          <cell r="B437" t="str">
            <v>LOCAL STAFF</v>
          </cell>
        </row>
      </sheetData>
      <sheetData sheetId="237">
        <row r="437">
          <cell r="B437" t="str">
            <v>LOCAL STAFF</v>
          </cell>
        </row>
      </sheetData>
      <sheetData sheetId="238">
        <row r="437">
          <cell r="B437" t="str">
            <v>LOCAL STAFF</v>
          </cell>
        </row>
      </sheetData>
      <sheetData sheetId="239">
        <row r="437">
          <cell r="B437" t="str">
            <v>LOCAL STAFF</v>
          </cell>
        </row>
      </sheetData>
      <sheetData sheetId="240">
        <row r="437">
          <cell r="B437" t="str">
            <v>LOCAL STAFF</v>
          </cell>
        </row>
      </sheetData>
      <sheetData sheetId="241">
        <row r="437">
          <cell r="B437" t="str">
            <v>LOCAL STAFF</v>
          </cell>
        </row>
      </sheetData>
      <sheetData sheetId="242">
        <row r="437">
          <cell r="B437" t="str">
            <v>LOCAL STAFF</v>
          </cell>
        </row>
      </sheetData>
      <sheetData sheetId="243">
        <row r="437">
          <cell r="B437" t="str">
            <v>LOCAL STAFF</v>
          </cell>
        </row>
      </sheetData>
      <sheetData sheetId="244">
        <row r="437">
          <cell r="B437" t="str">
            <v>LOCAL STAFF</v>
          </cell>
        </row>
      </sheetData>
      <sheetData sheetId="245">
        <row r="437">
          <cell r="B437" t="str">
            <v>LOCAL STAFF</v>
          </cell>
        </row>
      </sheetData>
      <sheetData sheetId="246">
        <row r="437">
          <cell r="B437" t="str">
            <v>LOCAL STAFF</v>
          </cell>
        </row>
      </sheetData>
      <sheetData sheetId="247">
        <row r="437">
          <cell r="B437" t="str">
            <v>LOCAL STAFF</v>
          </cell>
        </row>
      </sheetData>
      <sheetData sheetId="248">
        <row r="437">
          <cell r="B437" t="str">
            <v>LOCAL STAFF</v>
          </cell>
        </row>
      </sheetData>
      <sheetData sheetId="249">
        <row r="437">
          <cell r="B437" t="str">
            <v>LOCAL STAFF</v>
          </cell>
        </row>
      </sheetData>
      <sheetData sheetId="250">
        <row r="437">
          <cell r="B437" t="str">
            <v>LOCAL STAFF</v>
          </cell>
        </row>
      </sheetData>
      <sheetData sheetId="251">
        <row r="437">
          <cell r="B437" t="str">
            <v>LOCAL STAFF</v>
          </cell>
        </row>
      </sheetData>
      <sheetData sheetId="252">
        <row r="437">
          <cell r="B437" t="str">
            <v>LOCAL STAFF</v>
          </cell>
        </row>
      </sheetData>
      <sheetData sheetId="253">
        <row r="437">
          <cell r="B437" t="str">
            <v>LOCAL STAFF</v>
          </cell>
        </row>
      </sheetData>
      <sheetData sheetId="254">
        <row r="437">
          <cell r="B437" t="str">
            <v>LOCAL STAFF</v>
          </cell>
        </row>
      </sheetData>
      <sheetData sheetId="255">
        <row r="437">
          <cell r="B437" t="str">
            <v>LOCAL STAFF</v>
          </cell>
        </row>
      </sheetData>
      <sheetData sheetId="256">
        <row r="437">
          <cell r="B437" t="str">
            <v>LOCAL STAFF</v>
          </cell>
        </row>
      </sheetData>
      <sheetData sheetId="257">
        <row r="437">
          <cell r="B437" t="str">
            <v>LOCAL STAFF</v>
          </cell>
        </row>
      </sheetData>
      <sheetData sheetId="258">
        <row r="437">
          <cell r="B437" t="str">
            <v>LOCAL STAFF</v>
          </cell>
        </row>
      </sheetData>
      <sheetData sheetId="259">
        <row r="437">
          <cell r="B437" t="str">
            <v>LOCAL STAFF</v>
          </cell>
        </row>
      </sheetData>
      <sheetData sheetId="260">
        <row r="437">
          <cell r="B437" t="str">
            <v>LOCAL STAFF</v>
          </cell>
        </row>
      </sheetData>
      <sheetData sheetId="261">
        <row r="437">
          <cell r="B437" t="str">
            <v>LOCAL STAFF</v>
          </cell>
        </row>
      </sheetData>
      <sheetData sheetId="262">
        <row r="437">
          <cell r="B437" t="str">
            <v>LOCAL STAFF</v>
          </cell>
        </row>
      </sheetData>
      <sheetData sheetId="263">
        <row r="437">
          <cell r="B437" t="str">
            <v>LOCAL STAFF</v>
          </cell>
        </row>
      </sheetData>
      <sheetData sheetId="264">
        <row r="437">
          <cell r="B437" t="str">
            <v>LOCAL STAFF</v>
          </cell>
        </row>
      </sheetData>
      <sheetData sheetId="265">
        <row r="437">
          <cell r="B437" t="str">
            <v>LOCAL STAFF</v>
          </cell>
        </row>
      </sheetData>
      <sheetData sheetId="266">
        <row r="437">
          <cell r="B437" t="str">
            <v>LOCAL STAFF</v>
          </cell>
        </row>
      </sheetData>
      <sheetData sheetId="267">
        <row r="437">
          <cell r="B437" t="str">
            <v>LOCAL STAFF</v>
          </cell>
        </row>
      </sheetData>
      <sheetData sheetId="268">
        <row r="437">
          <cell r="B437" t="str">
            <v>LOCAL STAFF</v>
          </cell>
        </row>
      </sheetData>
      <sheetData sheetId="269">
        <row r="437">
          <cell r="B437" t="str">
            <v>LOCAL STAFF</v>
          </cell>
        </row>
      </sheetData>
      <sheetData sheetId="270">
        <row r="437">
          <cell r="B437" t="str">
            <v>LOCAL STAFF</v>
          </cell>
        </row>
      </sheetData>
      <sheetData sheetId="271">
        <row r="437">
          <cell r="B437" t="str">
            <v>LOCAL STAFF</v>
          </cell>
        </row>
      </sheetData>
      <sheetData sheetId="272">
        <row r="437">
          <cell r="B437" t="str">
            <v>LOCAL STAFF</v>
          </cell>
        </row>
      </sheetData>
      <sheetData sheetId="273">
        <row r="437">
          <cell r="B437" t="str">
            <v>LOCAL STAFF</v>
          </cell>
        </row>
      </sheetData>
      <sheetData sheetId="274">
        <row r="437">
          <cell r="B437" t="str">
            <v>LOCAL STAFF</v>
          </cell>
        </row>
      </sheetData>
      <sheetData sheetId="275">
        <row r="437">
          <cell r="B437" t="str">
            <v>LOCAL STAFF</v>
          </cell>
        </row>
      </sheetData>
      <sheetData sheetId="276">
        <row r="437">
          <cell r="B437" t="str">
            <v>LOCAL STAFF</v>
          </cell>
        </row>
      </sheetData>
      <sheetData sheetId="277">
        <row r="437">
          <cell r="B437" t="str">
            <v>LOCAL STAFF</v>
          </cell>
        </row>
      </sheetData>
      <sheetData sheetId="278">
        <row r="437">
          <cell r="B437" t="str">
            <v>LOCAL STAFF</v>
          </cell>
        </row>
      </sheetData>
      <sheetData sheetId="279">
        <row r="437">
          <cell r="B437" t="str">
            <v>LOCAL STAFF</v>
          </cell>
        </row>
      </sheetData>
      <sheetData sheetId="280">
        <row r="437">
          <cell r="B437" t="str">
            <v>LOCAL STAFF</v>
          </cell>
        </row>
      </sheetData>
      <sheetData sheetId="281">
        <row r="437">
          <cell r="B437" t="str">
            <v>LOCAL STAFF</v>
          </cell>
        </row>
      </sheetData>
      <sheetData sheetId="282">
        <row r="437">
          <cell r="B437" t="str">
            <v>LOCAL STAFF</v>
          </cell>
        </row>
      </sheetData>
      <sheetData sheetId="283">
        <row r="437">
          <cell r="B437" t="str">
            <v>LOCAL STAFF</v>
          </cell>
        </row>
      </sheetData>
      <sheetData sheetId="284">
        <row r="437">
          <cell r="B437" t="str">
            <v>LOCAL STAFF</v>
          </cell>
        </row>
      </sheetData>
      <sheetData sheetId="285">
        <row r="437">
          <cell r="B437" t="str">
            <v>LOCAL STAFF</v>
          </cell>
        </row>
      </sheetData>
      <sheetData sheetId="286">
        <row r="437">
          <cell r="B437" t="str">
            <v>LOCAL STAFF</v>
          </cell>
        </row>
      </sheetData>
      <sheetData sheetId="287">
        <row r="437">
          <cell r="B437" t="str">
            <v>LOCAL STAFF</v>
          </cell>
        </row>
      </sheetData>
      <sheetData sheetId="288">
        <row r="437">
          <cell r="B437" t="str">
            <v>LOCAL STAFF</v>
          </cell>
        </row>
      </sheetData>
      <sheetData sheetId="289">
        <row r="437">
          <cell r="B437" t="str">
            <v>LOCAL STAFF</v>
          </cell>
        </row>
      </sheetData>
      <sheetData sheetId="290">
        <row r="437">
          <cell r="B437" t="str">
            <v>LOCAL STAFF</v>
          </cell>
        </row>
      </sheetData>
      <sheetData sheetId="291">
        <row r="437">
          <cell r="B437" t="str">
            <v>LOCAL STAFF</v>
          </cell>
        </row>
      </sheetData>
      <sheetData sheetId="292">
        <row r="437">
          <cell r="B437" t="str">
            <v>LOCAL STAFF</v>
          </cell>
        </row>
      </sheetData>
      <sheetData sheetId="293">
        <row r="437">
          <cell r="B437" t="str">
            <v>LOCAL STAFF</v>
          </cell>
        </row>
      </sheetData>
      <sheetData sheetId="294">
        <row r="437">
          <cell r="B437" t="str">
            <v>LOCAL STAFF</v>
          </cell>
        </row>
      </sheetData>
      <sheetData sheetId="295" refreshError="1"/>
      <sheetData sheetId="296" refreshError="1"/>
      <sheetData sheetId="297">
        <row r="437">
          <cell r="B437" t="str">
            <v>LOCAL STAFF</v>
          </cell>
        </row>
      </sheetData>
      <sheetData sheetId="298">
        <row r="437">
          <cell r="B437" t="str">
            <v>LOCAL STAFF</v>
          </cell>
        </row>
      </sheetData>
      <sheetData sheetId="299">
        <row r="437">
          <cell r="B437" t="str">
            <v>LOCAL STAFF</v>
          </cell>
        </row>
      </sheetData>
      <sheetData sheetId="300">
        <row r="437">
          <cell r="B437" t="str">
            <v>LOCAL STAFF</v>
          </cell>
        </row>
      </sheetData>
      <sheetData sheetId="301">
        <row r="437">
          <cell r="B437" t="str">
            <v>LOCAL STAFF</v>
          </cell>
        </row>
      </sheetData>
      <sheetData sheetId="302">
        <row r="437">
          <cell r="B437" t="str">
            <v>LOCAL STAFF</v>
          </cell>
        </row>
      </sheetData>
      <sheetData sheetId="303">
        <row r="437">
          <cell r="B437" t="str">
            <v>LOCAL STAFF</v>
          </cell>
        </row>
      </sheetData>
      <sheetData sheetId="304">
        <row r="437">
          <cell r="B437" t="str">
            <v>LOCAL STAFF</v>
          </cell>
        </row>
      </sheetData>
      <sheetData sheetId="305">
        <row r="437">
          <cell r="B437" t="str">
            <v>LOCAL STAFF</v>
          </cell>
        </row>
      </sheetData>
      <sheetData sheetId="306">
        <row r="437">
          <cell r="B437" t="str">
            <v>LOCAL STAFF</v>
          </cell>
        </row>
      </sheetData>
      <sheetData sheetId="307">
        <row r="437">
          <cell r="B437" t="str">
            <v>LOCAL STAFF</v>
          </cell>
        </row>
      </sheetData>
      <sheetData sheetId="308">
        <row r="437">
          <cell r="B437" t="str">
            <v>LOCAL STAFF</v>
          </cell>
        </row>
      </sheetData>
      <sheetData sheetId="309">
        <row r="437">
          <cell r="B437" t="str">
            <v>LOCAL STAFF</v>
          </cell>
        </row>
      </sheetData>
      <sheetData sheetId="310">
        <row r="437">
          <cell r="B437" t="str">
            <v>LOCAL STAFF</v>
          </cell>
        </row>
      </sheetData>
      <sheetData sheetId="311">
        <row r="437">
          <cell r="B437" t="str">
            <v>LOCAL STAFF</v>
          </cell>
        </row>
      </sheetData>
      <sheetData sheetId="312">
        <row r="437">
          <cell r="B437" t="str">
            <v>LOCAL STAFF</v>
          </cell>
        </row>
      </sheetData>
      <sheetData sheetId="313">
        <row r="437">
          <cell r="B437" t="str">
            <v>LOCAL STAFF</v>
          </cell>
        </row>
      </sheetData>
      <sheetData sheetId="314">
        <row r="437">
          <cell r="B437" t="str">
            <v>LOCAL STAFF</v>
          </cell>
        </row>
      </sheetData>
      <sheetData sheetId="315">
        <row r="437">
          <cell r="B437" t="str">
            <v>LOCAL STAFF</v>
          </cell>
        </row>
      </sheetData>
      <sheetData sheetId="316">
        <row r="437">
          <cell r="B437" t="str">
            <v>LOCAL STAFF</v>
          </cell>
        </row>
      </sheetData>
      <sheetData sheetId="317">
        <row r="437">
          <cell r="B437" t="str">
            <v>LOCAL STAFF</v>
          </cell>
        </row>
      </sheetData>
      <sheetData sheetId="318">
        <row r="437">
          <cell r="B437" t="str">
            <v>LOCAL STAFF</v>
          </cell>
        </row>
      </sheetData>
      <sheetData sheetId="319">
        <row r="437">
          <cell r="B437" t="str">
            <v>LOCAL STAFF</v>
          </cell>
        </row>
      </sheetData>
      <sheetData sheetId="320">
        <row r="437">
          <cell r="B437" t="str">
            <v>LOCAL STAFF</v>
          </cell>
        </row>
      </sheetData>
      <sheetData sheetId="321">
        <row r="437">
          <cell r="B437" t="str">
            <v>LOCAL STAFF</v>
          </cell>
        </row>
      </sheetData>
      <sheetData sheetId="322">
        <row r="437">
          <cell r="B437" t="str">
            <v>LOCAL STAFF</v>
          </cell>
        </row>
      </sheetData>
      <sheetData sheetId="323">
        <row r="437">
          <cell r="B437" t="str">
            <v>LOCAL STAFF</v>
          </cell>
        </row>
      </sheetData>
      <sheetData sheetId="324">
        <row r="437">
          <cell r="B437" t="str">
            <v>LOCAL STAFF</v>
          </cell>
        </row>
      </sheetData>
      <sheetData sheetId="325">
        <row r="437">
          <cell r="B437" t="str">
            <v>LOCAL STAFF</v>
          </cell>
        </row>
      </sheetData>
      <sheetData sheetId="326">
        <row r="437">
          <cell r="B437" t="str">
            <v>LOCAL STAFF</v>
          </cell>
        </row>
      </sheetData>
      <sheetData sheetId="327">
        <row r="437">
          <cell r="B437" t="str">
            <v>LOCAL STAFF</v>
          </cell>
        </row>
      </sheetData>
      <sheetData sheetId="328">
        <row r="437">
          <cell r="B437" t="str">
            <v>LOCAL STAFF</v>
          </cell>
        </row>
      </sheetData>
      <sheetData sheetId="329">
        <row r="437">
          <cell r="B437" t="str">
            <v>LOCAL STAFF</v>
          </cell>
        </row>
      </sheetData>
      <sheetData sheetId="330">
        <row r="437">
          <cell r="B437" t="str">
            <v>LOCAL STAFF</v>
          </cell>
        </row>
      </sheetData>
      <sheetData sheetId="331">
        <row r="437">
          <cell r="B437" t="str">
            <v>LOCAL STAFF</v>
          </cell>
        </row>
      </sheetData>
      <sheetData sheetId="332">
        <row r="437">
          <cell r="B437" t="str">
            <v>LOCAL STAFF</v>
          </cell>
        </row>
      </sheetData>
      <sheetData sheetId="333">
        <row r="437">
          <cell r="B437" t="str">
            <v>LOCAL STAFF</v>
          </cell>
        </row>
      </sheetData>
      <sheetData sheetId="334">
        <row r="437">
          <cell r="B437" t="str">
            <v>LOCAL STAFF</v>
          </cell>
        </row>
      </sheetData>
      <sheetData sheetId="335">
        <row r="437">
          <cell r="B437" t="str">
            <v>LOCAL STAFF</v>
          </cell>
        </row>
      </sheetData>
      <sheetData sheetId="336">
        <row r="437">
          <cell r="B437" t="str">
            <v>LOCAL STAFF</v>
          </cell>
        </row>
      </sheetData>
      <sheetData sheetId="337">
        <row r="437">
          <cell r="B437" t="str">
            <v>LOCAL STAFF</v>
          </cell>
        </row>
      </sheetData>
      <sheetData sheetId="338">
        <row r="437">
          <cell r="B437" t="str">
            <v>LOCAL STAFF</v>
          </cell>
        </row>
      </sheetData>
      <sheetData sheetId="339">
        <row r="437">
          <cell r="B437" t="str">
            <v>LOCAL STAFF</v>
          </cell>
        </row>
      </sheetData>
      <sheetData sheetId="340">
        <row r="437">
          <cell r="B437" t="str">
            <v>LOCAL STAFF</v>
          </cell>
        </row>
      </sheetData>
      <sheetData sheetId="341">
        <row r="437">
          <cell r="B437" t="str">
            <v>LOCAL STAFF</v>
          </cell>
        </row>
      </sheetData>
      <sheetData sheetId="342">
        <row r="437">
          <cell r="B437" t="str">
            <v>LOCAL STAFF</v>
          </cell>
        </row>
      </sheetData>
      <sheetData sheetId="343">
        <row r="437">
          <cell r="B437" t="str">
            <v>LOCAL STAFF</v>
          </cell>
        </row>
      </sheetData>
      <sheetData sheetId="344">
        <row r="437">
          <cell r="B437" t="str">
            <v>LOCAL STAFF</v>
          </cell>
        </row>
      </sheetData>
      <sheetData sheetId="345">
        <row r="437">
          <cell r="B437" t="str">
            <v>LOCAL STAFF</v>
          </cell>
        </row>
      </sheetData>
      <sheetData sheetId="346">
        <row r="437">
          <cell r="B437" t="str">
            <v>LOCAL STAFF</v>
          </cell>
        </row>
      </sheetData>
      <sheetData sheetId="347">
        <row r="437">
          <cell r="B437" t="str">
            <v>LOCAL STAFF</v>
          </cell>
        </row>
      </sheetData>
      <sheetData sheetId="348">
        <row r="437">
          <cell r="B437" t="str">
            <v>LOCAL STAFF</v>
          </cell>
        </row>
      </sheetData>
      <sheetData sheetId="349">
        <row r="437">
          <cell r="B437" t="str">
            <v>LOCAL STAFF</v>
          </cell>
        </row>
      </sheetData>
      <sheetData sheetId="350">
        <row r="437">
          <cell r="B437" t="str">
            <v>LOCAL STAFF</v>
          </cell>
        </row>
      </sheetData>
      <sheetData sheetId="351">
        <row r="437">
          <cell r="B437" t="str">
            <v>LOCAL STAFF</v>
          </cell>
        </row>
      </sheetData>
      <sheetData sheetId="352">
        <row r="437">
          <cell r="B437" t="str">
            <v>LOCAL STAFF</v>
          </cell>
        </row>
      </sheetData>
      <sheetData sheetId="353">
        <row r="437">
          <cell r="B437" t="str">
            <v>LOCAL STAFF</v>
          </cell>
        </row>
      </sheetData>
      <sheetData sheetId="354">
        <row r="437">
          <cell r="B437" t="str">
            <v>LOCAL STAFF</v>
          </cell>
        </row>
      </sheetData>
      <sheetData sheetId="355">
        <row r="437">
          <cell r="B437" t="str">
            <v>LOCAL STAFF</v>
          </cell>
        </row>
      </sheetData>
      <sheetData sheetId="356">
        <row r="437">
          <cell r="B437" t="str">
            <v>LOCAL STAFF</v>
          </cell>
        </row>
      </sheetData>
      <sheetData sheetId="357">
        <row r="437">
          <cell r="B437" t="str">
            <v>LOCAL STAFF</v>
          </cell>
        </row>
      </sheetData>
      <sheetData sheetId="358">
        <row r="437">
          <cell r="B437" t="str">
            <v>LOCAL STAFF</v>
          </cell>
        </row>
      </sheetData>
      <sheetData sheetId="359">
        <row r="437">
          <cell r="B437" t="str">
            <v>LOCAL STAFF</v>
          </cell>
        </row>
      </sheetData>
      <sheetData sheetId="360">
        <row r="437">
          <cell r="B437" t="str">
            <v>LOCAL STAFF</v>
          </cell>
        </row>
      </sheetData>
      <sheetData sheetId="361">
        <row r="437">
          <cell r="B437" t="str">
            <v>LOCAL STAFF</v>
          </cell>
        </row>
      </sheetData>
      <sheetData sheetId="362">
        <row r="437">
          <cell r="B437" t="str">
            <v>LOCAL STAFF</v>
          </cell>
        </row>
      </sheetData>
      <sheetData sheetId="363">
        <row r="437">
          <cell r="B437" t="str">
            <v>LOCAL STAFF</v>
          </cell>
        </row>
      </sheetData>
      <sheetData sheetId="364">
        <row r="437">
          <cell r="B437" t="str">
            <v>LOCAL STAFF</v>
          </cell>
        </row>
      </sheetData>
      <sheetData sheetId="365">
        <row r="437">
          <cell r="B437" t="str">
            <v>LOCAL STAFF</v>
          </cell>
        </row>
      </sheetData>
      <sheetData sheetId="366">
        <row r="437">
          <cell r="B437" t="str">
            <v>LOCAL STAFF</v>
          </cell>
        </row>
      </sheetData>
      <sheetData sheetId="367">
        <row r="437">
          <cell r="B437" t="str">
            <v>LOCAL STAFF</v>
          </cell>
        </row>
      </sheetData>
      <sheetData sheetId="368">
        <row r="437">
          <cell r="B437" t="str">
            <v>LOCAL STAFF</v>
          </cell>
        </row>
      </sheetData>
      <sheetData sheetId="369">
        <row r="437">
          <cell r="B437" t="str">
            <v>LOCAL STAFF</v>
          </cell>
        </row>
      </sheetData>
      <sheetData sheetId="370">
        <row r="437">
          <cell r="B437" t="str">
            <v>LOCAL STAFF</v>
          </cell>
        </row>
      </sheetData>
      <sheetData sheetId="371">
        <row r="437">
          <cell r="B437" t="str">
            <v>LOCAL STAFF</v>
          </cell>
        </row>
      </sheetData>
      <sheetData sheetId="372">
        <row r="437">
          <cell r="B437" t="str">
            <v>LOCAL STAFF</v>
          </cell>
        </row>
      </sheetData>
      <sheetData sheetId="373">
        <row r="437">
          <cell r="B437" t="str">
            <v>LOCAL STAFF</v>
          </cell>
        </row>
      </sheetData>
      <sheetData sheetId="374">
        <row r="437">
          <cell r="B437" t="str">
            <v>LOCAL STAFF</v>
          </cell>
        </row>
      </sheetData>
      <sheetData sheetId="375">
        <row r="437">
          <cell r="B437" t="str">
            <v>LOCAL STAFF</v>
          </cell>
        </row>
      </sheetData>
      <sheetData sheetId="376">
        <row r="437">
          <cell r="B437" t="str">
            <v>LOCAL STAFF</v>
          </cell>
        </row>
      </sheetData>
      <sheetData sheetId="377">
        <row r="437">
          <cell r="B437" t="str">
            <v>LOCAL STAFF</v>
          </cell>
        </row>
      </sheetData>
      <sheetData sheetId="378">
        <row r="437">
          <cell r="B437" t="str">
            <v>LOCAL STAFF</v>
          </cell>
        </row>
      </sheetData>
      <sheetData sheetId="379">
        <row r="437">
          <cell r="B437" t="str">
            <v>LOCAL STAFF</v>
          </cell>
        </row>
      </sheetData>
      <sheetData sheetId="380">
        <row r="437">
          <cell r="B437" t="str">
            <v>LOCAL STAFF</v>
          </cell>
        </row>
      </sheetData>
      <sheetData sheetId="381">
        <row r="437">
          <cell r="B437" t="str">
            <v>LOCAL STAFF</v>
          </cell>
        </row>
      </sheetData>
      <sheetData sheetId="382">
        <row r="437">
          <cell r="B437" t="str">
            <v>LOCAL STAFF</v>
          </cell>
        </row>
      </sheetData>
      <sheetData sheetId="383">
        <row r="437">
          <cell r="B437" t="str">
            <v>LOCAL STAFF</v>
          </cell>
        </row>
      </sheetData>
      <sheetData sheetId="384">
        <row r="437">
          <cell r="B437" t="str">
            <v>LOCAL STAFF</v>
          </cell>
        </row>
      </sheetData>
      <sheetData sheetId="385">
        <row r="437">
          <cell r="B437" t="str">
            <v>LOCAL STAFF</v>
          </cell>
        </row>
      </sheetData>
      <sheetData sheetId="386">
        <row r="437">
          <cell r="B437" t="str">
            <v>LOCAL STAFF</v>
          </cell>
        </row>
      </sheetData>
      <sheetData sheetId="387">
        <row r="437">
          <cell r="B437" t="str">
            <v>LOCAL STAFF</v>
          </cell>
        </row>
      </sheetData>
      <sheetData sheetId="388">
        <row r="437">
          <cell r="B437" t="str">
            <v>LOCAL STAFF</v>
          </cell>
        </row>
      </sheetData>
      <sheetData sheetId="389">
        <row r="437">
          <cell r="B437" t="str">
            <v>LOCAL STAFF</v>
          </cell>
        </row>
      </sheetData>
      <sheetData sheetId="390">
        <row r="437">
          <cell r="B437" t="str">
            <v>LOCAL STAFF</v>
          </cell>
        </row>
      </sheetData>
      <sheetData sheetId="391">
        <row r="437">
          <cell r="B437" t="str">
            <v>LOCAL STAFF</v>
          </cell>
        </row>
      </sheetData>
      <sheetData sheetId="392">
        <row r="437">
          <cell r="B437" t="str">
            <v>LOCAL STAFF</v>
          </cell>
        </row>
      </sheetData>
      <sheetData sheetId="393">
        <row r="437">
          <cell r="B437" t="str">
            <v>LOCAL STAFF</v>
          </cell>
        </row>
      </sheetData>
      <sheetData sheetId="394">
        <row r="437">
          <cell r="B437" t="str">
            <v>LOCAL STAFF</v>
          </cell>
        </row>
      </sheetData>
      <sheetData sheetId="395">
        <row r="437">
          <cell r="B437" t="str">
            <v>LOCAL STAFF</v>
          </cell>
        </row>
      </sheetData>
      <sheetData sheetId="396">
        <row r="437">
          <cell r="B437" t="str">
            <v>LOCAL STAFF</v>
          </cell>
        </row>
      </sheetData>
      <sheetData sheetId="397">
        <row r="437">
          <cell r="B437" t="str">
            <v>LOCAL STAFF</v>
          </cell>
        </row>
      </sheetData>
      <sheetData sheetId="398">
        <row r="437">
          <cell r="B437" t="str">
            <v>LOCAL STAFF</v>
          </cell>
        </row>
      </sheetData>
      <sheetData sheetId="399">
        <row r="437">
          <cell r="B437" t="str">
            <v>LOCAL STAFF</v>
          </cell>
        </row>
      </sheetData>
      <sheetData sheetId="400">
        <row r="437">
          <cell r="B437" t="str">
            <v>LOCAL STAFF</v>
          </cell>
        </row>
      </sheetData>
      <sheetData sheetId="401">
        <row r="437">
          <cell r="B437" t="str">
            <v>LOCAL STAFF</v>
          </cell>
        </row>
      </sheetData>
      <sheetData sheetId="402">
        <row r="437">
          <cell r="B437" t="str">
            <v>LOCAL STAFF</v>
          </cell>
        </row>
      </sheetData>
      <sheetData sheetId="403">
        <row r="437">
          <cell r="B437" t="str">
            <v>LOCAL STAFF</v>
          </cell>
        </row>
      </sheetData>
      <sheetData sheetId="404">
        <row r="437">
          <cell r="B437" t="str">
            <v>LOCAL STAFF</v>
          </cell>
        </row>
      </sheetData>
      <sheetData sheetId="405">
        <row r="437">
          <cell r="B437" t="str">
            <v>LOCAL STAFF</v>
          </cell>
        </row>
      </sheetData>
      <sheetData sheetId="406">
        <row r="437">
          <cell r="B437" t="str">
            <v>LOCAL STAFF</v>
          </cell>
        </row>
      </sheetData>
      <sheetData sheetId="407">
        <row r="437">
          <cell r="B437" t="str">
            <v>LOCAL STAFF</v>
          </cell>
        </row>
      </sheetData>
      <sheetData sheetId="408">
        <row r="437">
          <cell r="B437" t="str">
            <v>LOCAL STAFF</v>
          </cell>
        </row>
      </sheetData>
      <sheetData sheetId="409">
        <row r="437">
          <cell r="B437" t="str">
            <v>LOCAL STAFF</v>
          </cell>
        </row>
      </sheetData>
      <sheetData sheetId="410">
        <row r="437">
          <cell r="B437" t="str">
            <v>LOCAL STAFF</v>
          </cell>
        </row>
      </sheetData>
      <sheetData sheetId="411">
        <row r="437">
          <cell r="B437" t="str">
            <v>LOCAL STAFF</v>
          </cell>
        </row>
      </sheetData>
      <sheetData sheetId="412">
        <row r="437">
          <cell r="B437" t="str">
            <v>LOCAL STAFF</v>
          </cell>
        </row>
      </sheetData>
      <sheetData sheetId="413">
        <row r="437">
          <cell r="B437" t="str">
            <v>LOCAL STAFF</v>
          </cell>
        </row>
      </sheetData>
      <sheetData sheetId="414">
        <row r="437">
          <cell r="B437" t="str">
            <v>LOCAL STAFF</v>
          </cell>
        </row>
      </sheetData>
      <sheetData sheetId="415">
        <row r="437">
          <cell r="B437" t="str">
            <v>LOCAL STAFF</v>
          </cell>
        </row>
      </sheetData>
      <sheetData sheetId="416">
        <row r="437">
          <cell r="B437" t="str">
            <v>LOCAL STAFF</v>
          </cell>
        </row>
      </sheetData>
      <sheetData sheetId="417">
        <row r="437">
          <cell r="B437" t="str">
            <v>LOCAL STAFF</v>
          </cell>
        </row>
      </sheetData>
      <sheetData sheetId="418">
        <row r="437">
          <cell r="B437" t="str">
            <v>LOCAL STAFF</v>
          </cell>
        </row>
      </sheetData>
      <sheetData sheetId="419">
        <row r="437">
          <cell r="B437" t="str">
            <v>LOCAL STAFF</v>
          </cell>
        </row>
      </sheetData>
      <sheetData sheetId="420">
        <row r="437">
          <cell r="B437" t="str">
            <v>LOCAL STAFF</v>
          </cell>
        </row>
      </sheetData>
      <sheetData sheetId="421">
        <row r="437">
          <cell r="B437" t="str">
            <v>LOCAL STAFF</v>
          </cell>
        </row>
      </sheetData>
      <sheetData sheetId="422">
        <row r="437">
          <cell r="B437" t="str">
            <v>LOCAL STAFF</v>
          </cell>
        </row>
      </sheetData>
      <sheetData sheetId="423">
        <row r="437">
          <cell r="B437" t="str">
            <v>LOCAL STAFF</v>
          </cell>
        </row>
      </sheetData>
      <sheetData sheetId="424">
        <row r="437">
          <cell r="B437" t="str">
            <v>LOCAL STAFF</v>
          </cell>
        </row>
      </sheetData>
      <sheetData sheetId="425">
        <row r="437">
          <cell r="B437" t="str">
            <v>LOCAL STAFF</v>
          </cell>
        </row>
      </sheetData>
      <sheetData sheetId="426">
        <row r="437">
          <cell r="B437" t="str">
            <v>LOCAL STAFF</v>
          </cell>
        </row>
      </sheetData>
      <sheetData sheetId="427">
        <row r="437">
          <cell r="B437" t="str">
            <v>LOCAL STAFF</v>
          </cell>
        </row>
      </sheetData>
      <sheetData sheetId="428">
        <row r="437">
          <cell r="B437" t="str">
            <v>LOCAL STAFF</v>
          </cell>
        </row>
      </sheetData>
      <sheetData sheetId="429">
        <row r="437">
          <cell r="B437" t="str">
            <v>LOCAL STAFF</v>
          </cell>
        </row>
      </sheetData>
      <sheetData sheetId="430">
        <row r="437">
          <cell r="B437" t="str">
            <v>LOCAL STAFF</v>
          </cell>
        </row>
      </sheetData>
      <sheetData sheetId="431">
        <row r="437">
          <cell r="B437" t="str">
            <v>LOCAL STAFF</v>
          </cell>
        </row>
      </sheetData>
      <sheetData sheetId="432">
        <row r="437">
          <cell r="B437" t="str">
            <v>LOCAL STAFF</v>
          </cell>
        </row>
      </sheetData>
      <sheetData sheetId="433">
        <row r="437">
          <cell r="B437" t="str">
            <v>LOCAL STAFF</v>
          </cell>
        </row>
      </sheetData>
      <sheetData sheetId="434">
        <row r="437">
          <cell r="B437" t="str">
            <v>LOCAL STAFF</v>
          </cell>
        </row>
      </sheetData>
      <sheetData sheetId="435">
        <row r="437">
          <cell r="B437" t="str">
            <v>LOCAL STAFF</v>
          </cell>
        </row>
      </sheetData>
      <sheetData sheetId="436">
        <row r="437">
          <cell r="B437" t="str">
            <v>LOCAL STAFF</v>
          </cell>
        </row>
      </sheetData>
      <sheetData sheetId="437">
        <row r="437">
          <cell r="B437" t="str">
            <v>LOCAL STAFF</v>
          </cell>
        </row>
      </sheetData>
      <sheetData sheetId="438">
        <row r="437">
          <cell r="B437" t="str">
            <v>LOCAL STAFF</v>
          </cell>
        </row>
      </sheetData>
      <sheetData sheetId="439">
        <row r="437">
          <cell r="B437" t="str">
            <v>LOCAL STAFF</v>
          </cell>
        </row>
      </sheetData>
      <sheetData sheetId="440">
        <row r="437">
          <cell r="B437" t="str">
            <v>LOCAL STAFF</v>
          </cell>
        </row>
      </sheetData>
      <sheetData sheetId="441">
        <row r="437">
          <cell r="B437" t="str">
            <v>LOCAL STAFF</v>
          </cell>
        </row>
      </sheetData>
      <sheetData sheetId="442">
        <row r="437">
          <cell r="B437" t="str">
            <v>LOCAL STAFF</v>
          </cell>
        </row>
      </sheetData>
      <sheetData sheetId="443">
        <row r="437">
          <cell r="B437" t="str">
            <v>LOCAL STAFF</v>
          </cell>
        </row>
      </sheetData>
      <sheetData sheetId="444">
        <row r="437">
          <cell r="B437" t="str">
            <v>LOCAL STAFF</v>
          </cell>
        </row>
      </sheetData>
      <sheetData sheetId="445">
        <row r="437">
          <cell r="B437" t="str">
            <v>LOCAL STAFF</v>
          </cell>
        </row>
      </sheetData>
      <sheetData sheetId="446">
        <row r="437">
          <cell r="B437" t="str">
            <v>LOCAL STAFF</v>
          </cell>
        </row>
      </sheetData>
      <sheetData sheetId="447">
        <row r="437">
          <cell r="B437" t="str">
            <v>LOCAL STAFF</v>
          </cell>
        </row>
      </sheetData>
      <sheetData sheetId="448">
        <row r="437">
          <cell r="B437" t="str">
            <v>LOCAL STAFF</v>
          </cell>
        </row>
      </sheetData>
      <sheetData sheetId="449">
        <row r="437">
          <cell r="B437" t="str">
            <v>LOCAL STAFF</v>
          </cell>
        </row>
      </sheetData>
      <sheetData sheetId="450">
        <row r="437">
          <cell r="B437" t="str">
            <v>LOCAL STAFF</v>
          </cell>
        </row>
      </sheetData>
      <sheetData sheetId="451">
        <row r="437">
          <cell r="B437" t="str">
            <v>LOCAL STAFF</v>
          </cell>
        </row>
      </sheetData>
      <sheetData sheetId="452">
        <row r="437">
          <cell r="B437" t="str">
            <v>LOCAL STAFF</v>
          </cell>
        </row>
      </sheetData>
      <sheetData sheetId="453">
        <row r="437">
          <cell r="B437" t="str">
            <v>LOCAL STAFF</v>
          </cell>
        </row>
      </sheetData>
      <sheetData sheetId="454">
        <row r="437">
          <cell r="B437" t="str">
            <v>LOCAL STAFF</v>
          </cell>
        </row>
      </sheetData>
      <sheetData sheetId="455">
        <row r="437">
          <cell r="B437" t="str">
            <v>LOCAL STAFF</v>
          </cell>
        </row>
      </sheetData>
      <sheetData sheetId="456">
        <row r="437">
          <cell r="B437" t="str">
            <v>LOCAL STAFF</v>
          </cell>
        </row>
      </sheetData>
      <sheetData sheetId="457">
        <row r="437">
          <cell r="B437" t="str">
            <v>LOCAL STAFF</v>
          </cell>
        </row>
      </sheetData>
      <sheetData sheetId="458">
        <row r="437">
          <cell r="B437" t="str">
            <v>LOCAL STAFF</v>
          </cell>
        </row>
      </sheetData>
      <sheetData sheetId="459">
        <row r="437">
          <cell r="B437" t="str">
            <v>LOCAL STAFF</v>
          </cell>
        </row>
      </sheetData>
      <sheetData sheetId="460">
        <row r="437">
          <cell r="B437" t="str">
            <v>LOCAL STAFF</v>
          </cell>
        </row>
      </sheetData>
      <sheetData sheetId="461">
        <row r="437">
          <cell r="B437" t="str">
            <v>LOCAL STAFF</v>
          </cell>
        </row>
      </sheetData>
      <sheetData sheetId="462">
        <row r="437">
          <cell r="B437" t="str">
            <v>LOCAL STAFF</v>
          </cell>
        </row>
      </sheetData>
      <sheetData sheetId="463">
        <row r="437">
          <cell r="B437" t="str">
            <v>LOCAL STAFF</v>
          </cell>
        </row>
      </sheetData>
      <sheetData sheetId="464">
        <row r="437">
          <cell r="B437" t="str">
            <v>LOCAL STAFF</v>
          </cell>
        </row>
      </sheetData>
      <sheetData sheetId="465">
        <row r="437">
          <cell r="B437" t="str">
            <v>LOCAL STAFF</v>
          </cell>
        </row>
      </sheetData>
      <sheetData sheetId="466">
        <row r="437">
          <cell r="B437" t="str">
            <v>LOCAL STAFF</v>
          </cell>
        </row>
      </sheetData>
      <sheetData sheetId="467">
        <row r="437">
          <cell r="B437" t="str">
            <v>LOCAL STAFF</v>
          </cell>
        </row>
      </sheetData>
      <sheetData sheetId="468">
        <row r="437">
          <cell r="B437" t="str">
            <v>LOCAL STAFF</v>
          </cell>
        </row>
      </sheetData>
      <sheetData sheetId="469">
        <row r="437">
          <cell r="B437" t="str">
            <v>LOCAL STAFF</v>
          </cell>
        </row>
      </sheetData>
      <sheetData sheetId="470">
        <row r="437">
          <cell r="B437" t="str">
            <v>LOCAL STAFF</v>
          </cell>
        </row>
      </sheetData>
      <sheetData sheetId="471">
        <row r="437">
          <cell r="B437" t="str">
            <v>LOCAL STAFF</v>
          </cell>
        </row>
      </sheetData>
      <sheetData sheetId="472">
        <row r="437">
          <cell r="B437" t="str">
            <v>LOCAL STAFF</v>
          </cell>
        </row>
      </sheetData>
      <sheetData sheetId="473">
        <row r="437">
          <cell r="B437" t="str">
            <v>LOCAL STAFF</v>
          </cell>
        </row>
      </sheetData>
      <sheetData sheetId="474">
        <row r="437">
          <cell r="B437" t="str">
            <v>LOCAL STAFF</v>
          </cell>
        </row>
      </sheetData>
      <sheetData sheetId="475">
        <row r="437">
          <cell r="B437" t="str">
            <v>LOCAL STAFF</v>
          </cell>
        </row>
      </sheetData>
      <sheetData sheetId="476">
        <row r="437">
          <cell r="B437" t="str">
            <v>LOCAL STAFF</v>
          </cell>
        </row>
      </sheetData>
      <sheetData sheetId="477">
        <row r="437">
          <cell r="B437" t="str">
            <v>LOCAL STAFF</v>
          </cell>
        </row>
      </sheetData>
      <sheetData sheetId="478">
        <row r="437">
          <cell r="B437" t="str">
            <v>LOCAL STAFF</v>
          </cell>
        </row>
      </sheetData>
      <sheetData sheetId="479">
        <row r="437">
          <cell r="B437" t="str">
            <v>LOCAL STAFF</v>
          </cell>
        </row>
      </sheetData>
      <sheetData sheetId="480">
        <row r="437">
          <cell r="B437" t="str">
            <v>LOCAL STAFF</v>
          </cell>
        </row>
      </sheetData>
      <sheetData sheetId="481">
        <row r="437">
          <cell r="B437" t="str">
            <v>LOCAL STAFF</v>
          </cell>
        </row>
      </sheetData>
      <sheetData sheetId="482">
        <row r="437">
          <cell r="B437" t="str">
            <v>LOCAL STAFF</v>
          </cell>
        </row>
      </sheetData>
      <sheetData sheetId="483">
        <row r="437">
          <cell r="B437" t="str">
            <v>LOCAL STAFF</v>
          </cell>
        </row>
      </sheetData>
      <sheetData sheetId="484">
        <row r="437">
          <cell r="B437" t="str">
            <v>LOCAL STAFF</v>
          </cell>
        </row>
      </sheetData>
      <sheetData sheetId="485">
        <row r="437">
          <cell r="B437" t="str">
            <v>LOCAL STAFF</v>
          </cell>
        </row>
      </sheetData>
      <sheetData sheetId="486">
        <row r="437">
          <cell r="B437" t="str">
            <v>LOCAL STAFF</v>
          </cell>
        </row>
      </sheetData>
      <sheetData sheetId="487">
        <row r="437">
          <cell r="B437" t="str">
            <v>LOCAL STAFF</v>
          </cell>
        </row>
      </sheetData>
      <sheetData sheetId="488">
        <row r="437">
          <cell r="B437" t="str">
            <v>LOCAL STAFF</v>
          </cell>
        </row>
      </sheetData>
      <sheetData sheetId="489">
        <row r="437">
          <cell r="B437" t="str">
            <v>LOCAL STAFF</v>
          </cell>
        </row>
      </sheetData>
      <sheetData sheetId="490">
        <row r="437">
          <cell r="B437" t="str">
            <v>LOCAL STAFF</v>
          </cell>
        </row>
      </sheetData>
      <sheetData sheetId="491">
        <row r="437">
          <cell r="B437" t="str">
            <v>LOCAL STAFF</v>
          </cell>
        </row>
      </sheetData>
      <sheetData sheetId="492">
        <row r="437">
          <cell r="B437" t="str">
            <v>LOCAL STAFF</v>
          </cell>
        </row>
      </sheetData>
      <sheetData sheetId="493">
        <row r="437">
          <cell r="B437" t="str">
            <v>LOCAL STAFF</v>
          </cell>
        </row>
      </sheetData>
      <sheetData sheetId="494">
        <row r="437">
          <cell r="B437" t="str">
            <v>LOCAL STAFF</v>
          </cell>
        </row>
      </sheetData>
      <sheetData sheetId="495">
        <row r="437">
          <cell r="B437" t="str">
            <v>LOCAL STAFF</v>
          </cell>
        </row>
      </sheetData>
      <sheetData sheetId="496">
        <row r="437">
          <cell r="B437" t="str">
            <v>LOCAL STAFF</v>
          </cell>
        </row>
      </sheetData>
      <sheetData sheetId="497">
        <row r="437">
          <cell r="B437" t="str">
            <v>LOCAL STAFF</v>
          </cell>
        </row>
      </sheetData>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ow r="437">
          <cell r="B437" t="str">
            <v>LOCAL STAFF</v>
          </cell>
        </row>
      </sheetData>
      <sheetData sheetId="513" refreshError="1"/>
      <sheetData sheetId="514" refreshError="1"/>
      <sheetData sheetId="515" refreshError="1"/>
      <sheetData sheetId="516" refreshError="1"/>
      <sheetData sheetId="517">
        <row r="437">
          <cell r="B437" t="str">
            <v>LOCAL STAFF</v>
          </cell>
        </row>
      </sheetData>
      <sheetData sheetId="518">
        <row r="437">
          <cell r="B437" t="str">
            <v>LOCAL STAFF</v>
          </cell>
        </row>
      </sheetData>
      <sheetData sheetId="519">
        <row r="437">
          <cell r="B437" t="str">
            <v>LOCAL STAFF</v>
          </cell>
        </row>
      </sheetData>
      <sheetData sheetId="520">
        <row r="437">
          <cell r="B437" t="str">
            <v>LOCAL STAFF</v>
          </cell>
        </row>
      </sheetData>
      <sheetData sheetId="521">
        <row r="437">
          <cell r="B437" t="str">
            <v>LOCAL STAFF</v>
          </cell>
        </row>
      </sheetData>
      <sheetData sheetId="522">
        <row r="437">
          <cell r="B437" t="str">
            <v>LOCAL STAFF</v>
          </cell>
        </row>
      </sheetData>
      <sheetData sheetId="523">
        <row r="437">
          <cell r="B437" t="str">
            <v>LOCAL STAFF</v>
          </cell>
        </row>
      </sheetData>
      <sheetData sheetId="524">
        <row r="437">
          <cell r="B437" t="str">
            <v>LOCAL STAFF</v>
          </cell>
        </row>
      </sheetData>
      <sheetData sheetId="525">
        <row r="437">
          <cell r="B437" t="str">
            <v>LOCAL STAFF</v>
          </cell>
        </row>
      </sheetData>
      <sheetData sheetId="526">
        <row r="437">
          <cell r="B437" t="str">
            <v>LOCAL STAFF</v>
          </cell>
        </row>
      </sheetData>
      <sheetData sheetId="527">
        <row r="437">
          <cell r="B437" t="str">
            <v>LOCAL STAFF</v>
          </cell>
        </row>
      </sheetData>
      <sheetData sheetId="528">
        <row r="437">
          <cell r="B437" t="str">
            <v>LOCAL STAFF</v>
          </cell>
        </row>
      </sheetData>
      <sheetData sheetId="529">
        <row r="437">
          <cell r="B437" t="str">
            <v>LOCAL STAFF</v>
          </cell>
        </row>
      </sheetData>
      <sheetData sheetId="530">
        <row r="437">
          <cell r="B437" t="str">
            <v>LOCAL STAFF</v>
          </cell>
        </row>
      </sheetData>
      <sheetData sheetId="531">
        <row r="437">
          <cell r="B437" t="str">
            <v>LOCAL STAFF</v>
          </cell>
        </row>
      </sheetData>
      <sheetData sheetId="532">
        <row r="437">
          <cell r="B437" t="str">
            <v>LOCAL STAFF</v>
          </cell>
        </row>
      </sheetData>
      <sheetData sheetId="533">
        <row r="437">
          <cell r="B437" t="str">
            <v>LOCAL STAFF</v>
          </cell>
        </row>
      </sheetData>
      <sheetData sheetId="534">
        <row r="437">
          <cell r="B437" t="str">
            <v>LOCAL STAFF</v>
          </cell>
        </row>
      </sheetData>
      <sheetData sheetId="535">
        <row r="437">
          <cell r="B437" t="str">
            <v>LOCAL STAFF</v>
          </cell>
        </row>
      </sheetData>
      <sheetData sheetId="536">
        <row r="437">
          <cell r="B437" t="str">
            <v>LOCAL STAFF</v>
          </cell>
        </row>
      </sheetData>
      <sheetData sheetId="537">
        <row r="437">
          <cell r="B437" t="str">
            <v>LOCAL STAFF</v>
          </cell>
        </row>
      </sheetData>
      <sheetData sheetId="538">
        <row r="437">
          <cell r="B437" t="str">
            <v>LOCAL STAFF</v>
          </cell>
        </row>
      </sheetData>
      <sheetData sheetId="539">
        <row r="437">
          <cell r="B437" t="str">
            <v>LOCAL STAFF</v>
          </cell>
        </row>
      </sheetData>
      <sheetData sheetId="540">
        <row r="437">
          <cell r="B437" t="str">
            <v>LOCAL STAFF</v>
          </cell>
        </row>
      </sheetData>
      <sheetData sheetId="541">
        <row r="437">
          <cell r="B437" t="str">
            <v>LOCAL STAFF</v>
          </cell>
        </row>
      </sheetData>
      <sheetData sheetId="542">
        <row r="437">
          <cell r="B437" t="str">
            <v>LOCAL STAFF</v>
          </cell>
        </row>
      </sheetData>
      <sheetData sheetId="543">
        <row r="437">
          <cell r="B437" t="str">
            <v>LOCAL STAFF</v>
          </cell>
        </row>
      </sheetData>
      <sheetData sheetId="544">
        <row r="437">
          <cell r="B437" t="str">
            <v>LOCAL STAFF</v>
          </cell>
        </row>
      </sheetData>
      <sheetData sheetId="545">
        <row r="437">
          <cell r="B437" t="str">
            <v>LOCAL STAFF</v>
          </cell>
        </row>
      </sheetData>
      <sheetData sheetId="546">
        <row r="437">
          <cell r="B437" t="str">
            <v>LOCAL STAFF</v>
          </cell>
        </row>
      </sheetData>
      <sheetData sheetId="547">
        <row r="437">
          <cell r="B437" t="str">
            <v>LOCAL STAFF</v>
          </cell>
        </row>
      </sheetData>
      <sheetData sheetId="548">
        <row r="437">
          <cell r="B437" t="str">
            <v>LOCAL STAFF</v>
          </cell>
        </row>
      </sheetData>
      <sheetData sheetId="549">
        <row r="437">
          <cell r="B437" t="str">
            <v>LOCAL STAFF</v>
          </cell>
        </row>
      </sheetData>
      <sheetData sheetId="550">
        <row r="437">
          <cell r="B437" t="str">
            <v>LOCAL STAFF</v>
          </cell>
        </row>
      </sheetData>
      <sheetData sheetId="551">
        <row r="437">
          <cell r="B437" t="str">
            <v>LOCAL STAFF</v>
          </cell>
        </row>
      </sheetData>
      <sheetData sheetId="552">
        <row r="437">
          <cell r="B437" t="str">
            <v>LOCAL STAFF</v>
          </cell>
        </row>
      </sheetData>
      <sheetData sheetId="553">
        <row r="437">
          <cell r="B437" t="str">
            <v>LOCAL STAFF</v>
          </cell>
        </row>
      </sheetData>
      <sheetData sheetId="554">
        <row r="437">
          <cell r="B437" t="str">
            <v>LOCAL STAFF</v>
          </cell>
        </row>
      </sheetData>
      <sheetData sheetId="555">
        <row r="437">
          <cell r="B437" t="str">
            <v>LOCAL STAFF</v>
          </cell>
        </row>
      </sheetData>
      <sheetData sheetId="556">
        <row r="437">
          <cell r="B437" t="str">
            <v>LOCAL STAFF</v>
          </cell>
        </row>
      </sheetData>
      <sheetData sheetId="557">
        <row r="437">
          <cell r="B437" t="str">
            <v>LOCAL STAFF</v>
          </cell>
        </row>
      </sheetData>
      <sheetData sheetId="558">
        <row r="437">
          <cell r="B437" t="str">
            <v>LOCAL STAFF</v>
          </cell>
        </row>
      </sheetData>
      <sheetData sheetId="559">
        <row r="437">
          <cell r="B437" t="str">
            <v>LOCAL STAFF</v>
          </cell>
        </row>
      </sheetData>
      <sheetData sheetId="560">
        <row r="437">
          <cell r="B437" t="str">
            <v>LOCAL STAFF</v>
          </cell>
        </row>
      </sheetData>
      <sheetData sheetId="561">
        <row r="437">
          <cell r="B437" t="str">
            <v>LOCAL STAFF</v>
          </cell>
        </row>
      </sheetData>
      <sheetData sheetId="562">
        <row r="437">
          <cell r="B437" t="str">
            <v>LOCAL STAFF</v>
          </cell>
        </row>
      </sheetData>
      <sheetData sheetId="563">
        <row r="437">
          <cell r="B437" t="str">
            <v>LOCAL STAFF</v>
          </cell>
        </row>
      </sheetData>
      <sheetData sheetId="564">
        <row r="437">
          <cell r="B437" t="str">
            <v>LOCAL STAFF</v>
          </cell>
        </row>
      </sheetData>
      <sheetData sheetId="565">
        <row r="437">
          <cell r="B437" t="str">
            <v>LOCAL STAFF</v>
          </cell>
        </row>
      </sheetData>
      <sheetData sheetId="566">
        <row r="437">
          <cell r="B437" t="str">
            <v>LOCAL STAFF</v>
          </cell>
        </row>
      </sheetData>
      <sheetData sheetId="567">
        <row r="437">
          <cell r="B437" t="str">
            <v>LOCAL STAFF</v>
          </cell>
        </row>
      </sheetData>
      <sheetData sheetId="568">
        <row r="437">
          <cell r="B437" t="str">
            <v>LOCAL STAFF</v>
          </cell>
        </row>
      </sheetData>
      <sheetData sheetId="569">
        <row r="437">
          <cell r="B437" t="str">
            <v>LOCAL STAFF</v>
          </cell>
        </row>
      </sheetData>
      <sheetData sheetId="570">
        <row r="437">
          <cell r="B437" t="str">
            <v>LOCAL STAFF</v>
          </cell>
        </row>
      </sheetData>
      <sheetData sheetId="571">
        <row r="437">
          <cell r="B437" t="str">
            <v>LOCAL STAFF</v>
          </cell>
        </row>
      </sheetData>
      <sheetData sheetId="572">
        <row r="437">
          <cell r="B437" t="str">
            <v>LOCAL STAFF</v>
          </cell>
        </row>
      </sheetData>
      <sheetData sheetId="573">
        <row r="437">
          <cell r="B437" t="str">
            <v>LOCAL STAFF</v>
          </cell>
        </row>
      </sheetData>
      <sheetData sheetId="574">
        <row r="437">
          <cell r="B437" t="str">
            <v>LOCAL STAFF</v>
          </cell>
        </row>
      </sheetData>
      <sheetData sheetId="575">
        <row r="437">
          <cell r="B437" t="str">
            <v>LOCAL STAFF</v>
          </cell>
        </row>
      </sheetData>
      <sheetData sheetId="576">
        <row r="437">
          <cell r="B437" t="str">
            <v>LOCAL STAFF</v>
          </cell>
        </row>
      </sheetData>
      <sheetData sheetId="577">
        <row r="437">
          <cell r="B437" t="str">
            <v>LOCAL STAFF</v>
          </cell>
        </row>
      </sheetData>
      <sheetData sheetId="578">
        <row r="437">
          <cell r="B437" t="str">
            <v>LOCAL STAFF</v>
          </cell>
        </row>
      </sheetData>
      <sheetData sheetId="579">
        <row r="437">
          <cell r="B437" t="str">
            <v>LOCAL STAFF</v>
          </cell>
        </row>
      </sheetData>
      <sheetData sheetId="580">
        <row r="437">
          <cell r="B437" t="str">
            <v>LOCAL STAFF</v>
          </cell>
        </row>
      </sheetData>
      <sheetData sheetId="581">
        <row r="437">
          <cell r="B437" t="str">
            <v>LOCAL STAFF</v>
          </cell>
        </row>
      </sheetData>
      <sheetData sheetId="582">
        <row r="437">
          <cell r="B437" t="str">
            <v>LOCAL STAFF</v>
          </cell>
        </row>
      </sheetData>
      <sheetData sheetId="583">
        <row r="437">
          <cell r="B437" t="str">
            <v>LOCAL STAFF</v>
          </cell>
        </row>
      </sheetData>
      <sheetData sheetId="584">
        <row r="437">
          <cell r="B437" t="str">
            <v>LOCAL STAFF</v>
          </cell>
        </row>
      </sheetData>
      <sheetData sheetId="585">
        <row r="437">
          <cell r="B437" t="str">
            <v>LOCAL STAFF</v>
          </cell>
        </row>
      </sheetData>
      <sheetData sheetId="586">
        <row r="437">
          <cell r="B437" t="str">
            <v>LOCAL STAFF</v>
          </cell>
        </row>
      </sheetData>
      <sheetData sheetId="587">
        <row r="437">
          <cell r="B437" t="str">
            <v>LOCAL STAFF</v>
          </cell>
        </row>
      </sheetData>
      <sheetData sheetId="588">
        <row r="437">
          <cell r="B437" t="str">
            <v>LOCAL STAFF</v>
          </cell>
        </row>
      </sheetData>
      <sheetData sheetId="589">
        <row r="437">
          <cell r="B437" t="str">
            <v>LOCAL STAFF</v>
          </cell>
        </row>
      </sheetData>
      <sheetData sheetId="590">
        <row r="437">
          <cell r="B437" t="str">
            <v>LOCAL STAFF</v>
          </cell>
        </row>
      </sheetData>
      <sheetData sheetId="591">
        <row r="437">
          <cell r="B437" t="str">
            <v>LOCAL STAFF</v>
          </cell>
        </row>
      </sheetData>
      <sheetData sheetId="592">
        <row r="437">
          <cell r="B437" t="str">
            <v>LOCAL STAFF</v>
          </cell>
        </row>
      </sheetData>
      <sheetData sheetId="593">
        <row r="437">
          <cell r="B437" t="str">
            <v>LOCAL STAFF</v>
          </cell>
        </row>
      </sheetData>
      <sheetData sheetId="594">
        <row r="437">
          <cell r="B437" t="str">
            <v>LOCAL STAFF</v>
          </cell>
        </row>
      </sheetData>
      <sheetData sheetId="595">
        <row r="437">
          <cell r="B437" t="str">
            <v>LOCAL STAFF</v>
          </cell>
        </row>
      </sheetData>
      <sheetData sheetId="596">
        <row r="437">
          <cell r="B437" t="str">
            <v>LOCAL STAFF</v>
          </cell>
        </row>
      </sheetData>
      <sheetData sheetId="597">
        <row r="437">
          <cell r="B437" t="str">
            <v>LOCAL STAFF</v>
          </cell>
        </row>
      </sheetData>
      <sheetData sheetId="598">
        <row r="437">
          <cell r="B437" t="str">
            <v>LOCAL STAFF</v>
          </cell>
        </row>
      </sheetData>
      <sheetData sheetId="599">
        <row r="437">
          <cell r="B437" t="str">
            <v>LOCAL STAFF</v>
          </cell>
        </row>
      </sheetData>
      <sheetData sheetId="600">
        <row r="437">
          <cell r="B437" t="str">
            <v>LOCAL STAFF</v>
          </cell>
        </row>
      </sheetData>
      <sheetData sheetId="601">
        <row r="437">
          <cell r="B437" t="str">
            <v>LOCAL STAFF</v>
          </cell>
        </row>
      </sheetData>
      <sheetData sheetId="602">
        <row r="437">
          <cell r="B437" t="str">
            <v>LOCAL STAFF</v>
          </cell>
        </row>
      </sheetData>
      <sheetData sheetId="603">
        <row r="437">
          <cell r="B437" t="str">
            <v>LOCAL STAFF</v>
          </cell>
        </row>
      </sheetData>
      <sheetData sheetId="604">
        <row r="437">
          <cell r="B437" t="str">
            <v>LOCAL STAFF</v>
          </cell>
        </row>
      </sheetData>
      <sheetData sheetId="605">
        <row r="437">
          <cell r="B437" t="str">
            <v>LOCAL STAFF</v>
          </cell>
        </row>
      </sheetData>
      <sheetData sheetId="606">
        <row r="437">
          <cell r="B437" t="str">
            <v>LOCAL STAFF</v>
          </cell>
        </row>
      </sheetData>
      <sheetData sheetId="607">
        <row r="437">
          <cell r="B437" t="str">
            <v>LOCAL STAFF</v>
          </cell>
        </row>
      </sheetData>
      <sheetData sheetId="608">
        <row r="437">
          <cell r="B437" t="str">
            <v>LOCAL STAFF</v>
          </cell>
        </row>
      </sheetData>
      <sheetData sheetId="609">
        <row r="437">
          <cell r="B437" t="str">
            <v>LOCAL STAFF</v>
          </cell>
        </row>
      </sheetData>
      <sheetData sheetId="610">
        <row r="437">
          <cell r="B437" t="str">
            <v>LOCAL STAFF</v>
          </cell>
        </row>
      </sheetData>
      <sheetData sheetId="611">
        <row r="437">
          <cell r="B437" t="str">
            <v>LOCAL STAFF</v>
          </cell>
        </row>
      </sheetData>
      <sheetData sheetId="612">
        <row r="437">
          <cell r="B437" t="str">
            <v>LOCAL STAFF</v>
          </cell>
        </row>
      </sheetData>
      <sheetData sheetId="613">
        <row r="437">
          <cell r="B437" t="str">
            <v>LOCAL STAFF</v>
          </cell>
        </row>
      </sheetData>
      <sheetData sheetId="614">
        <row r="437">
          <cell r="B437" t="str">
            <v>LOCAL STAFF</v>
          </cell>
        </row>
      </sheetData>
      <sheetData sheetId="615">
        <row r="437">
          <cell r="B437" t="str">
            <v>LOCAL STAFF</v>
          </cell>
        </row>
      </sheetData>
      <sheetData sheetId="616">
        <row r="437">
          <cell r="B437" t="str">
            <v>LOCAL STAFF</v>
          </cell>
        </row>
      </sheetData>
      <sheetData sheetId="617">
        <row r="437">
          <cell r="B437" t="str">
            <v>LOCAL STAFF</v>
          </cell>
        </row>
      </sheetData>
      <sheetData sheetId="618">
        <row r="437">
          <cell r="B437" t="str">
            <v>LOCAL STAFF</v>
          </cell>
        </row>
      </sheetData>
      <sheetData sheetId="619">
        <row r="437">
          <cell r="B437" t="str">
            <v>LOCAL STAFF</v>
          </cell>
        </row>
      </sheetData>
      <sheetData sheetId="620">
        <row r="437">
          <cell r="B437" t="str">
            <v>LOCAL STAFF</v>
          </cell>
        </row>
      </sheetData>
      <sheetData sheetId="621">
        <row r="437">
          <cell r="B437" t="str">
            <v>LOCAL STAFF</v>
          </cell>
        </row>
      </sheetData>
      <sheetData sheetId="622">
        <row r="437">
          <cell r="B437" t="str">
            <v>LOCAL STAFF</v>
          </cell>
        </row>
      </sheetData>
      <sheetData sheetId="623">
        <row r="437">
          <cell r="B437" t="str">
            <v>LOCAL STAFF</v>
          </cell>
        </row>
      </sheetData>
      <sheetData sheetId="624">
        <row r="437">
          <cell r="B437" t="str">
            <v>LOCAL STAFF</v>
          </cell>
        </row>
      </sheetData>
      <sheetData sheetId="625">
        <row r="437">
          <cell r="B437" t="str">
            <v>LOCAL STAFF</v>
          </cell>
        </row>
      </sheetData>
      <sheetData sheetId="626">
        <row r="437">
          <cell r="B437" t="str">
            <v>LOCAL STAFF</v>
          </cell>
        </row>
      </sheetData>
      <sheetData sheetId="627">
        <row r="437">
          <cell r="B437" t="str">
            <v>LOCAL STAFF</v>
          </cell>
        </row>
      </sheetData>
      <sheetData sheetId="628">
        <row r="437">
          <cell r="B437" t="str">
            <v>LOCAL STAFF</v>
          </cell>
        </row>
      </sheetData>
      <sheetData sheetId="629">
        <row r="437">
          <cell r="B437" t="str">
            <v>LOCAL STAFF</v>
          </cell>
        </row>
      </sheetData>
      <sheetData sheetId="630">
        <row r="437">
          <cell r="B437" t="str">
            <v>LOCAL STAFF</v>
          </cell>
        </row>
      </sheetData>
      <sheetData sheetId="631">
        <row r="437">
          <cell r="B437" t="str">
            <v>LOCAL STAFF</v>
          </cell>
        </row>
      </sheetData>
      <sheetData sheetId="632">
        <row r="437">
          <cell r="B437" t="str">
            <v>LOCAL STAFF</v>
          </cell>
        </row>
      </sheetData>
      <sheetData sheetId="633">
        <row r="437">
          <cell r="B437" t="str">
            <v>LOCAL STAFF</v>
          </cell>
        </row>
      </sheetData>
      <sheetData sheetId="634">
        <row r="437">
          <cell r="B437" t="str">
            <v>LOCAL STAFF</v>
          </cell>
        </row>
      </sheetData>
      <sheetData sheetId="635">
        <row r="437">
          <cell r="B437" t="str">
            <v>LOCAL STAFF</v>
          </cell>
        </row>
      </sheetData>
      <sheetData sheetId="636">
        <row r="437">
          <cell r="B437" t="str">
            <v>LOCAL STAFF</v>
          </cell>
        </row>
      </sheetData>
      <sheetData sheetId="637">
        <row r="437">
          <cell r="B437" t="str">
            <v>LOCAL STAFF</v>
          </cell>
        </row>
      </sheetData>
      <sheetData sheetId="638">
        <row r="437">
          <cell r="B437" t="str">
            <v>LOCAL STAFF</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ow r="437">
          <cell r="B437" t="str">
            <v>LOCAL STAFF</v>
          </cell>
        </row>
      </sheetData>
      <sheetData sheetId="650">
        <row r="437">
          <cell r="B437" t="str">
            <v>LOCAL STAFF</v>
          </cell>
        </row>
      </sheetData>
      <sheetData sheetId="651">
        <row r="437">
          <cell r="B437" t="str">
            <v>LOCAL STAFF</v>
          </cell>
        </row>
      </sheetData>
      <sheetData sheetId="652">
        <row r="437">
          <cell r="B437" t="str">
            <v>LOCAL STAFF</v>
          </cell>
        </row>
      </sheetData>
      <sheetData sheetId="653">
        <row r="437">
          <cell r="B437" t="str">
            <v>LOCAL STAFF</v>
          </cell>
        </row>
      </sheetData>
      <sheetData sheetId="654">
        <row r="437">
          <cell r="B437" t="str">
            <v>LOCAL STAFF</v>
          </cell>
        </row>
      </sheetData>
      <sheetData sheetId="655">
        <row r="437">
          <cell r="B437" t="str">
            <v>LOCAL STAFF</v>
          </cell>
        </row>
      </sheetData>
      <sheetData sheetId="656">
        <row r="437">
          <cell r="B437" t="str">
            <v>LOCAL STAFF</v>
          </cell>
        </row>
      </sheetData>
      <sheetData sheetId="657">
        <row r="437">
          <cell r="B437" t="str">
            <v>LOCAL STAFF</v>
          </cell>
        </row>
      </sheetData>
      <sheetData sheetId="658">
        <row r="437">
          <cell r="B437" t="str">
            <v>LOCAL STAFF</v>
          </cell>
        </row>
      </sheetData>
      <sheetData sheetId="659">
        <row r="437">
          <cell r="B437" t="str">
            <v>LOCAL STAFF</v>
          </cell>
        </row>
      </sheetData>
      <sheetData sheetId="660">
        <row r="437">
          <cell r="B437" t="str">
            <v>LOCAL STAFF</v>
          </cell>
        </row>
      </sheetData>
      <sheetData sheetId="661">
        <row r="437">
          <cell r="B437" t="str">
            <v>LOCAL STAFF</v>
          </cell>
        </row>
      </sheetData>
      <sheetData sheetId="662">
        <row r="437">
          <cell r="B437" t="str">
            <v>LOCAL STAFF</v>
          </cell>
        </row>
      </sheetData>
      <sheetData sheetId="663">
        <row r="437">
          <cell r="B437" t="str">
            <v>LOCAL STAFF</v>
          </cell>
        </row>
      </sheetData>
      <sheetData sheetId="664">
        <row r="437">
          <cell r="B437" t="str">
            <v>LOCAL STAFF</v>
          </cell>
        </row>
      </sheetData>
      <sheetData sheetId="665">
        <row r="437">
          <cell r="B437" t="str">
            <v>LOCAL STAFF</v>
          </cell>
        </row>
      </sheetData>
      <sheetData sheetId="666">
        <row r="437">
          <cell r="B437" t="str">
            <v>LOCAL STAFF</v>
          </cell>
        </row>
      </sheetData>
      <sheetData sheetId="667">
        <row r="437">
          <cell r="B437" t="str">
            <v>LOCAL STAFF</v>
          </cell>
        </row>
      </sheetData>
      <sheetData sheetId="668">
        <row r="437">
          <cell r="B437" t="str">
            <v>LOCAL STAFF</v>
          </cell>
        </row>
      </sheetData>
      <sheetData sheetId="669">
        <row r="437">
          <cell r="B437" t="str">
            <v>LOCAL STAFF</v>
          </cell>
        </row>
      </sheetData>
      <sheetData sheetId="670">
        <row r="437">
          <cell r="B437" t="str">
            <v>LOCAL STAFF</v>
          </cell>
        </row>
      </sheetData>
      <sheetData sheetId="671">
        <row r="437">
          <cell r="B437" t="str">
            <v>LOCAL STAFF</v>
          </cell>
        </row>
      </sheetData>
      <sheetData sheetId="672">
        <row r="437">
          <cell r="B437" t="str">
            <v>LOCAL STAFF</v>
          </cell>
        </row>
      </sheetData>
      <sheetData sheetId="673">
        <row r="437">
          <cell r="B437" t="str">
            <v>LOCAL STAFF</v>
          </cell>
        </row>
      </sheetData>
      <sheetData sheetId="674">
        <row r="437">
          <cell r="B437" t="str">
            <v>LOCAL STAFF</v>
          </cell>
        </row>
      </sheetData>
      <sheetData sheetId="675">
        <row r="437">
          <cell r="B437" t="str">
            <v>LOCAL STAFF</v>
          </cell>
        </row>
      </sheetData>
      <sheetData sheetId="676">
        <row r="437">
          <cell r="B437" t="str">
            <v>LOCAL STAFF</v>
          </cell>
        </row>
      </sheetData>
      <sheetData sheetId="677">
        <row r="437">
          <cell r="B437" t="str">
            <v>LOCAL STAFF</v>
          </cell>
        </row>
      </sheetData>
      <sheetData sheetId="678">
        <row r="437">
          <cell r="B437" t="str">
            <v>LOCAL STAFF</v>
          </cell>
        </row>
      </sheetData>
      <sheetData sheetId="679">
        <row r="437">
          <cell r="B437" t="str">
            <v>LOCAL STAFF</v>
          </cell>
        </row>
      </sheetData>
      <sheetData sheetId="680">
        <row r="437">
          <cell r="B437" t="str">
            <v>LOCAL STAFF</v>
          </cell>
        </row>
      </sheetData>
      <sheetData sheetId="681">
        <row r="437">
          <cell r="B437" t="str">
            <v>LOCAL STAFF</v>
          </cell>
        </row>
      </sheetData>
      <sheetData sheetId="682">
        <row r="437">
          <cell r="B437" t="str">
            <v>LOCAL STAFF</v>
          </cell>
        </row>
      </sheetData>
      <sheetData sheetId="683">
        <row r="437">
          <cell r="B437" t="str">
            <v>LOCAL STAFF</v>
          </cell>
        </row>
      </sheetData>
      <sheetData sheetId="684">
        <row r="437">
          <cell r="B437" t="str">
            <v>LOCAL STAFF</v>
          </cell>
        </row>
      </sheetData>
      <sheetData sheetId="685">
        <row r="437">
          <cell r="B437" t="str">
            <v>LOCAL STAFF</v>
          </cell>
        </row>
      </sheetData>
      <sheetData sheetId="686">
        <row r="437">
          <cell r="B437" t="str">
            <v>LOCAL STAFF</v>
          </cell>
        </row>
      </sheetData>
      <sheetData sheetId="687">
        <row r="437">
          <cell r="B437" t="str">
            <v>LOCAL STAFF</v>
          </cell>
        </row>
      </sheetData>
      <sheetData sheetId="688">
        <row r="437">
          <cell r="B437" t="str">
            <v>LOCAL STAFF</v>
          </cell>
        </row>
      </sheetData>
      <sheetData sheetId="689">
        <row r="437">
          <cell r="B437" t="str">
            <v>LOCAL STAFF</v>
          </cell>
        </row>
      </sheetData>
      <sheetData sheetId="690">
        <row r="437">
          <cell r="B437" t="str">
            <v>LOCAL STAFF</v>
          </cell>
        </row>
      </sheetData>
      <sheetData sheetId="691">
        <row r="437">
          <cell r="B437" t="str">
            <v>LOCAL STAFF</v>
          </cell>
        </row>
      </sheetData>
      <sheetData sheetId="692">
        <row r="437">
          <cell r="B437" t="str">
            <v>LOCAL STAFF</v>
          </cell>
        </row>
      </sheetData>
      <sheetData sheetId="693">
        <row r="437">
          <cell r="B437" t="str">
            <v>LOCAL STAFF</v>
          </cell>
        </row>
      </sheetData>
      <sheetData sheetId="694">
        <row r="437">
          <cell r="B437" t="str">
            <v>LOCAL STAFF</v>
          </cell>
        </row>
      </sheetData>
      <sheetData sheetId="695">
        <row r="437">
          <cell r="B437" t="str">
            <v>LOCAL STAFF</v>
          </cell>
        </row>
      </sheetData>
      <sheetData sheetId="696">
        <row r="437">
          <cell r="B437" t="str">
            <v>LOCAL STAFF</v>
          </cell>
        </row>
      </sheetData>
      <sheetData sheetId="697">
        <row r="437">
          <cell r="B437" t="str">
            <v>LOCAL STAFF</v>
          </cell>
        </row>
      </sheetData>
      <sheetData sheetId="698">
        <row r="437">
          <cell r="B437" t="str">
            <v>LOCAL STAFF</v>
          </cell>
        </row>
      </sheetData>
      <sheetData sheetId="699">
        <row r="437">
          <cell r="B437" t="str">
            <v>LOCAL STAFF</v>
          </cell>
        </row>
      </sheetData>
      <sheetData sheetId="700">
        <row r="437">
          <cell r="B437" t="str">
            <v>LOCAL STAFF</v>
          </cell>
        </row>
      </sheetData>
      <sheetData sheetId="701">
        <row r="437">
          <cell r="B437" t="str">
            <v>LOCAL STAFF</v>
          </cell>
        </row>
      </sheetData>
      <sheetData sheetId="702">
        <row r="437">
          <cell r="B437" t="str">
            <v>LOCAL STAFF</v>
          </cell>
        </row>
      </sheetData>
      <sheetData sheetId="703">
        <row r="437">
          <cell r="B437" t="str">
            <v>LOCAL STAFF</v>
          </cell>
        </row>
      </sheetData>
      <sheetData sheetId="704">
        <row r="437">
          <cell r="B437" t="str">
            <v>LOCAL STAFF</v>
          </cell>
        </row>
      </sheetData>
      <sheetData sheetId="705">
        <row r="437">
          <cell r="B437" t="str">
            <v>LOCAL STAFF</v>
          </cell>
        </row>
      </sheetData>
      <sheetData sheetId="706">
        <row r="437">
          <cell r="B437" t="str">
            <v>LOCAL STAFF</v>
          </cell>
        </row>
      </sheetData>
      <sheetData sheetId="707">
        <row r="437">
          <cell r="B437" t="str">
            <v>LOCAL STAFF</v>
          </cell>
        </row>
      </sheetData>
      <sheetData sheetId="708">
        <row r="437">
          <cell r="B437" t="str">
            <v>LOCAL STAFF</v>
          </cell>
        </row>
      </sheetData>
      <sheetData sheetId="709">
        <row r="437">
          <cell r="B437" t="str">
            <v>LOCAL STAFF</v>
          </cell>
        </row>
      </sheetData>
      <sheetData sheetId="710">
        <row r="437">
          <cell r="B437" t="str">
            <v>LOCAL STAFF</v>
          </cell>
        </row>
      </sheetData>
      <sheetData sheetId="711">
        <row r="437">
          <cell r="B437" t="str">
            <v>LOCAL STAFF</v>
          </cell>
        </row>
      </sheetData>
      <sheetData sheetId="712">
        <row r="437">
          <cell r="B437" t="str">
            <v>LOCAL STAFF</v>
          </cell>
        </row>
      </sheetData>
      <sheetData sheetId="713">
        <row r="437">
          <cell r="B437" t="str">
            <v>LOCAL STAFF</v>
          </cell>
        </row>
      </sheetData>
      <sheetData sheetId="714">
        <row r="437">
          <cell r="B437" t="str">
            <v>LOCAL STAFF</v>
          </cell>
        </row>
      </sheetData>
      <sheetData sheetId="715">
        <row r="437">
          <cell r="B437" t="str">
            <v>LOCAL STAFF</v>
          </cell>
        </row>
      </sheetData>
      <sheetData sheetId="716">
        <row r="437">
          <cell r="B437" t="str">
            <v>LOCAL STAFF</v>
          </cell>
        </row>
      </sheetData>
      <sheetData sheetId="717">
        <row r="437">
          <cell r="B437" t="str">
            <v>LOCAL STAFF</v>
          </cell>
        </row>
      </sheetData>
      <sheetData sheetId="718">
        <row r="437">
          <cell r="B437" t="str">
            <v>LOCAL STAFF</v>
          </cell>
        </row>
      </sheetData>
      <sheetData sheetId="719">
        <row r="437">
          <cell r="B437" t="str">
            <v>LOCAL STAFF</v>
          </cell>
        </row>
      </sheetData>
      <sheetData sheetId="720">
        <row r="437">
          <cell r="B437" t="str">
            <v>LOCAL STAFF</v>
          </cell>
        </row>
      </sheetData>
      <sheetData sheetId="721">
        <row r="437">
          <cell r="B437" t="str">
            <v>LOCAL STAFF</v>
          </cell>
        </row>
      </sheetData>
      <sheetData sheetId="722">
        <row r="437">
          <cell r="B437" t="str">
            <v>LOCAL STAFF</v>
          </cell>
        </row>
      </sheetData>
      <sheetData sheetId="723">
        <row r="437">
          <cell r="B437" t="str">
            <v>LOCAL STAFF</v>
          </cell>
        </row>
      </sheetData>
      <sheetData sheetId="724">
        <row r="437">
          <cell r="B437" t="str">
            <v>LOCAL STAFF</v>
          </cell>
        </row>
      </sheetData>
      <sheetData sheetId="725">
        <row r="437">
          <cell r="B437" t="str">
            <v>LOCAL STAFF</v>
          </cell>
        </row>
      </sheetData>
      <sheetData sheetId="726">
        <row r="437">
          <cell r="B437" t="str">
            <v>LOCAL STAFF</v>
          </cell>
        </row>
      </sheetData>
      <sheetData sheetId="727">
        <row r="437">
          <cell r="B437" t="str">
            <v>LOCAL STAFF</v>
          </cell>
        </row>
      </sheetData>
      <sheetData sheetId="728">
        <row r="437">
          <cell r="B437" t="str">
            <v>LOCAL STAFF</v>
          </cell>
        </row>
      </sheetData>
      <sheetData sheetId="729">
        <row r="437">
          <cell r="B437" t="str">
            <v>LOCAL STAFF</v>
          </cell>
        </row>
      </sheetData>
      <sheetData sheetId="730">
        <row r="437">
          <cell r="B437" t="str">
            <v>LOCAL STAFF</v>
          </cell>
        </row>
      </sheetData>
      <sheetData sheetId="731">
        <row r="437">
          <cell r="B437" t="str">
            <v>LOCAL STAFF</v>
          </cell>
        </row>
      </sheetData>
      <sheetData sheetId="732">
        <row r="437">
          <cell r="B437" t="str">
            <v>LOCAL STAFF</v>
          </cell>
        </row>
      </sheetData>
      <sheetData sheetId="733">
        <row r="437">
          <cell r="B437" t="str">
            <v>LOCAL STAFF</v>
          </cell>
        </row>
      </sheetData>
      <sheetData sheetId="734">
        <row r="437">
          <cell r="B437" t="str">
            <v>LOCAL STAFF</v>
          </cell>
        </row>
      </sheetData>
      <sheetData sheetId="735">
        <row r="437">
          <cell r="B437" t="str">
            <v>LOCAL STAFF</v>
          </cell>
        </row>
      </sheetData>
      <sheetData sheetId="736">
        <row r="437">
          <cell r="B437" t="str">
            <v>LOCAL STAFF</v>
          </cell>
        </row>
      </sheetData>
      <sheetData sheetId="737">
        <row r="437">
          <cell r="B437" t="str">
            <v>LOCAL STAFF</v>
          </cell>
        </row>
      </sheetData>
      <sheetData sheetId="738">
        <row r="437">
          <cell r="B437" t="str">
            <v>LOCAL STAFF</v>
          </cell>
        </row>
      </sheetData>
      <sheetData sheetId="739">
        <row r="437">
          <cell r="B437" t="str">
            <v>LOCAL STAFF</v>
          </cell>
        </row>
      </sheetData>
      <sheetData sheetId="740">
        <row r="437">
          <cell r="B437" t="str">
            <v>LOCAL STAFF</v>
          </cell>
        </row>
      </sheetData>
      <sheetData sheetId="741">
        <row r="437">
          <cell r="B437" t="str">
            <v>LOCAL STAFF</v>
          </cell>
        </row>
      </sheetData>
      <sheetData sheetId="742">
        <row r="437">
          <cell r="B437" t="str">
            <v>LOCAL STAFF</v>
          </cell>
        </row>
      </sheetData>
      <sheetData sheetId="743">
        <row r="437">
          <cell r="B437" t="str">
            <v>LOCAL STAFF</v>
          </cell>
        </row>
      </sheetData>
      <sheetData sheetId="744">
        <row r="437">
          <cell r="B437" t="str">
            <v>LOCAL STAFF</v>
          </cell>
        </row>
      </sheetData>
      <sheetData sheetId="745">
        <row r="437">
          <cell r="B437" t="str">
            <v>LOCAL STAFF</v>
          </cell>
        </row>
      </sheetData>
      <sheetData sheetId="746">
        <row r="437">
          <cell r="B437" t="str">
            <v>LOCAL STAFF</v>
          </cell>
        </row>
      </sheetData>
      <sheetData sheetId="747">
        <row r="437">
          <cell r="B437" t="str">
            <v>LOCAL STAFF</v>
          </cell>
        </row>
      </sheetData>
      <sheetData sheetId="748">
        <row r="437">
          <cell r="B437" t="str">
            <v>LOCAL STAFF</v>
          </cell>
        </row>
      </sheetData>
      <sheetData sheetId="749">
        <row r="437">
          <cell r="B437" t="str">
            <v>LOCAL STAFF</v>
          </cell>
        </row>
      </sheetData>
      <sheetData sheetId="750">
        <row r="437">
          <cell r="B437" t="str">
            <v>LOCAL STAFF</v>
          </cell>
        </row>
      </sheetData>
      <sheetData sheetId="751">
        <row r="437">
          <cell r="B437" t="str">
            <v>LOCAL STAFF</v>
          </cell>
        </row>
      </sheetData>
      <sheetData sheetId="752">
        <row r="437">
          <cell r="B437" t="str">
            <v>LOCAL STAFF</v>
          </cell>
        </row>
      </sheetData>
      <sheetData sheetId="753">
        <row r="437">
          <cell r="B437" t="str">
            <v>LOCAL STAFF</v>
          </cell>
        </row>
      </sheetData>
      <sheetData sheetId="754">
        <row r="437">
          <cell r="B437" t="str">
            <v>LOCAL STAFF</v>
          </cell>
        </row>
      </sheetData>
      <sheetData sheetId="755">
        <row r="437">
          <cell r="B437" t="str">
            <v>LOCAL STAFF</v>
          </cell>
        </row>
      </sheetData>
      <sheetData sheetId="756">
        <row r="437">
          <cell r="B437" t="str">
            <v>LOCAL STAFF</v>
          </cell>
        </row>
      </sheetData>
      <sheetData sheetId="757">
        <row r="437">
          <cell r="B437" t="str">
            <v>LOCAL STAFF</v>
          </cell>
        </row>
      </sheetData>
      <sheetData sheetId="758">
        <row r="437">
          <cell r="B437" t="str">
            <v>LOCAL STAFF</v>
          </cell>
        </row>
      </sheetData>
      <sheetData sheetId="759">
        <row r="437">
          <cell r="B437" t="str">
            <v>LOCAL STAFF</v>
          </cell>
        </row>
      </sheetData>
      <sheetData sheetId="760">
        <row r="437">
          <cell r="B437" t="str">
            <v>LOCAL STAFF</v>
          </cell>
        </row>
      </sheetData>
      <sheetData sheetId="761">
        <row r="437">
          <cell r="B437" t="str">
            <v>LOCAL STAFF</v>
          </cell>
        </row>
      </sheetData>
      <sheetData sheetId="762">
        <row r="437">
          <cell r="B437" t="str">
            <v>LOCAL STAFF</v>
          </cell>
        </row>
      </sheetData>
      <sheetData sheetId="763">
        <row r="437">
          <cell r="B437" t="str">
            <v>LOCAL STAFF</v>
          </cell>
        </row>
      </sheetData>
      <sheetData sheetId="764">
        <row r="437">
          <cell r="B437" t="str">
            <v>LOCAL STAFF</v>
          </cell>
        </row>
      </sheetData>
      <sheetData sheetId="765">
        <row r="437">
          <cell r="B437" t="str">
            <v>LOCAL STAFF</v>
          </cell>
        </row>
      </sheetData>
      <sheetData sheetId="766">
        <row r="437">
          <cell r="B437" t="str">
            <v>LOCAL STAFF</v>
          </cell>
        </row>
      </sheetData>
      <sheetData sheetId="767">
        <row r="437">
          <cell r="B437" t="str">
            <v>LOCAL STAFF</v>
          </cell>
        </row>
      </sheetData>
      <sheetData sheetId="768">
        <row r="437">
          <cell r="B437" t="str">
            <v>LOCAL STAFF</v>
          </cell>
        </row>
      </sheetData>
      <sheetData sheetId="769">
        <row r="437">
          <cell r="B437" t="str">
            <v>LOCAL STAFF</v>
          </cell>
        </row>
      </sheetData>
      <sheetData sheetId="770">
        <row r="437">
          <cell r="B437" t="str">
            <v>LOCAL STAFF</v>
          </cell>
        </row>
      </sheetData>
      <sheetData sheetId="771">
        <row r="437">
          <cell r="B437" t="str">
            <v>LOCAL STAFF</v>
          </cell>
        </row>
      </sheetData>
      <sheetData sheetId="772">
        <row r="437">
          <cell r="B437" t="str">
            <v>LOCAL STAFF</v>
          </cell>
        </row>
      </sheetData>
      <sheetData sheetId="773">
        <row r="437">
          <cell r="B437" t="str">
            <v>LOCAL STAFF</v>
          </cell>
        </row>
      </sheetData>
      <sheetData sheetId="774">
        <row r="437">
          <cell r="B437" t="str">
            <v>LOCAL STAFF</v>
          </cell>
        </row>
      </sheetData>
      <sheetData sheetId="775">
        <row r="437">
          <cell r="B437" t="str">
            <v>LOCAL STAFF</v>
          </cell>
        </row>
      </sheetData>
      <sheetData sheetId="776">
        <row r="437">
          <cell r="B437" t="str">
            <v>LOCAL STAFF</v>
          </cell>
        </row>
      </sheetData>
      <sheetData sheetId="777">
        <row r="437">
          <cell r="B437" t="str">
            <v>LOCAL STAFF</v>
          </cell>
        </row>
      </sheetData>
      <sheetData sheetId="778">
        <row r="437">
          <cell r="B437" t="str">
            <v>LOCAL STAFF</v>
          </cell>
        </row>
      </sheetData>
      <sheetData sheetId="779">
        <row r="437">
          <cell r="B437" t="str">
            <v>LOCAL STAFF</v>
          </cell>
        </row>
      </sheetData>
      <sheetData sheetId="780">
        <row r="437">
          <cell r="B437" t="str">
            <v>LOCAL STAFF</v>
          </cell>
        </row>
      </sheetData>
      <sheetData sheetId="781">
        <row r="437">
          <cell r="B437" t="str">
            <v>LOCAL STAFF</v>
          </cell>
        </row>
      </sheetData>
      <sheetData sheetId="782">
        <row r="437">
          <cell r="B437" t="str">
            <v>LOCAL STAFF</v>
          </cell>
        </row>
      </sheetData>
      <sheetData sheetId="783">
        <row r="437">
          <cell r="B437" t="str">
            <v>LOCAL STAFF</v>
          </cell>
        </row>
      </sheetData>
      <sheetData sheetId="784">
        <row r="437">
          <cell r="B437" t="str">
            <v>LOCAL STAFF</v>
          </cell>
        </row>
      </sheetData>
      <sheetData sheetId="785">
        <row r="437">
          <cell r="B437" t="str">
            <v>LOCAL STAFF</v>
          </cell>
        </row>
      </sheetData>
      <sheetData sheetId="786">
        <row r="437">
          <cell r="B437" t="str">
            <v>LOCAL STAFF</v>
          </cell>
        </row>
      </sheetData>
      <sheetData sheetId="787">
        <row r="437">
          <cell r="B437" t="str">
            <v>LOCAL STAFF</v>
          </cell>
        </row>
      </sheetData>
      <sheetData sheetId="788">
        <row r="437">
          <cell r="B437" t="str">
            <v>LOCAL STAFF</v>
          </cell>
        </row>
      </sheetData>
      <sheetData sheetId="789">
        <row r="437">
          <cell r="B437" t="str">
            <v>LOCAL STAFF</v>
          </cell>
        </row>
      </sheetData>
      <sheetData sheetId="790">
        <row r="437">
          <cell r="B437" t="str">
            <v>LOCAL STAFF</v>
          </cell>
        </row>
      </sheetData>
      <sheetData sheetId="791">
        <row r="437">
          <cell r="B437" t="str">
            <v>LOCAL STAFF</v>
          </cell>
        </row>
      </sheetData>
      <sheetData sheetId="792">
        <row r="437">
          <cell r="B437" t="str">
            <v>LOCAL STAFF</v>
          </cell>
        </row>
      </sheetData>
      <sheetData sheetId="793">
        <row r="437">
          <cell r="B437" t="str">
            <v>LOCAL STAFF</v>
          </cell>
        </row>
      </sheetData>
      <sheetData sheetId="794">
        <row r="437">
          <cell r="B437" t="str">
            <v>LOCAL STAFF</v>
          </cell>
        </row>
      </sheetData>
      <sheetData sheetId="795">
        <row r="437">
          <cell r="B437" t="str">
            <v>LOCAL STAFF</v>
          </cell>
        </row>
      </sheetData>
      <sheetData sheetId="796">
        <row r="437">
          <cell r="B437" t="str">
            <v>LOCAL STAFF</v>
          </cell>
        </row>
      </sheetData>
      <sheetData sheetId="797">
        <row r="437">
          <cell r="B437" t="str">
            <v>LOCAL STAFF</v>
          </cell>
        </row>
      </sheetData>
      <sheetData sheetId="798">
        <row r="437">
          <cell r="B437" t="str">
            <v>LOCAL STAFF</v>
          </cell>
        </row>
      </sheetData>
      <sheetData sheetId="799">
        <row r="437">
          <cell r="B437" t="str">
            <v>LOCAL STAFF</v>
          </cell>
        </row>
      </sheetData>
      <sheetData sheetId="800">
        <row r="437">
          <cell r="B437" t="str">
            <v>LOCAL STAFF</v>
          </cell>
        </row>
      </sheetData>
      <sheetData sheetId="801">
        <row r="437">
          <cell r="B437" t="str">
            <v>LOCAL STAFF</v>
          </cell>
        </row>
      </sheetData>
      <sheetData sheetId="802">
        <row r="437">
          <cell r="B437" t="str">
            <v>LOCAL STAFF</v>
          </cell>
        </row>
      </sheetData>
      <sheetData sheetId="803">
        <row r="437">
          <cell r="B437" t="str">
            <v>LOCAL STAFF</v>
          </cell>
        </row>
      </sheetData>
      <sheetData sheetId="804">
        <row r="437">
          <cell r="B437" t="str">
            <v>LOCAL STAFF</v>
          </cell>
        </row>
      </sheetData>
      <sheetData sheetId="805">
        <row r="437">
          <cell r="B437" t="str">
            <v>LOCAL STAFF</v>
          </cell>
        </row>
      </sheetData>
      <sheetData sheetId="806">
        <row r="437">
          <cell r="B437" t="str">
            <v>LOCAL STAFF</v>
          </cell>
        </row>
      </sheetData>
      <sheetData sheetId="807">
        <row r="437">
          <cell r="B437" t="str">
            <v>LOCAL STAFF</v>
          </cell>
        </row>
      </sheetData>
      <sheetData sheetId="808">
        <row r="437">
          <cell r="B437" t="str">
            <v>LOCAL STAFF</v>
          </cell>
        </row>
      </sheetData>
      <sheetData sheetId="809">
        <row r="437">
          <cell r="B437" t="str">
            <v>LOCAL STAFF</v>
          </cell>
        </row>
      </sheetData>
      <sheetData sheetId="810">
        <row r="437">
          <cell r="B437" t="str">
            <v>LOCAL STAFF</v>
          </cell>
        </row>
      </sheetData>
      <sheetData sheetId="811">
        <row r="437">
          <cell r="B437" t="str">
            <v>LOCAL STAFF</v>
          </cell>
        </row>
      </sheetData>
      <sheetData sheetId="812">
        <row r="437">
          <cell r="B437" t="str">
            <v>LOCAL STAFF</v>
          </cell>
        </row>
      </sheetData>
      <sheetData sheetId="813">
        <row r="437">
          <cell r="B437" t="str">
            <v>LOCAL STAFF</v>
          </cell>
        </row>
      </sheetData>
      <sheetData sheetId="814">
        <row r="437">
          <cell r="B437" t="str">
            <v>LOCAL STAFF</v>
          </cell>
        </row>
      </sheetData>
      <sheetData sheetId="815">
        <row r="437">
          <cell r="B437" t="str">
            <v>LOCAL STAFF</v>
          </cell>
        </row>
      </sheetData>
      <sheetData sheetId="816">
        <row r="437">
          <cell r="B437" t="str">
            <v>LOCAL STAFF</v>
          </cell>
        </row>
      </sheetData>
      <sheetData sheetId="817">
        <row r="437">
          <cell r="B437" t="str">
            <v>LOCAL STAFF</v>
          </cell>
        </row>
      </sheetData>
      <sheetData sheetId="818">
        <row r="437">
          <cell r="B437" t="str">
            <v>LOCAL STAFF</v>
          </cell>
        </row>
      </sheetData>
      <sheetData sheetId="819">
        <row r="437">
          <cell r="B437" t="str">
            <v>LOCAL STAFF</v>
          </cell>
        </row>
      </sheetData>
      <sheetData sheetId="820">
        <row r="437">
          <cell r="B437" t="str">
            <v>LOCAL STAFF</v>
          </cell>
        </row>
      </sheetData>
      <sheetData sheetId="821">
        <row r="437">
          <cell r="B437" t="str">
            <v>LOCAL STAFF</v>
          </cell>
        </row>
      </sheetData>
      <sheetData sheetId="822">
        <row r="437">
          <cell r="B437" t="str">
            <v>LOCAL STAFF</v>
          </cell>
        </row>
      </sheetData>
      <sheetData sheetId="823">
        <row r="437">
          <cell r="B437" t="str">
            <v>LOCAL STAFF</v>
          </cell>
        </row>
      </sheetData>
      <sheetData sheetId="824">
        <row r="437">
          <cell r="B437" t="str">
            <v>LOCAL STAFF</v>
          </cell>
        </row>
      </sheetData>
      <sheetData sheetId="825">
        <row r="437">
          <cell r="B437" t="str">
            <v>LOCAL STAFF</v>
          </cell>
        </row>
      </sheetData>
      <sheetData sheetId="826">
        <row r="437">
          <cell r="B437" t="str">
            <v>LOCAL STAFF</v>
          </cell>
        </row>
      </sheetData>
      <sheetData sheetId="827">
        <row r="437">
          <cell r="B437" t="str">
            <v>LOCAL STAFF</v>
          </cell>
        </row>
      </sheetData>
      <sheetData sheetId="828">
        <row r="437">
          <cell r="B437" t="str">
            <v>LOCAL STAFF</v>
          </cell>
        </row>
      </sheetData>
      <sheetData sheetId="829">
        <row r="437">
          <cell r="B437" t="str">
            <v>LOCAL STAFF</v>
          </cell>
        </row>
      </sheetData>
      <sheetData sheetId="830">
        <row r="437">
          <cell r="B437" t="str">
            <v>LOCAL STAFF</v>
          </cell>
        </row>
      </sheetData>
      <sheetData sheetId="831">
        <row r="437">
          <cell r="B437" t="str">
            <v>LOCAL STAFF</v>
          </cell>
        </row>
      </sheetData>
      <sheetData sheetId="832">
        <row r="437">
          <cell r="B437" t="str">
            <v>LOCAL STAFF</v>
          </cell>
        </row>
      </sheetData>
      <sheetData sheetId="833">
        <row r="437">
          <cell r="B437" t="str">
            <v>LOCAL STAFF</v>
          </cell>
        </row>
      </sheetData>
      <sheetData sheetId="834">
        <row r="437">
          <cell r="B437" t="str">
            <v>LOCAL STAFF</v>
          </cell>
        </row>
      </sheetData>
      <sheetData sheetId="835">
        <row r="437">
          <cell r="B437" t="str">
            <v>LOCAL STAFF</v>
          </cell>
        </row>
      </sheetData>
      <sheetData sheetId="836">
        <row r="437">
          <cell r="B437" t="str">
            <v>LOCAL STAFF</v>
          </cell>
        </row>
      </sheetData>
      <sheetData sheetId="837">
        <row r="437">
          <cell r="B437" t="str">
            <v>LOCAL STAFF</v>
          </cell>
        </row>
      </sheetData>
      <sheetData sheetId="838">
        <row r="437">
          <cell r="B437" t="str">
            <v>LOCAL STAFF</v>
          </cell>
        </row>
      </sheetData>
      <sheetData sheetId="839">
        <row r="437">
          <cell r="B437" t="str">
            <v>LOCAL STAFF</v>
          </cell>
        </row>
      </sheetData>
      <sheetData sheetId="840">
        <row r="437">
          <cell r="B437" t="str">
            <v>LOCAL STAFF</v>
          </cell>
        </row>
      </sheetData>
      <sheetData sheetId="841">
        <row r="437">
          <cell r="B437" t="str">
            <v>LOCAL STAFF</v>
          </cell>
        </row>
      </sheetData>
      <sheetData sheetId="842">
        <row r="437">
          <cell r="B437" t="str">
            <v>LOCAL STAFF</v>
          </cell>
        </row>
      </sheetData>
      <sheetData sheetId="843">
        <row r="437">
          <cell r="B437" t="str">
            <v>LOCAL STAFF</v>
          </cell>
        </row>
      </sheetData>
      <sheetData sheetId="844">
        <row r="437">
          <cell r="B437" t="str">
            <v>LOCAL STAFF</v>
          </cell>
        </row>
      </sheetData>
      <sheetData sheetId="845">
        <row r="437">
          <cell r="B437" t="str">
            <v>LOCAL STAFF</v>
          </cell>
        </row>
      </sheetData>
      <sheetData sheetId="846">
        <row r="437">
          <cell r="B437" t="str">
            <v>LOCAL STAFF</v>
          </cell>
        </row>
      </sheetData>
      <sheetData sheetId="847">
        <row r="437">
          <cell r="B437" t="str">
            <v>LOCAL STAFF</v>
          </cell>
        </row>
      </sheetData>
      <sheetData sheetId="848">
        <row r="437">
          <cell r="B437" t="str">
            <v>LOCAL STAFF</v>
          </cell>
        </row>
      </sheetData>
      <sheetData sheetId="849">
        <row r="437">
          <cell r="B437" t="str">
            <v>LOCAL STAFF</v>
          </cell>
        </row>
      </sheetData>
      <sheetData sheetId="850">
        <row r="437">
          <cell r="B437" t="str">
            <v>LOCAL STAFF</v>
          </cell>
        </row>
      </sheetData>
      <sheetData sheetId="851">
        <row r="437">
          <cell r="B437" t="str">
            <v>LOCAL STAFF</v>
          </cell>
        </row>
      </sheetData>
      <sheetData sheetId="852">
        <row r="437">
          <cell r="B437" t="str">
            <v>LOCAL STAFF</v>
          </cell>
        </row>
      </sheetData>
      <sheetData sheetId="853">
        <row r="437">
          <cell r="B437" t="str">
            <v>LOCAL STAFF</v>
          </cell>
        </row>
      </sheetData>
      <sheetData sheetId="854">
        <row r="437">
          <cell r="B437" t="str">
            <v>LOCAL STAFF</v>
          </cell>
        </row>
      </sheetData>
      <sheetData sheetId="855">
        <row r="437">
          <cell r="B437" t="str">
            <v>LOCAL STAFF</v>
          </cell>
        </row>
      </sheetData>
      <sheetData sheetId="856">
        <row r="437">
          <cell r="B437" t="str">
            <v>LOCAL STAFF</v>
          </cell>
        </row>
      </sheetData>
      <sheetData sheetId="857">
        <row r="437">
          <cell r="B437" t="str">
            <v>LOCAL STAFF</v>
          </cell>
        </row>
      </sheetData>
      <sheetData sheetId="858">
        <row r="437">
          <cell r="B437" t="str">
            <v>LOCAL STAFF</v>
          </cell>
        </row>
      </sheetData>
      <sheetData sheetId="859">
        <row r="437">
          <cell r="B437" t="str">
            <v>LOCAL STAFF</v>
          </cell>
        </row>
      </sheetData>
      <sheetData sheetId="860">
        <row r="437">
          <cell r="B437" t="str">
            <v>LOCAL STAFF</v>
          </cell>
        </row>
      </sheetData>
      <sheetData sheetId="861">
        <row r="437">
          <cell r="B437" t="str">
            <v>LOCAL STAFF</v>
          </cell>
        </row>
      </sheetData>
      <sheetData sheetId="862">
        <row r="437">
          <cell r="B437" t="str">
            <v>LOCAL STAFF</v>
          </cell>
        </row>
      </sheetData>
      <sheetData sheetId="863">
        <row r="437">
          <cell r="B437" t="str">
            <v>LOCAL STAFF</v>
          </cell>
        </row>
      </sheetData>
      <sheetData sheetId="864">
        <row r="437">
          <cell r="B437" t="str">
            <v>LOCAL STAFF</v>
          </cell>
        </row>
      </sheetData>
      <sheetData sheetId="865">
        <row r="437">
          <cell r="B437" t="str">
            <v>LOCAL STAFF</v>
          </cell>
        </row>
      </sheetData>
      <sheetData sheetId="866">
        <row r="437">
          <cell r="B437" t="str">
            <v>LOCAL STAFF</v>
          </cell>
        </row>
      </sheetData>
      <sheetData sheetId="867">
        <row r="437">
          <cell r="B437" t="str">
            <v>LOCAL STAFF</v>
          </cell>
        </row>
      </sheetData>
      <sheetData sheetId="868">
        <row r="437">
          <cell r="B437" t="str">
            <v>LOCAL STAFF</v>
          </cell>
        </row>
      </sheetData>
      <sheetData sheetId="869">
        <row r="437">
          <cell r="B437" t="str">
            <v>LOCAL STAFF</v>
          </cell>
        </row>
      </sheetData>
      <sheetData sheetId="870">
        <row r="437">
          <cell r="B437" t="str">
            <v>LOCAL STAFF</v>
          </cell>
        </row>
      </sheetData>
      <sheetData sheetId="871">
        <row r="437">
          <cell r="B437" t="str">
            <v>LOCAL STAFF</v>
          </cell>
        </row>
      </sheetData>
      <sheetData sheetId="872">
        <row r="437">
          <cell r="B437" t="str">
            <v>LOCAL STAFF</v>
          </cell>
        </row>
      </sheetData>
      <sheetData sheetId="873">
        <row r="437">
          <cell r="B437" t="str">
            <v>LOCAL STAFF</v>
          </cell>
        </row>
      </sheetData>
      <sheetData sheetId="874">
        <row r="437">
          <cell r="B437" t="str">
            <v>LOCAL STAFF</v>
          </cell>
        </row>
      </sheetData>
      <sheetData sheetId="875">
        <row r="437">
          <cell r="B437" t="str">
            <v>LOCAL STAFF</v>
          </cell>
        </row>
      </sheetData>
      <sheetData sheetId="876">
        <row r="437">
          <cell r="B437" t="str">
            <v>LOCAL STAFF</v>
          </cell>
        </row>
      </sheetData>
      <sheetData sheetId="877">
        <row r="437">
          <cell r="B437" t="str">
            <v>LOCAL STAFF</v>
          </cell>
        </row>
      </sheetData>
      <sheetData sheetId="878">
        <row r="437">
          <cell r="B437" t="str">
            <v>LOCAL STAFF</v>
          </cell>
        </row>
      </sheetData>
      <sheetData sheetId="879">
        <row r="437">
          <cell r="B437" t="str">
            <v>LOCAL STAFF</v>
          </cell>
        </row>
      </sheetData>
      <sheetData sheetId="880">
        <row r="437">
          <cell r="B437" t="str">
            <v>LOCAL STAFF</v>
          </cell>
        </row>
      </sheetData>
      <sheetData sheetId="881">
        <row r="437">
          <cell r="B437" t="str">
            <v>LOCAL STAFF</v>
          </cell>
        </row>
      </sheetData>
      <sheetData sheetId="882">
        <row r="437">
          <cell r="B437" t="str">
            <v>LOCAL STAFF</v>
          </cell>
        </row>
      </sheetData>
      <sheetData sheetId="883">
        <row r="437">
          <cell r="B437" t="str">
            <v>LOCAL STAFF</v>
          </cell>
        </row>
      </sheetData>
      <sheetData sheetId="884">
        <row r="437">
          <cell r="B437" t="str">
            <v>LOCAL STAFF</v>
          </cell>
        </row>
      </sheetData>
      <sheetData sheetId="885">
        <row r="437">
          <cell r="B437" t="str">
            <v>LOCAL STAFF</v>
          </cell>
        </row>
      </sheetData>
      <sheetData sheetId="886">
        <row r="437">
          <cell r="B437" t="str">
            <v>LOCAL STAFF</v>
          </cell>
        </row>
      </sheetData>
      <sheetData sheetId="887">
        <row r="437">
          <cell r="B437" t="str">
            <v>LOCAL STAFF</v>
          </cell>
        </row>
      </sheetData>
      <sheetData sheetId="888">
        <row r="437">
          <cell r="B437" t="str">
            <v>LOCAL STAFF</v>
          </cell>
        </row>
      </sheetData>
      <sheetData sheetId="889">
        <row r="437">
          <cell r="B437" t="str">
            <v>LOCAL STAFF</v>
          </cell>
        </row>
      </sheetData>
      <sheetData sheetId="890">
        <row r="437">
          <cell r="B437" t="str">
            <v>LOCAL STAFF</v>
          </cell>
        </row>
      </sheetData>
      <sheetData sheetId="891">
        <row r="437">
          <cell r="B437" t="str">
            <v>LOCAL STAFF</v>
          </cell>
        </row>
      </sheetData>
      <sheetData sheetId="892">
        <row r="437">
          <cell r="B437" t="str">
            <v>LOCAL STAFF</v>
          </cell>
        </row>
      </sheetData>
      <sheetData sheetId="893">
        <row r="437">
          <cell r="B437" t="str">
            <v>LOCAL STAFF</v>
          </cell>
        </row>
      </sheetData>
      <sheetData sheetId="894">
        <row r="437">
          <cell r="B437" t="str">
            <v>LOCAL STAFF</v>
          </cell>
        </row>
      </sheetData>
      <sheetData sheetId="895">
        <row r="437">
          <cell r="B437" t="str">
            <v>LOCAL STAFF</v>
          </cell>
        </row>
      </sheetData>
      <sheetData sheetId="896">
        <row r="437">
          <cell r="B437" t="str">
            <v>LOCAL STAFF</v>
          </cell>
        </row>
      </sheetData>
      <sheetData sheetId="897">
        <row r="437">
          <cell r="B437" t="str">
            <v>LOCAL STAFF</v>
          </cell>
        </row>
      </sheetData>
      <sheetData sheetId="898">
        <row r="437">
          <cell r="B437" t="str">
            <v>LOCAL STAFF</v>
          </cell>
        </row>
      </sheetData>
      <sheetData sheetId="899">
        <row r="437">
          <cell r="B437" t="str">
            <v>LOCAL STAFF</v>
          </cell>
        </row>
      </sheetData>
      <sheetData sheetId="900">
        <row r="437">
          <cell r="B437" t="str">
            <v>LOCAL STAFF</v>
          </cell>
        </row>
      </sheetData>
      <sheetData sheetId="901">
        <row r="437">
          <cell r="B437" t="str">
            <v>LOCAL STAFF</v>
          </cell>
        </row>
      </sheetData>
      <sheetData sheetId="902">
        <row r="437">
          <cell r="B437" t="str">
            <v>LOCAL STAFF</v>
          </cell>
        </row>
      </sheetData>
      <sheetData sheetId="903">
        <row r="437">
          <cell r="B437" t="str">
            <v>LOCAL STAFF</v>
          </cell>
        </row>
      </sheetData>
      <sheetData sheetId="904">
        <row r="437">
          <cell r="B437" t="str">
            <v>LOCAL STAFF</v>
          </cell>
        </row>
      </sheetData>
      <sheetData sheetId="905">
        <row r="437">
          <cell r="B437" t="str">
            <v>LOCAL STAFF</v>
          </cell>
        </row>
      </sheetData>
      <sheetData sheetId="906">
        <row r="437">
          <cell r="B437" t="str">
            <v>LOCAL STAFF</v>
          </cell>
        </row>
      </sheetData>
      <sheetData sheetId="907">
        <row r="437">
          <cell r="B437" t="str">
            <v>LOCAL STAFF</v>
          </cell>
        </row>
      </sheetData>
      <sheetData sheetId="908">
        <row r="437">
          <cell r="B437" t="str">
            <v>LOCAL STAFF</v>
          </cell>
        </row>
      </sheetData>
      <sheetData sheetId="909">
        <row r="437">
          <cell r="B437" t="str">
            <v>LOCAL STAFF</v>
          </cell>
        </row>
      </sheetData>
      <sheetData sheetId="910">
        <row r="437">
          <cell r="B437" t="str">
            <v>LOCAL STAFF</v>
          </cell>
        </row>
      </sheetData>
      <sheetData sheetId="911">
        <row r="437">
          <cell r="B437" t="str">
            <v>LOCAL STAFF</v>
          </cell>
        </row>
      </sheetData>
      <sheetData sheetId="912">
        <row r="437">
          <cell r="B437" t="str">
            <v>LOCAL STAFF</v>
          </cell>
        </row>
      </sheetData>
      <sheetData sheetId="913">
        <row r="437">
          <cell r="B437" t="str">
            <v>LOCAL STAFF</v>
          </cell>
        </row>
      </sheetData>
      <sheetData sheetId="914">
        <row r="437">
          <cell r="B437" t="str">
            <v>LOCAL STAFF</v>
          </cell>
        </row>
      </sheetData>
      <sheetData sheetId="915">
        <row r="437">
          <cell r="B437" t="str">
            <v>LOCAL STAFF</v>
          </cell>
        </row>
      </sheetData>
      <sheetData sheetId="916">
        <row r="437">
          <cell r="B437" t="str">
            <v>LOCAL STAFF</v>
          </cell>
        </row>
      </sheetData>
      <sheetData sheetId="917">
        <row r="437">
          <cell r="B437" t="str">
            <v>LOCAL STAFF</v>
          </cell>
        </row>
      </sheetData>
      <sheetData sheetId="918">
        <row r="437">
          <cell r="B437" t="str">
            <v>LOCAL STAFF</v>
          </cell>
        </row>
      </sheetData>
      <sheetData sheetId="919">
        <row r="437">
          <cell r="B437" t="str">
            <v>LOCAL STAFF</v>
          </cell>
        </row>
      </sheetData>
      <sheetData sheetId="920">
        <row r="437">
          <cell r="B437" t="str">
            <v>LOCAL STAFF</v>
          </cell>
        </row>
      </sheetData>
      <sheetData sheetId="921">
        <row r="437">
          <cell r="B437" t="str">
            <v>LOCAL STAFF</v>
          </cell>
        </row>
      </sheetData>
      <sheetData sheetId="922">
        <row r="437">
          <cell r="B437" t="str">
            <v>LOCAL STAFF</v>
          </cell>
        </row>
      </sheetData>
      <sheetData sheetId="923">
        <row r="437">
          <cell r="B437" t="str">
            <v>LOCAL STAFF</v>
          </cell>
        </row>
      </sheetData>
      <sheetData sheetId="924">
        <row r="437">
          <cell r="B437" t="str">
            <v>LOCAL STAFF</v>
          </cell>
        </row>
      </sheetData>
      <sheetData sheetId="925">
        <row r="437">
          <cell r="B437" t="str">
            <v>LOCAL STAFF</v>
          </cell>
        </row>
      </sheetData>
      <sheetData sheetId="926">
        <row r="437">
          <cell r="B437" t="str">
            <v>LOCAL STAFF</v>
          </cell>
        </row>
      </sheetData>
      <sheetData sheetId="927">
        <row r="437">
          <cell r="B437" t="str">
            <v>LOCAL STAFF</v>
          </cell>
        </row>
      </sheetData>
      <sheetData sheetId="928">
        <row r="437">
          <cell r="B437" t="str">
            <v>LOCAL STAFF</v>
          </cell>
        </row>
      </sheetData>
      <sheetData sheetId="929">
        <row r="437">
          <cell r="B437" t="str">
            <v>LOCAL STAFF</v>
          </cell>
        </row>
      </sheetData>
      <sheetData sheetId="930">
        <row r="437">
          <cell r="B437" t="str">
            <v>LOCAL STAFF</v>
          </cell>
        </row>
      </sheetData>
      <sheetData sheetId="931">
        <row r="437">
          <cell r="B437" t="str">
            <v>LOCAL STAFF</v>
          </cell>
        </row>
      </sheetData>
      <sheetData sheetId="932">
        <row r="437">
          <cell r="B437" t="str">
            <v>LOCAL STAFF</v>
          </cell>
        </row>
      </sheetData>
      <sheetData sheetId="933">
        <row r="437">
          <cell r="B437" t="str">
            <v>LOCAL STAFF</v>
          </cell>
        </row>
      </sheetData>
      <sheetData sheetId="934">
        <row r="437">
          <cell r="B437" t="str">
            <v>LOCAL STAFF</v>
          </cell>
        </row>
      </sheetData>
      <sheetData sheetId="935">
        <row r="437">
          <cell r="B437" t="str">
            <v>LOCAL STAFF</v>
          </cell>
        </row>
      </sheetData>
      <sheetData sheetId="936">
        <row r="437">
          <cell r="B437" t="str">
            <v>LOCAL STAFF</v>
          </cell>
        </row>
      </sheetData>
      <sheetData sheetId="937">
        <row r="437">
          <cell r="B437" t="str">
            <v>LOCAL STAFF</v>
          </cell>
        </row>
      </sheetData>
      <sheetData sheetId="938">
        <row r="437">
          <cell r="B437" t="str">
            <v>LOCAL STAFF</v>
          </cell>
        </row>
      </sheetData>
      <sheetData sheetId="939">
        <row r="437">
          <cell r="B437" t="str">
            <v>LOCAL STAFF</v>
          </cell>
        </row>
      </sheetData>
      <sheetData sheetId="940">
        <row r="437">
          <cell r="B437" t="str">
            <v>LOCAL STAFF</v>
          </cell>
        </row>
      </sheetData>
      <sheetData sheetId="941">
        <row r="437">
          <cell r="B437" t="str">
            <v>LOCAL STAFF</v>
          </cell>
        </row>
      </sheetData>
      <sheetData sheetId="942">
        <row r="437">
          <cell r="B437" t="str">
            <v>LOCAL STAFF</v>
          </cell>
        </row>
      </sheetData>
      <sheetData sheetId="943">
        <row r="437">
          <cell r="B437" t="str">
            <v>LOCAL STAFF</v>
          </cell>
        </row>
      </sheetData>
      <sheetData sheetId="944">
        <row r="437">
          <cell r="B437" t="str">
            <v>LOCAL STAFF</v>
          </cell>
        </row>
      </sheetData>
      <sheetData sheetId="945">
        <row r="437">
          <cell r="B437" t="str">
            <v>LOCAL STAFF</v>
          </cell>
        </row>
      </sheetData>
      <sheetData sheetId="946">
        <row r="437">
          <cell r="B437" t="str">
            <v>LOCAL STAFF</v>
          </cell>
        </row>
      </sheetData>
      <sheetData sheetId="947">
        <row r="437">
          <cell r="B437" t="str">
            <v>LOCAL STAFF</v>
          </cell>
        </row>
      </sheetData>
      <sheetData sheetId="948">
        <row r="437">
          <cell r="B437" t="str">
            <v>LOCAL STAFF</v>
          </cell>
        </row>
      </sheetData>
      <sheetData sheetId="949">
        <row r="437">
          <cell r="B437" t="str">
            <v>LOCAL STAFF</v>
          </cell>
        </row>
      </sheetData>
      <sheetData sheetId="950">
        <row r="437">
          <cell r="B437" t="str">
            <v>LOCAL STAFF</v>
          </cell>
        </row>
      </sheetData>
      <sheetData sheetId="951">
        <row r="437">
          <cell r="B437" t="str">
            <v>LOCAL STAFF</v>
          </cell>
        </row>
      </sheetData>
      <sheetData sheetId="952">
        <row r="437">
          <cell r="B437" t="str">
            <v>LOCAL STAFF</v>
          </cell>
        </row>
      </sheetData>
      <sheetData sheetId="953">
        <row r="437">
          <cell r="B437" t="str">
            <v>LOCAL STAFF</v>
          </cell>
        </row>
      </sheetData>
      <sheetData sheetId="954">
        <row r="437">
          <cell r="B437" t="str">
            <v>LOCAL STAFF</v>
          </cell>
        </row>
      </sheetData>
      <sheetData sheetId="955">
        <row r="437">
          <cell r="B437" t="str">
            <v>LOCAL STAFF</v>
          </cell>
        </row>
      </sheetData>
      <sheetData sheetId="956">
        <row r="437">
          <cell r="B437" t="str">
            <v>LOCAL STAFF</v>
          </cell>
        </row>
      </sheetData>
      <sheetData sheetId="957">
        <row r="437">
          <cell r="B437" t="str">
            <v>LOCAL STAFF</v>
          </cell>
        </row>
      </sheetData>
      <sheetData sheetId="958">
        <row r="437">
          <cell r="B437" t="str">
            <v>LOCAL STAFF</v>
          </cell>
        </row>
      </sheetData>
      <sheetData sheetId="959">
        <row r="437">
          <cell r="B437" t="str">
            <v>LOCAL STAFF</v>
          </cell>
        </row>
      </sheetData>
      <sheetData sheetId="960">
        <row r="437">
          <cell r="B437" t="str">
            <v>LOCAL STAFF</v>
          </cell>
        </row>
      </sheetData>
      <sheetData sheetId="961">
        <row r="437">
          <cell r="B437" t="str">
            <v>LOCAL STAFF</v>
          </cell>
        </row>
      </sheetData>
      <sheetData sheetId="962">
        <row r="437">
          <cell r="B437" t="str">
            <v>LOCAL STAFF</v>
          </cell>
        </row>
      </sheetData>
      <sheetData sheetId="963">
        <row r="437">
          <cell r="B437" t="str">
            <v>LOCAL STAFF</v>
          </cell>
        </row>
      </sheetData>
      <sheetData sheetId="964">
        <row r="437">
          <cell r="B437" t="str">
            <v>LOCAL STAFF</v>
          </cell>
        </row>
      </sheetData>
      <sheetData sheetId="965">
        <row r="437">
          <cell r="B437" t="str">
            <v>LOCAL STAFF</v>
          </cell>
        </row>
      </sheetData>
      <sheetData sheetId="966">
        <row r="437">
          <cell r="B437" t="str">
            <v>LOCAL STAFF</v>
          </cell>
        </row>
      </sheetData>
      <sheetData sheetId="967">
        <row r="437">
          <cell r="B437" t="str">
            <v>LOCAL STAFF</v>
          </cell>
        </row>
      </sheetData>
      <sheetData sheetId="968">
        <row r="437">
          <cell r="B437" t="str">
            <v>LOCAL STAFF</v>
          </cell>
        </row>
      </sheetData>
      <sheetData sheetId="969">
        <row r="437">
          <cell r="B437" t="str">
            <v>LOCAL STAFF</v>
          </cell>
        </row>
      </sheetData>
      <sheetData sheetId="970">
        <row r="437">
          <cell r="B437" t="str">
            <v>LOCAL STAFF</v>
          </cell>
        </row>
      </sheetData>
      <sheetData sheetId="971">
        <row r="437">
          <cell r="B437" t="str">
            <v>LOCAL STAFF</v>
          </cell>
        </row>
      </sheetData>
      <sheetData sheetId="972">
        <row r="437">
          <cell r="B437" t="str">
            <v>LOCAL STAFF</v>
          </cell>
        </row>
      </sheetData>
      <sheetData sheetId="973">
        <row r="437">
          <cell r="B437" t="str">
            <v>LOCAL STAFF</v>
          </cell>
        </row>
      </sheetData>
      <sheetData sheetId="974">
        <row r="437">
          <cell r="B437" t="str">
            <v>LOCAL STAFF</v>
          </cell>
        </row>
      </sheetData>
      <sheetData sheetId="975">
        <row r="437">
          <cell r="B437" t="str">
            <v>LOCAL STAFF</v>
          </cell>
        </row>
      </sheetData>
      <sheetData sheetId="976">
        <row r="437">
          <cell r="B437" t="str">
            <v>LOCAL STAFF</v>
          </cell>
        </row>
      </sheetData>
      <sheetData sheetId="977">
        <row r="437">
          <cell r="B437" t="str">
            <v>LOCAL STAFF</v>
          </cell>
        </row>
      </sheetData>
      <sheetData sheetId="978">
        <row r="437">
          <cell r="B437" t="str">
            <v>LOCAL STAFF</v>
          </cell>
        </row>
      </sheetData>
      <sheetData sheetId="979">
        <row r="437">
          <cell r="B437" t="str">
            <v>LOCAL STAFF</v>
          </cell>
        </row>
      </sheetData>
      <sheetData sheetId="980">
        <row r="437">
          <cell r="B437" t="str">
            <v>LOCAL STAFF</v>
          </cell>
        </row>
      </sheetData>
      <sheetData sheetId="981">
        <row r="437">
          <cell r="B437" t="str">
            <v>LOCAL STAFF</v>
          </cell>
        </row>
      </sheetData>
      <sheetData sheetId="982">
        <row r="437">
          <cell r="B437" t="str">
            <v>LOCAL STAFF</v>
          </cell>
        </row>
      </sheetData>
      <sheetData sheetId="983">
        <row r="437">
          <cell r="B437" t="str">
            <v>LOCAL STAFF</v>
          </cell>
        </row>
      </sheetData>
      <sheetData sheetId="984">
        <row r="437">
          <cell r="B437" t="str">
            <v>LOCAL STAFF</v>
          </cell>
        </row>
      </sheetData>
      <sheetData sheetId="985">
        <row r="437">
          <cell r="B437" t="str">
            <v>LOCAL STAFF</v>
          </cell>
        </row>
      </sheetData>
      <sheetData sheetId="986">
        <row r="437">
          <cell r="B437" t="str">
            <v>LOCAL STAFF</v>
          </cell>
        </row>
      </sheetData>
      <sheetData sheetId="987">
        <row r="437">
          <cell r="B437" t="str">
            <v>LOCAL STAFF</v>
          </cell>
        </row>
      </sheetData>
      <sheetData sheetId="988">
        <row r="437">
          <cell r="B437" t="str">
            <v>LOCAL STAFF</v>
          </cell>
        </row>
      </sheetData>
      <sheetData sheetId="989">
        <row r="437">
          <cell r="B437" t="str">
            <v>LOCAL STAFF</v>
          </cell>
        </row>
      </sheetData>
      <sheetData sheetId="990">
        <row r="437">
          <cell r="B437" t="str">
            <v>LOCAL STAFF</v>
          </cell>
        </row>
      </sheetData>
      <sheetData sheetId="991">
        <row r="437">
          <cell r="B437" t="str">
            <v>LOCAL STAFF</v>
          </cell>
        </row>
      </sheetData>
      <sheetData sheetId="992">
        <row r="437">
          <cell r="B437" t="str">
            <v>LOCAL STAFF</v>
          </cell>
        </row>
      </sheetData>
      <sheetData sheetId="993">
        <row r="437">
          <cell r="B437" t="str">
            <v>LOCAL STAFF</v>
          </cell>
        </row>
      </sheetData>
      <sheetData sheetId="994">
        <row r="437">
          <cell r="B437" t="str">
            <v>LOCAL STAFF</v>
          </cell>
        </row>
      </sheetData>
      <sheetData sheetId="995">
        <row r="437">
          <cell r="B437" t="str">
            <v>LOCAL STAFF</v>
          </cell>
        </row>
      </sheetData>
      <sheetData sheetId="996">
        <row r="437">
          <cell r="B437" t="str">
            <v>LOCAL STAFF</v>
          </cell>
        </row>
      </sheetData>
      <sheetData sheetId="997">
        <row r="437">
          <cell r="B437" t="str">
            <v>LOCAL STAFF</v>
          </cell>
        </row>
      </sheetData>
      <sheetData sheetId="998">
        <row r="437">
          <cell r="B437" t="str">
            <v>LOCAL STAFF</v>
          </cell>
        </row>
      </sheetData>
      <sheetData sheetId="999">
        <row r="437">
          <cell r="B437" t="str">
            <v>LOCAL STAFF</v>
          </cell>
        </row>
      </sheetData>
      <sheetData sheetId="1000">
        <row r="437">
          <cell r="B437" t="str">
            <v>LOCAL STAFF</v>
          </cell>
        </row>
      </sheetData>
      <sheetData sheetId="1001">
        <row r="437">
          <cell r="B437" t="str">
            <v>LOCAL STAFF</v>
          </cell>
        </row>
      </sheetData>
      <sheetData sheetId="1002">
        <row r="437">
          <cell r="B437" t="str">
            <v>LOCAL STAFF</v>
          </cell>
        </row>
      </sheetData>
      <sheetData sheetId="1003">
        <row r="437">
          <cell r="B437" t="str">
            <v>LOCAL STAFF</v>
          </cell>
        </row>
      </sheetData>
      <sheetData sheetId="1004">
        <row r="437">
          <cell r="B437" t="str">
            <v>LOCAL STAFF</v>
          </cell>
        </row>
      </sheetData>
      <sheetData sheetId="1005">
        <row r="437">
          <cell r="B437" t="str">
            <v>LOCAL STAFF</v>
          </cell>
        </row>
      </sheetData>
      <sheetData sheetId="1006">
        <row r="437">
          <cell r="B437" t="str">
            <v>LOCAL STAFF</v>
          </cell>
        </row>
      </sheetData>
      <sheetData sheetId="1007">
        <row r="437">
          <cell r="B437" t="str">
            <v>LOCAL STAFF</v>
          </cell>
        </row>
      </sheetData>
      <sheetData sheetId="1008">
        <row r="437">
          <cell r="B437" t="str">
            <v>LOCAL STAFF</v>
          </cell>
        </row>
      </sheetData>
      <sheetData sheetId="1009">
        <row r="437">
          <cell r="B437" t="str">
            <v>LOCAL STAFF</v>
          </cell>
        </row>
      </sheetData>
      <sheetData sheetId="1010">
        <row r="437">
          <cell r="B437" t="str">
            <v>LOCAL STAFF</v>
          </cell>
        </row>
      </sheetData>
      <sheetData sheetId="1011">
        <row r="437">
          <cell r="B437" t="str">
            <v>LOCAL STAFF</v>
          </cell>
        </row>
      </sheetData>
      <sheetData sheetId="1012">
        <row r="437">
          <cell r="B437" t="str">
            <v>LOCAL STAFF</v>
          </cell>
        </row>
      </sheetData>
      <sheetData sheetId="1013">
        <row r="437">
          <cell r="B437" t="str">
            <v>LOCAL STAFF</v>
          </cell>
        </row>
      </sheetData>
      <sheetData sheetId="1014">
        <row r="437">
          <cell r="B437" t="str">
            <v>LOCAL STAFF</v>
          </cell>
        </row>
      </sheetData>
      <sheetData sheetId="1015">
        <row r="437">
          <cell r="B437" t="str">
            <v>LOCAL STAFF</v>
          </cell>
        </row>
      </sheetData>
      <sheetData sheetId="1016">
        <row r="437">
          <cell r="B437" t="str">
            <v>LOCAL STAFF</v>
          </cell>
        </row>
      </sheetData>
      <sheetData sheetId="1017">
        <row r="437">
          <cell r="B437" t="str">
            <v>LOCAL STAFF</v>
          </cell>
        </row>
      </sheetData>
      <sheetData sheetId="1018">
        <row r="437">
          <cell r="B437" t="str">
            <v>LOCAL STAFF</v>
          </cell>
        </row>
      </sheetData>
      <sheetData sheetId="1019">
        <row r="437">
          <cell r="B437" t="str">
            <v>LOCAL STAFF</v>
          </cell>
        </row>
      </sheetData>
      <sheetData sheetId="1020">
        <row r="437">
          <cell r="B437" t="str">
            <v>LOCAL STAFF</v>
          </cell>
        </row>
      </sheetData>
      <sheetData sheetId="1021">
        <row r="437">
          <cell r="B437" t="str">
            <v>LOCAL STAFF</v>
          </cell>
        </row>
      </sheetData>
      <sheetData sheetId="1022">
        <row r="437">
          <cell r="B437" t="str">
            <v>LOCAL STAFF</v>
          </cell>
        </row>
      </sheetData>
      <sheetData sheetId="1023">
        <row r="437">
          <cell r="B437" t="str">
            <v>LOCAL STAFF</v>
          </cell>
        </row>
      </sheetData>
      <sheetData sheetId="1024">
        <row r="437">
          <cell r="B437" t="str">
            <v>LOCAL STAFF</v>
          </cell>
        </row>
      </sheetData>
      <sheetData sheetId="1025">
        <row r="437">
          <cell r="B437" t="str">
            <v>LOCAL STAFF</v>
          </cell>
        </row>
      </sheetData>
      <sheetData sheetId="1026">
        <row r="437">
          <cell r="B437" t="str">
            <v>LOCAL STAFF</v>
          </cell>
        </row>
      </sheetData>
      <sheetData sheetId="1027">
        <row r="437">
          <cell r="B437" t="str">
            <v>LOCAL STAFF</v>
          </cell>
        </row>
      </sheetData>
      <sheetData sheetId="1028">
        <row r="437">
          <cell r="B437" t="str">
            <v>LOCAL STAFF</v>
          </cell>
        </row>
      </sheetData>
      <sheetData sheetId="1029">
        <row r="437">
          <cell r="B437" t="str">
            <v>LOCAL STAFF</v>
          </cell>
        </row>
      </sheetData>
      <sheetData sheetId="1030">
        <row r="437">
          <cell r="B437" t="str">
            <v>LOCAL STAFF</v>
          </cell>
        </row>
      </sheetData>
      <sheetData sheetId="1031">
        <row r="437">
          <cell r="B437" t="str">
            <v>LOCAL STAFF</v>
          </cell>
        </row>
      </sheetData>
      <sheetData sheetId="1032">
        <row r="437">
          <cell r="B437" t="str">
            <v>LOCAL STAFF</v>
          </cell>
        </row>
      </sheetData>
      <sheetData sheetId="1033">
        <row r="437">
          <cell r="B437" t="str">
            <v>LOCAL STAFF</v>
          </cell>
        </row>
      </sheetData>
      <sheetData sheetId="1034">
        <row r="437">
          <cell r="B437" t="str">
            <v>LOCAL STAFF</v>
          </cell>
        </row>
      </sheetData>
      <sheetData sheetId="1035">
        <row r="437">
          <cell r="B437" t="str">
            <v>LOCAL STAFF</v>
          </cell>
        </row>
      </sheetData>
      <sheetData sheetId="1036">
        <row r="437">
          <cell r="B437" t="str">
            <v>LOCAL STAFF</v>
          </cell>
        </row>
      </sheetData>
      <sheetData sheetId="1037">
        <row r="437">
          <cell r="B437" t="str">
            <v>LOCAL STAFF</v>
          </cell>
        </row>
      </sheetData>
      <sheetData sheetId="1038">
        <row r="437">
          <cell r="B437" t="str">
            <v>LOCAL STAFF</v>
          </cell>
        </row>
      </sheetData>
      <sheetData sheetId="1039">
        <row r="437">
          <cell r="B437" t="str">
            <v>LOCAL STAFF</v>
          </cell>
        </row>
      </sheetData>
      <sheetData sheetId="1040">
        <row r="437">
          <cell r="B437" t="str">
            <v>LOCAL STAFF</v>
          </cell>
        </row>
      </sheetData>
      <sheetData sheetId="1041">
        <row r="437">
          <cell r="B437" t="str">
            <v>LOCAL STAFF</v>
          </cell>
        </row>
      </sheetData>
      <sheetData sheetId="1042">
        <row r="437">
          <cell r="B437" t="str">
            <v>LOCAL STAFF</v>
          </cell>
        </row>
      </sheetData>
      <sheetData sheetId="1043">
        <row r="437">
          <cell r="B437" t="str">
            <v>LOCAL STAFF</v>
          </cell>
        </row>
      </sheetData>
      <sheetData sheetId="1044">
        <row r="437">
          <cell r="B437" t="str">
            <v>LOCAL STAFF</v>
          </cell>
        </row>
      </sheetData>
      <sheetData sheetId="1045">
        <row r="437">
          <cell r="B437" t="str">
            <v>LOCAL STAFF</v>
          </cell>
        </row>
      </sheetData>
      <sheetData sheetId="1046">
        <row r="437">
          <cell r="B437" t="str">
            <v>LOCAL STAFF</v>
          </cell>
        </row>
      </sheetData>
      <sheetData sheetId="1047">
        <row r="437">
          <cell r="B437" t="str">
            <v>LOCAL STAFF</v>
          </cell>
        </row>
      </sheetData>
      <sheetData sheetId="1048">
        <row r="437">
          <cell r="B437" t="str">
            <v>LOCAL STAFF</v>
          </cell>
        </row>
      </sheetData>
      <sheetData sheetId="1049">
        <row r="437">
          <cell r="B437" t="str">
            <v>LOCAL STAFF</v>
          </cell>
        </row>
      </sheetData>
      <sheetData sheetId="1050">
        <row r="437">
          <cell r="B437" t="str">
            <v>LOCAL STAFF</v>
          </cell>
        </row>
      </sheetData>
      <sheetData sheetId="1051">
        <row r="437">
          <cell r="B437" t="str">
            <v>LOCAL STAFF</v>
          </cell>
        </row>
      </sheetData>
      <sheetData sheetId="1052">
        <row r="437">
          <cell r="B437" t="str">
            <v>LOCAL STAFF</v>
          </cell>
        </row>
      </sheetData>
      <sheetData sheetId="1053">
        <row r="437">
          <cell r="B437" t="str">
            <v>LOCAL STAFF</v>
          </cell>
        </row>
      </sheetData>
      <sheetData sheetId="1054">
        <row r="437">
          <cell r="B437" t="str">
            <v>LOCAL STAFF</v>
          </cell>
        </row>
      </sheetData>
      <sheetData sheetId="1055">
        <row r="437">
          <cell r="B437" t="str">
            <v>LOCAL STAFF</v>
          </cell>
        </row>
      </sheetData>
      <sheetData sheetId="1056">
        <row r="437">
          <cell r="B437" t="str">
            <v>LOCAL STAFF</v>
          </cell>
        </row>
      </sheetData>
      <sheetData sheetId="1057">
        <row r="437">
          <cell r="B437" t="str">
            <v>LOCAL STAFF</v>
          </cell>
        </row>
      </sheetData>
      <sheetData sheetId="1058">
        <row r="437">
          <cell r="B437" t="str">
            <v>LOCAL STAFF</v>
          </cell>
        </row>
      </sheetData>
      <sheetData sheetId="1059">
        <row r="437">
          <cell r="B437" t="str">
            <v>LOCAL STAFF</v>
          </cell>
        </row>
      </sheetData>
      <sheetData sheetId="1060">
        <row r="437">
          <cell r="B437" t="str">
            <v>LOCAL STAFF</v>
          </cell>
        </row>
      </sheetData>
      <sheetData sheetId="1061">
        <row r="437">
          <cell r="B437" t="str">
            <v>LOCAL STAFF</v>
          </cell>
        </row>
      </sheetData>
      <sheetData sheetId="1062">
        <row r="437">
          <cell r="B437" t="str">
            <v>LOCAL STAFF</v>
          </cell>
        </row>
      </sheetData>
      <sheetData sheetId="1063">
        <row r="437">
          <cell r="B437" t="str">
            <v>LOCAL STAFF</v>
          </cell>
        </row>
      </sheetData>
      <sheetData sheetId="1064">
        <row r="437">
          <cell r="B437" t="str">
            <v>LOCAL STAFF</v>
          </cell>
        </row>
      </sheetData>
      <sheetData sheetId="1065">
        <row r="437">
          <cell r="B437" t="str">
            <v>LOCAL STAFF</v>
          </cell>
        </row>
      </sheetData>
      <sheetData sheetId="1066">
        <row r="437">
          <cell r="B437" t="str">
            <v>LOCAL STAFF</v>
          </cell>
        </row>
      </sheetData>
      <sheetData sheetId="1067">
        <row r="437">
          <cell r="B437" t="str">
            <v>LOCAL STAFF</v>
          </cell>
        </row>
      </sheetData>
      <sheetData sheetId="1068">
        <row r="437">
          <cell r="B437" t="str">
            <v>LOCAL STAFF</v>
          </cell>
        </row>
      </sheetData>
      <sheetData sheetId="1069">
        <row r="437">
          <cell r="B437" t="str">
            <v>LOCAL STAFF</v>
          </cell>
        </row>
      </sheetData>
      <sheetData sheetId="1070">
        <row r="437">
          <cell r="B437" t="str">
            <v>LOCAL STAFF</v>
          </cell>
        </row>
      </sheetData>
      <sheetData sheetId="1071">
        <row r="437">
          <cell r="B437" t="str">
            <v>LOCAL STAFF</v>
          </cell>
        </row>
      </sheetData>
      <sheetData sheetId="1072">
        <row r="437">
          <cell r="B437" t="str">
            <v>LOCAL STAFF</v>
          </cell>
        </row>
      </sheetData>
      <sheetData sheetId="1073">
        <row r="437">
          <cell r="B437" t="str">
            <v>LOCAL STAFF</v>
          </cell>
        </row>
      </sheetData>
      <sheetData sheetId="1074">
        <row r="437">
          <cell r="B437" t="str">
            <v>LOCAL STAFF</v>
          </cell>
        </row>
      </sheetData>
      <sheetData sheetId="1075">
        <row r="437">
          <cell r="B437" t="str">
            <v>LOCAL STAFF</v>
          </cell>
        </row>
      </sheetData>
      <sheetData sheetId="1076">
        <row r="437">
          <cell r="B437" t="str">
            <v>LOCAL STAFF</v>
          </cell>
        </row>
      </sheetData>
      <sheetData sheetId="1077">
        <row r="437">
          <cell r="B437" t="str">
            <v>LOCAL STAFF</v>
          </cell>
        </row>
      </sheetData>
      <sheetData sheetId="1078">
        <row r="437">
          <cell r="B437" t="str">
            <v>LOCAL STAFF</v>
          </cell>
        </row>
      </sheetData>
      <sheetData sheetId="1079">
        <row r="437">
          <cell r="B437" t="str">
            <v>LOCAL STAFF</v>
          </cell>
        </row>
      </sheetData>
      <sheetData sheetId="1080">
        <row r="437">
          <cell r="B437" t="str">
            <v>LOCAL STAFF</v>
          </cell>
        </row>
      </sheetData>
      <sheetData sheetId="1081">
        <row r="437">
          <cell r="B437" t="str">
            <v>LOCAL STAFF</v>
          </cell>
        </row>
      </sheetData>
      <sheetData sheetId="1082">
        <row r="437">
          <cell r="B437" t="str">
            <v>LOCAL STAFF</v>
          </cell>
        </row>
      </sheetData>
      <sheetData sheetId="1083">
        <row r="437">
          <cell r="B437" t="str">
            <v>LOCAL STAFF</v>
          </cell>
        </row>
      </sheetData>
      <sheetData sheetId="1084">
        <row r="437">
          <cell r="B437" t="str">
            <v>LOCAL STAFF</v>
          </cell>
        </row>
      </sheetData>
      <sheetData sheetId="1085">
        <row r="437">
          <cell r="B437" t="str">
            <v>LOCAL STAFF</v>
          </cell>
        </row>
      </sheetData>
      <sheetData sheetId="1086">
        <row r="437">
          <cell r="B437" t="str">
            <v>LOCAL STAFF</v>
          </cell>
        </row>
      </sheetData>
      <sheetData sheetId="1087">
        <row r="437">
          <cell r="B437" t="str">
            <v>LOCAL STAFF</v>
          </cell>
        </row>
      </sheetData>
      <sheetData sheetId="1088">
        <row r="437">
          <cell r="B437" t="str">
            <v>LOCAL STAFF</v>
          </cell>
        </row>
      </sheetData>
      <sheetData sheetId="1089">
        <row r="437">
          <cell r="B437" t="str">
            <v>LOCAL STAFF</v>
          </cell>
        </row>
      </sheetData>
      <sheetData sheetId="1090">
        <row r="437">
          <cell r="B437" t="str">
            <v>LOCAL STAFF</v>
          </cell>
        </row>
      </sheetData>
      <sheetData sheetId="1091">
        <row r="437">
          <cell r="B437" t="str">
            <v>LOCAL STAFF</v>
          </cell>
        </row>
      </sheetData>
      <sheetData sheetId="1092">
        <row r="437">
          <cell r="B437" t="str">
            <v>LOCAL STAFF</v>
          </cell>
        </row>
      </sheetData>
      <sheetData sheetId="1093">
        <row r="437">
          <cell r="B437" t="str">
            <v>LOCAL STAFF</v>
          </cell>
        </row>
      </sheetData>
      <sheetData sheetId="1094">
        <row r="437">
          <cell r="B437" t="str">
            <v>LOCAL STAFF</v>
          </cell>
        </row>
      </sheetData>
      <sheetData sheetId="1095">
        <row r="437">
          <cell r="B437" t="str">
            <v>LOCAL STAFF</v>
          </cell>
        </row>
      </sheetData>
      <sheetData sheetId="1096">
        <row r="437">
          <cell r="B437" t="str">
            <v>LOCAL STAFF</v>
          </cell>
        </row>
      </sheetData>
      <sheetData sheetId="1097">
        <row r="437">
          <cell r="B437" t="str">
            <v>LOCAL STAFF</v>
          </cell>
        </row>
      </sheetData>
      <sheetData sheetId="1098">
        <row r="437">
          <cell r="B437" t="str">
            <v>LOCAL STAFF</v>
          </cell>
        </row>
      </sheetData>
      <sheetData sheetId="1099">
        <row r="437">
          <cell r="B437" t="str">
            <v>LOCAL STAFF</v>
          </cell>
        </row>
      </sheetData>
      <sheetData sheetId="1100">
        <row r="437">
          <cell r="B437" t="str">
            <v>LOCAL STAFF</v>
          </cell>
        </row>
      </sheetData>
      <sheetData sheetId="1101">
        <row r="437">
          <cell r="B437" t="str">
            <v>LOCAL STAFF</v>
          </cell>
        </row>
      </sheetData>
      <sheetData sheetId="1102">
        <row r="437">
          <cell r="B437" t="str">
            <v>LOCAL STAFF</v>
          </cell>
        </row>
      </sheetData>
      <sheetData sheetId="1103">
        <row r="437">
          <cell r="B437" t="str">
            <v>LOCAL STAFF</v>
          </cell>
        </row>
      </sheetData>
      <sheetData sheetId="1104">
        <row r="437">
          <cell r="B437" t="str">
            <v>LOCAL STAFF</v>
          </cell>
        </row>
      </sheetData>
      <sheetData sheetId="1105">
        <row r="437">
          <cell r="B437" t="str">
            <v>LOCAL STAFF</v>
          </cell>
        </row>
      </sheetData>
      <sheetData sheetId="1106">
        <row r="437">
          <cell r="B437" t="str">
            <v>LOCAL STAFF</v>
          </cell>
        </row>
      </sheetData>
      <sheetData sheetId="1107">
        <row r="437">
          <cell r="B437" t="str">
            <v>LOCAL STAFF</v>
          </cell>
        </row>
      </sheetData>
      <sheetData sheetId="1108">
        <row r="437">
          <cell r="B437" t="str">
            <v>LOCAL STAFF</v>
          </cell>
        </row>
      </sheetData>
      <sheetData sheetId="1109">
        <row r="437">
          <cell r="B437" t="str">
            <v>LOCAL STAFF</v>
          </cell>
        </row>
      </sheetData>
      <sheetData sheetId="1110">
        <row r="437">
          <cell r="B437" t="str">
            <v>LOCAL STAFF</v>
          </cell>
        </row>
      </sheetData>
      <sheetData sheetId="1111">
        <row r="437">
          <cell r="B437" t="str">
            <v>LOCAL STAFF</v>
          </cell>
        </row>
      </sheetData>
      <sheetData sheetId="1112">
        <row r="437">
          <cell r="B437" t="str">
            <v>LOCAL STAFF</v>
          </cell>
        </row>
      </sheetData>
      <sheetData sheetId="1113">
        <row r="437">
          <cell r="B437" t="str">
            <v>LOCAL STAFF</v>
          </cell>
        </row>
      </sheetData>
      <sheetData sheetId="1114">
        <row r="437">
          <cell r="B437" t="str">
            <v>LOCAL STAFF</v>
          </cell>
        </row>
      </sheetData>
      <sheetData sheetId="1115">
        <row r="437">
          <cell r="B437" t="str">
            <v>LOCAL STAFF</v>
          </cell>
        </row>
      </sheetData>
      <sheetData sheetId="1116">
        <row r="437">
          <cell r="B437" t="str">
            <v>LOCAL STAFF</v>
          </cell>
        </row>
      </sheetData>
      <sheetData sheetId="1117">
        <row r="437">
          <cell r="B437" t="str">
            <v>LOCAL STAFF</v>
          </cell>
        </row>
      </sheetData>
      <sheetData sheetId="1118">
        <row r="437">
          <cell r="B437" t="str">
            <v>LOCAL STAFF</v>
          </cell>
        </row>
      </sheetData>
      <sheetData sheetId="1119">
        <row r="437">
          <cell r="B437" t="str">
            <v>LOCAL STAFF</v>
          </cell>
        </row>
      </sheetData>
      <sheetData sheetId="1120">
        <row r="437">
          <cell r="B437" t="str">
            <v>LOCAL STAFF</v>
          </cell>
        </row>
      </sheetData>
      <sheetData sheetId="1121">
        <row r="437">
          <cell r="B437" t="str">
            <v>LOCAL STAFF</v>
          </cell>
        </row>
      </sheetData>
      <sheetData sheetId="1122">
        <row r="437">
          <cell r="B437" t="str">
            <v>LOCAL STAFF</v>
          </cell>
        </row>
      </sheetData>
      <sheetData sheetId="1123">
        <row r="437">
          <cell r="B437" t="str">
            <v>LOCAL STAFF</v>
          </cell>
        </row>
      </sheetData>
      <sheetData sheetId="1124">
        <row r="437">
          <cell r="B437" t="str">
            <v>LOCAL STAFF</v>
          </cell>
        </row>
      </sheetData>
      <sheetData sheetId="1125">
        <row r="437">
          <cell r="B437" t="str">
            <v>LOCAL STAFF</v>
          </cell>
        </row>
      </sheetData>
      <sheetData sheetId="1126">
        <row r="437">
          <cell r="B437" t="str">
            <v>LOCAL STAFF</v>
          </cell>
        </row>
      </sheetData>
      <sheetData sheetId="1127">
        <row r="437">
          <cell r="B437" t="str">
            <v>LOCAL STAFF</v>
          </cell>
        </row>
      </sheetData>
      <sheetData sheetId="1128">
        <row r="437">
          <cell r="B437" t="str">
            <v>LOCAL STAFF</v>
          </cell>
        </row>
      </sheetData>
      <sheetData sheetId="1129">
        <row r="437">
          <cell r="B437" t="str">
            <v>LOCAL STAFF</v>
          </cell>
        </row>
      </sheetData>
      <sheetData sheetId="1130">
        <row r="437">
          <cell r="B437" t="str">
            <v>LOCAL STAFF</v>
          </cell>
        </row>
      </sheetData>
      <sheetData sheetId="1131">
        <row r="437">
          <cell r="B437" t="str">
            <v>LOCAL STAFF</v>
          </cell>
        </row>
      </sheetData>
      <sheetData sheetId="1132">
        <row r="437">
          <cell r="B437" t="str">
            <v>LOCAL STAFF</v>
          </cell>
        </row>
      </sheetData>
      <sheetData sheetId="1133">
        <row r="437">
          <cell r="B437" t="str">
            <v>LOCAL STAFF</v>
          </cell>
        </row>
      </sheetData>
      <sheetData sheetId="1134">
        <row r="437">
          <cell r="B437" t="str">
            <v>LOCAL STAFF</v>
          </cell>
        </row>
      </sheetData>
      <sheetData sheetId="1135">
        <row r="437">
          <cell r="B437" t="str">
            <v>LOCAL STAFF</v>
          </cell>
        </row>
      </sheetData>
      <sheetData sheetId="1136">
        <row r="437">
          <cell r="B437" t="str">
            <v>LOCAL STAFF</v>
          </cell>
        </row>
      </sheetData>
      <sheetData sheetId="1137">
        <row r="437">
          <cell r="B437" t="str">
            <v>LOCAL STAFF</v>
          </cell>
        </row>
      </sheetData>
      <sheetData sheetId="1138">
        <row r="437">
          <cell r="B437" t="str">
            <v>LOCAL STAFF</v>
          </cell>
        </row>
      </sheetData>
      <sheetData sheetId="1139">
        <row r="437">
          <cell r="B437" t="str">
            <v>LOCAL STAFF</v>
          </cell>
        </row>
      </sheetData>
      <sheetData sheetId="1140">
        <row r="437">
          <cell r="B437" t="str">
            <v>LOCAL STAFF</v>
          </cell>
        </row>
      </sheetData>
      <sheetData sheetId="1141">
        <row r="437">
          <cell r="B437" t="str">
            <v>LOCAL STAFF</v>
          </cell>
        </row>
      </sheetData>
      <sheetData sheetId="1142">
        <row r="437">
          <cell r="B437" t="str">
            <v>LOCAL STAFF</v>
          </cell>
        </row>
      </sheetData>
      <sheetData sheetId="1143">
        <row r="437">
          <cell r="B437" t="str">
            <v>LOCAL STAFF</v>
          </cell>
        </row>
      </sheetData>
      <sheetData sheetId="1144">
        <row r="437">
          <cell r="B437" t="str">
            <v>LOCAL STAFF</v>
          </cell>
        </row>
      </sheetData>
      <sheetData sheetId="1145">
        <row r="437">
          <cell r="B437" t="str">
            <v>LOCAL STAFF</v>
          </cell>
        </row>
      </sheetData>
      <sheetData sheetId="1146">
        <row r="437">
          <cell r="B437" t="str">
            <v>LOCAL STAFF</v>
          </cell>
        </row>
      </sheetData>
      <sheetData sheetId="1147">
        <row r="437">
          <cell r="B437" t="str">
            <v>LOCAL STAFF</v>
          </cell>
        </row>
      </sheetData>
      <sheetData sheetId="1148">
        <row r="437">
          <cell r="B437" t="str">
            <v>LOCAL STAFF</v>
          </cell>
        </row>
      </sheetData>
      <sheetData sheetId="1149">
        <row r="437">
          <cell r="B437" t="str">
            <v>LOCAL STAFF</v>
          </cell>
        </row>
      </sheetData>
      <sheetData sheetId="1150">
        <row r="437">
          <cell r="B437" t="str">
            <v>LOCAL STAFF</v>
          </cell>
        </row>
      </sheetData>
      <sheetData sheetId="1151">
        <row r="437">
          <cell r="B437" t="str">
            <v>LOCAL STAFF</v>
          </cell>
        </row>
      </sheetData>
      <sheetData sheetId="1152">
        <row r="437">
          <cell r="B437" t="str">
            <v>LOCAL STAFF</v>
          </cell>
        </row>
      </sheetData>
      <sheetData sheetId="1153">
        <row r="437">
          <cell r="B437" t="str">
            <v>LOCAL STAFF</v>
          </cell>
        </row>
      </sheetData>
      <sheetData sheetId="1154">
        <row r="437">
          <cell r="B437" t="str">
            <v>LOCAL STAFF</v>
          </cell>
        </row>
      </sheetData>
      <sheetData sheetId="1155">
        <row r="437">
          <cell r="B437" t="str">
            <v>LOCAL STAFF</v>
          </cell>
        </row>
      </sheetData>
      <sheetData sheetId="1156">
        <row r="437">
          <cell r="B437" t="str">
            <v>LOCAL STAFF</v>
          </cell>
        </row>
      </sheetData>
      <sheetData sheetId="1157">
        <row r="437">
          <cell r="B437" t="str">
            <v>LOCAL STAFF</v>
          </cell>
        </row>
      </sheetData>
      <sheetData sheetId="1158">
        <row r="437">
          <cell r="B437" t="str">
            <v>LOCAL STAFF</v>
          </cell>
        </row>
      </sheetData>
      <sheetData sheetId="1159">
        <row r="437">
          <cell r="B437" t="str">
            <v>LOCAL STAFF</v>
          </cell>
        </row>
      </sheetData>
      <sheetData sheetId="1160">
        <row r="437">
          <cell r="B437" t="str">
            <v>LOCAL STAFF</v>
          </cell>
        </row>
      </sheetData>
      <sheetData sheetId="1161">
        <row r="437">
          <cell r="B437" t="str">
            <v>LOCAL STAFF</v>
          </cell>
        </row>
      </sheetData>
      <sheetData sheetId="1162">
        <row r="437">
          <cell r="B437" t="str">
            <v>LOCAL STAFF</v>
          </cell>
        </row>
      </sheetData>
      <sheetData sheetId="1163">
        <row r="437">
          <cell r="B437" t="str">
            <v>LOCAL STAFF</v>
          </cell>
        </row>
      </sheetData>
      <sheetData sheetId="1164">
        <row r="437">
          <cell r="B437" t="str">
            <v>LOCAL STAFF</v>
          </cell>
        </row>
      </sheetData>
      <sheetData sheetId="1165">
        <row r="437">
          <cell r="B437" t="str">
            <v>LOCAL STAFF</v>
          </cell>
        </row>
      </sheetData>
      <sheetData sheetId="1166">
        <row r="437">
          <cell r="B437" t="str">
            <v>LOCAL STAFF</v>
          </cell>
        </row>
      </sheetData>
      <sheetData sheetId="1167">
        <row r="437">
          <cell r="B437" t="str">
            <v>LOCAL STAFF</v>
          </cell>
        </row>
      </sheetData>
      <sheetData sheetId="1168">
        <row r="437">
          <cell r="B437" t="str">
            <v>LOCAL STAFF</v>
          </cell>
        </row>
      </sheetData>
      <sheetData sheetId="1169">
        <row r="437">
          <cell r="B437" t="str">
            <v>LOCAL STAFF</v>
          </cell>
        </row>
      </sheetData>
      <sheetData sheetId="1170">
        <row r="437">
          <cell r="B437" t="str">
            <v>LOCAL STAFF</v>
          </cell>
        </row>
      </sheetData>
      <sheetData sheetId="1171">
        <row r="437">
          <cell r="B437" t="str">
            <v>LOCAL STAFF</v>
          </cell>
        </row>
      </sheetData>
      <sheetData sheetId="1172">
        <row r="437">
          <cell r="B437" t="str">
            <v>LOCAL STAFF</v>
          </cell>
        </row>
      </sheetData>
      <sheetData sheetId="1173">
        <row r="437">
          <cell r="B437" t="str">
            <v>LOCAL STAFF</v>
          </cell>
        </row>
      </sheetData>
      <sheetData sheetId="1174">
        <row r="437">
          <cell r="B437" t="str">
            <v>LOCAL STAFF</v>
          </cell>
        </row>
      </sheetData>
      <sheetData sheetId="1175">
        <row r="437">
          <cell r="B437" t="str">
            <v>LOCAL STAFF</v>
          </cell>
        </row>
      </sheetData>
      <sheetData sheetId="1176">
        <row r="437">
          <cell r="B437" t="str">
            <v>LOCAL STAFF</v>
          </cell>
        </row>
      </sheetData>
      <sheetData sheetId="1177">
        <row r="437">
          <cell r="B437" t="str">
            <v>LOCAL STAFF</v>
          </cell>
        </row>
      </sheetData>
      <sheetData sheetId="1178">
        <row r="437">
          <cell r="B437" t="str">
            <v>LOCAL STAFF</v>
          </cell>
        </row>
      </sheetData>
      <sheetData sheetId="1179">
        <row r="437">
          <cell r="B437" t="str">
            <v>LOCAL STAFF</v>
          </cell>
        </row>
      </sheetData>
      <sheetData sheetId="1180">
        <row r="437">
          <cell r="B437" t="str">
            <v>LOCAL STAFF</v>
          </cell>
        </row>
      </sheetData>
      <sheetData sheetId="1181">
        <row r="437">
          <cell r="B437" t="str">
            <v>LOCAL STAFF</v>
          </cell>
        </row>
      </sheetData>
      <sheetData sheetId="1182">
        <row r="437">
          <cell r="B437" t="str">
            <v>LOCAL STAFF</v>
          </cell>
        </row>
      </sheetData>
      <sheetData sheetId="1183">
        <row r="437">
          <cell r="B437" t="str">
            <v>LOCAL STAFF</v>
          </cell>
        </row>
      </sheetData>
      <sheetData sheetId="1184">
        <row r="437">
          <cell r="B437" t="str">
            <v>LOCAL STAFF</v>
          </cell>
        </row>
      </sheetData>
      <sheetData sheetId="1185">
        <row r="437">
          <cell r="B437" t="str">
            <v>LOCAL STAFF</v>
          </cell>
        </row>
      </sheetData>
      <sheetData sheetId="1186">
        <row r="437">
          <cell r="B437" t="str">
            <v>LOCAL STAFF</v>
          </cell>
        </row>
      </sheetData>
      <sheetData sheetId="1187">
        <row r="437">
          <cell r="B437" t="str">
            <v>LOCAL STAFF</v>
          </cell>
        </row>
      </sheetData>
      <sheetData sheetId="1188">
        <row r="437">
          <cell r="B437" t="str">
            <v>LOCAL STAFF</v>
          </cell>
        </row>
      </sheetData>
      <sheetData sheetId="1189">
        <row r="437">
          <cell r="B437" t="str">
            <v>LOCAL STAFF</v>
          </cell>
        </row>
      </sheetData>
      <sheetData sheetId="1190">
        <row r="437">
          <cell r="B437" t="str">
            <v>LOCAL STAFF</v>
          </cell>
        </row>
      </sheetData>
      <sheetData sheetId="1191">
        <row r="437">
          <cell r="B437" t="str">
            <v>LOCAL STAFF</v>
          </cell>
        </row>
      </sheetData>
      <sheetData sheetId="1192">
        <row r="437">
          <cell r="B437" t="str">
            <v>LOCAL STAFF</v>
          </cell>
        </row>
      </sheetData>
      <sheetData sheetId="1193">
        <row r="437">
          <cell r="B437" t="str">
            <v>LOCAL STAFF</v>
          </cell>
        </row>
      </sheetData>
      <sheetData sheetId="1194">
        <row r="437">
          <cell r="B437" t="str">
            <v>LOCAL STAFF</v>
          </cell>
        </row>
      </sheetData>
      <sheetData sheetId="1195">
        <row r="437">
          <cell r="B437" t="str">
            <v>LOCAL STAFF</v>
          </cell>
        </row>
      </sheetData>
      <sheetData sheetId="1196">
        <row r="437">
          <cell r="B437" t="str">
            <v>LOCAL STAFF</v>
          </cell>
        </row>
      </sheetData>
      <sheetData sheetId="1197">
        <row r="437">
          <cell r="B437" t="str">
            <v>LOCAL STAFF</v>
          </cell>
        </row>
      </sheetData>
      <sheetData sheetId="1198">
        <row r="437">
          <cell r="B437" t="str">
            <v>LOCAL STAFF</v>
          </cell>
        </row>
      </sheetData>
      <sheetData sheetId="1199">
        <row r="437">
          <cell r="B437" t="str">
            <v>LOCAL STAFF</v>
          </cell>
        </row>
      </sheetData>
      <sheetData sheetId="1200">
        <row r="437">
          <cell r="B437" t="str">
            <v>LOCAL STAFF</v>
          </cell>
        </row>
      </sheetData>
      <sheetData sheetId="1201">
        <row r="437">
          <cell r="B437" t="str">
            <v>LOCAL STAFF</v>
          </cell>
        </row>
      </sheetData>
      <sheetData sheetId="1202">
        <row r="437">
          <cell r="B437" t="str">
            <v>LOCAL STAFF</v>
          </cell>
        </row>
      </sheetData>
      <sheetData sheetId="1203">
        <row r="437">
          <cell r="B437" t="str">
            <v>LOCAL STAFF</v>
          </cell>
        </row>
      </sheetData>
      <sheetData sheetId="1204">
        <row r="437">
          <cell r="B437" t="str">
            <v>LOCAL STAFF</v>
          </cell>
        </row>
      </sheetData>
      <sheetData sheetId="1205">
        <row r="437">
          <cell r="B437" t="str">
            <v>LOCAL STAFF</v>
          </cell>
        </row>
      </sheetData>
      <sheetData sheetId="1206">
        <row r="437">
          <cell r="B437" t="str">
            <v>LOCAL STAFF</v>
          </cell>
        </row>
      </sheetData>
      <sheetData sheetId="1207">
        <row r="437">
          <cell r="B437" t="str">
            <v>LOCAL STAFF</v>
          </cell>
        </row>
      </sheetData>
      <sheetData sheetId="1208">
        <row r="437">
          <cell r="B437" t="str">
            <v>LOCAL STAFF</v>
          </cell>
        </row>
      </sheetData>
      <sheetData sheetId="1209">
        <row r="437">
          <cell r="B437" t="str">
            <v>LOCAL STAFF</v>
          </cell>
        </row>
      </sheetData>
      <sheetData sheetId="1210">
        <row r="437">
          <cell r="B437" t="str">
            <v>LOCAL STAFF</v>
          </cell>
        </row>
      </sheetData>
      <sheetData sheetId="1211">
        <row r="437">
          <cell r="B437" t="str">
            <v>LOCAL STAFF</v>
          </cell>
        </row>
      </sheetData>
      <sheetData sheetId="1212">
        <row r="437">
          <cell r="B437" t="str">
            <v>LOCAL STAFF</v>
          </cell>
        </row>
      </sheetData>
      <sheetData sheetId="1213">
        <row r="437">
          <cell r="B437" t="str">
            <v>LOCAL STAFF</v>
          </cell>
        </row>
      </sheetData>
      <sheetData sheetId="1214">
        <row r="437">
          <cell r="B437" t="str">
            <v>LOCAL STAFF</v>
          </cell>
        </row>
      </sheetData>
      <sheetData sheetId="1215">
        <row r="437">
          <cell r="B437" t="str">
            <v>LOCAL STAFF</v>
          </cell>
        </row>
      </sheetData>
      <sheetData sheetId="1216">
        <row r="437">
          <cell r="B437" t="str">
            <v>LOCAL STAFF</v>
          </cell>
        </row>
      </sheetData>
      <sheetData sheetId="1217">
        <row r="437">
          <cell r="B437" t="str">
            <v>LOCAL STAFF</v>
          </cell>
        </row>
      </sheetData>
      <sheetData sheetId="1218">
        <row r="437">
          <cell r="B437" t="str">
            <v>LOCAL STAFF</v>
          </cell>
        </row>
      </sheetData>
      <sheetData sheetId="1219">
        <row r="437">
          <cell r="B437" t="str">
            <v>LOCAL STAFF</v>
          </cell>
        </row>
      </sheetData>
      <sheetData sheetId="1220">
        <row r="437">
          <cell r="B437" t="str">
            <v>LOCAL STAFF</v>
          </cell>
        </row>
      </sheetData>
      <sheetData sheetId="1221">
        <row r="437">
          <cell r="B437" t="str">
            <v>LOCAL STAFF</v>
          </cell>
        </row>
      </sheetData>
      <sheetData sheetId="1222">
        <row r="437">
          <cell r="B437" t="str">
            <v>LOCAL STAFF</v>
          </cell>
        </row>
      </sheetData>
      <sheetData sheetId="1223">
        <row r="437">
          <cell r="B437" t="str">
            <v>LOCAL STAFF</v>
          </cell>
        </row>
      </sheetData>
      <sheetData sheetId="1224">
        <row r="437">
          <cell r="B437" t="str">
            <v>LOCAL STAFF</v>
          </cell>
        </row>
      </sheetData>
      <sheetData sheetId="1225">
        <row r="437">
          <cell r="B437" t="str">
            <v>LOCAL STAFF</v>
          </cell>
        </row>
      </sheetData>
      <sheetData sheetId="1226">
        <row r="437">
          <cell r="B437" t="str">
            <v>LOCAL STAFF</v>
          </cell>
        </row>
      </sheetData>
      <sheetData sheetId="1227">
        <row r="437">
          <cell r="B437" t="str">
            <v>LOCAL STAFF</v>
          </cell>
        </row>
      </sheetData>
      <sheetData sheetId="1228">
        <row r="437">
          <cell r="B437" t="str">
            <v>LOCAL STAFF</v>
          </cell>
        </row>
      </sheetData>
      <sheetData sheetId="1229">
        <row r="437">
          <cell r="B437" t="str">
            <v>LOCAL STAFF</v>
          </cell>
        </row>
      </sheetData>
      <sheetData sheetId="1230">
        <row r="437">
          <cell r="B437" t="str">
            <v>LOCAL STAFF</v>
          </cell>
        </row>
      </sheetData>
      <sheetData sheetId="1231">
        <row r="437">
          <cell r="B437" t="str">
            <v>LOCAL STAFF</v>
          </cell>
        </row>
      </sheetData>
      <sheetData sheetId="1232">
        <row r="437">
          <cell r="B437" t="str">
            <v>LOCAL STAFF</v>
          </cell>
        </row>
      </sheetData>
      <sheetData sheetId="1233">
        <row r="437">
          <cell r="B437" t="str">
            <v>LOCAL STAFF</v>
          </cell>
        </row>
      </sheetData>
      <sheetData sheetId="1234">
        <row r="437">
          <cell r="B437" t="str">
            <v>LOCAL STAFF</v>
          </cell>
        </row>
      </sheetData>
      <sheetData sheetId="1235">
        <row r="437">
          <cell r="B437" t="str">
            <v>LOCAL STAFF</v>
          </cell>
        </row>
      </sheetData>
      <sheetData sheetId="1236">
        <row r="437">
          <cell r="B437" t="str">
            <v>LOCAL STAFF</v>
          </cell>
        </row>
      </sheetData>
      <sheetData sheetId="1237">
        <row r="437">
          <cell r="B437" t="str">
            <v>LOCAL STAFF</v>
          </cell>
        </row>
      </sheetData>
      <sheetData sheetId="1238">
        <row r="437">
          <cell r="B437" t="str">
            <v>LOCAL STAFF</v>
          </cell>
        </row>
      </sheetData>
      <sheetData sheetId="1239">
        <row r="437">
          <cell r="B437" t="str">
            <v>LOCAL STAFF</v>
          </cell>
        </row>
      </sheetData>
      <sheetData sheetId="1240">
        <row r="437">
          <cell r="B437" t="str">
            <v>LOCAL STAFF</v>
          </cell>
        </row>
      </sheetData>
      <sheetData sheetId="1241">
        <row r="437">
          <cell r="B437" t="str">
            <v>LOCAL STAFF</v>
          </cell>
        </row>
      </sheetData>
      <sheetData sheetId="1242">
        <row r="437">
          <cell r="B437" t="str">
            <v>LOCAL STAFF</v>
          </cell>
        </row>
      </sheetData>
      <sheetData sheetId="1243">
        <row r="437">
          <cell r="B437" t="str">
            <v>LOCAL STAFF</v>
          </cell>
        </row>
      </sheetData>
      <sheetData sheetId="1244">
        <row r="437">
          <cell r="B437" t="str">
            <v>LOCAL STAFF</v>
          </cell>
        </row>
      </sheetData>
      <sheetData sheetId="1245">
        <row r="437">
          <cell r="B437" t="str">
            <v>LOCAL STAFF</v>
          </cell>
        </row>
      </sheetData>
      <sheetData sheetId="1246">
        <row r="437">
          <cell r="B437" t="str">
            <v>LOCAL STAFF</v>
          </cell>
        </row>
      </sheetData>
      <sheetData sheetId="1247">
        <row r="437">
          <cell r="B437" t="str">
            <v>LOCAL STAFF</v>
          </cell>
        </row>
      </sheetData>
      <sheetData sheetId="1248">
        <row r="437">
          <cell r="B437" t="str">
            <v>LOCAL STAFF</v>
          </cell>
        </row>
      </sheetData>
      <sheetData sheetId="1249">
        <row r="437">
          <cell r="B437" t="str">
            <v>LOCAL STAFF</v>
          </cell>
        </row>
      </sheetData>
      <sheetData sheetId="1250">
        <row r="437">
          <cell r="B437" t="str">
            <v>LOCAL STAFF</v>
          </cell>
        </row>
      </sheetData>
      <sheetData sheetId="1251">
        <row r="437">
          <cell r="B437" t="str">
            <v>LOCAL STAFF</v>
          </cell>
        </row>
      </sheetData>
      <sheetData sheetId="1252">
        <row r="437">
          <cell r="B437" t="str">
            <v>LOCAL STAFF</v>
          </cell>
        </row>
      </sheetData>
      <sheetData sheetId="1253">
        <row r="437">
          <cell r="B437" t="str">
            <v>LOCAL STAFF</v>
          </cell>
        </row>
      </sheetData>
      <sheetData sheetId="1254">
        <row r="437">
          <cell r="B437" t="str">
            <v>LOCAL STAFF</v>
          </cell>
        </row>
      </sheetData>
      <sheetData sheetId="1255">
        <row r="437">
          <cell r="B437" t="str">
            <v>LOCAL STAFF</v>
          </cell>
        </row>
      </sheetData>
      <sheetData sheetId="1256">
        <row r="437">
          <cell r="B437" t="str">
            <v>LOCAL STAFF</v>
          </cell>
        </row>
      </sheetData>
      <sheetData sheetId="1257">
        <row r="437">
          <cell r="B437" t="str">
            <v>LOCAL STAFF</v>
          </cell>
        </row>
      </sheetData>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ow r="437">
          <cell r="B437" t="str">
            <v>LOCAL STAFF</v>
          </cell>
        </row>
      </sheetData>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ow r="437">
          <cell r="B437" t="str">
            <v>LOCAL STAFF</v>
          </cell>
        </row>
      </sheetData>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ow r="437">
          <cell r="B437" t="str">
            <v>LOCAL STAFF</v>
          </cell>
        </row>
      </sheetData>
      <sheetData sheetId="1431" refreshError="1"/>
      <sheetData sheetId="1432" refreshError="1"/>
      <sheetData sheetId="1433" refreshError="1"/>
      <sheetData sheetId="1434">
        <row r="437">
          <cell r="B437" t="str">
            <v>LOCAL STAFF</v>
          </cell>
        </row>
      </sheetData>
      <sheetData sheetId="1435">
        <row r="437">
          <cell r="B437" t="str">
            <v>LOCAL STAFF</v>
          </cell>
        </row>
      </sheetData>
      <sheetData sheetId="1436">
        <row r="437">
          <cell r="B437" t="str">
            <v>LOCAL STAFF</v>
          </cell>
        </row>
      </sheetData>
      <sheetData sheetId="1437">
        <row r="437">
          <cell r="B437" t="str">
            <v>LOCAL STAFF</v>
          </cell>
        </row>
      </sheetData>
      <sheetData sheetId="1438">
        <row r="437">
          <cell r="B437" t="str">
            <v>LOCAL STAFF</v>
          </cell>
        </row>
      </sheetData>
      <sheetData sheetId="1439">
        <row r="437">
          <cell r="B437" t="str">
            <v>LOCAL STAFF</v>
          </cell>
        </row>
      </sheetData>
      <sheetData sheetId="1440">
        <row r="437">
          <cell r="B437" t="str">
            <v>LOCAL STAFF</v>
          </cell>
        </row>
      </sheetData>
      <sheetData sheetId="1441">
        <row r="437">
          <cell r="B437" t="str">
            <v>LOCAL STAFF</v>
          </cell>
        </row>
      </sheetData>
      <sheetData sheetId="1442">
        <row r="437">
          <cell r="B437" t="str">
            <v>LOCAL STAFF</v>
          </cell>
        </row>
      </sheetData>
      <sheetData sheetId="1443">
        <row r="437">
          <cell r="B437" t="str">
            <v>LOCAL STAFF</v>
          </cell>
        </row>
      </sheetData>
      <sheetData sheetId="1444">
        <row r="437">
          <cell r="B437" t="str">
            <v>LOCAL STAFF</v>
          </cell>
        </row>
      </sheetData>
      <sheetData sheetId="1445">
        <row r="437">
          <cell r="B437" t="str">
            <v>LOCAL STAFF</v>
          </cell>
        </row>
      </sheetData>
      <sheetData sheetId="1446">
        <row r="437">
          <cell r="B437" t="str">
            <v>LOCAL STAFF</v>
          </cell>
        </row>
      </sheetData>
      <sheetData sheetId="1447">
        <row r="437">
          <cell r="B437" t="str">
            <v>LOCAL STAFF</v>
          </cell>
        </row>
      </sheetData>
      <sheetData sheetId="1448">
        <row r="437">
          <cell r="B437" t="str">
            <v>LOCAL STAFF</v>
          </cell>
        </row>
      </sheetData>
      <sheetData sheetId="1449">
        <row r="437">
          <cell r="B437" t="str">
            <v>LOCAL STAFF</v>
          </cell>
        </row>
      </sheetData>
      <sheetData sheetId="1450">
        <row r="437">
          <cell r="B437" t="str">
            <v>LOCAL STAFF</v>
          </cell>
        </row>
      </sheetData>
      <sheetData sheetId="1451">
        <row r="437">
          <cell r="B437" t="str">
            <v>LOCAL STAFF</v>
          </cell>
        </row>
      </sheetData>
      <sheetData sheetId="1452">
        <row r="437">
          <cell r="B437" t="str">
            <v>LOCAL STAFF</v>
          </cell>
        </row>
      </sheetData>
      <sheetData sheetId="1453">
        <row r="437">
          <cell r="B437" t="str">
            <v>LOCAL STAFF</v>
          </cell>
        </row>
      </sheetData>
      <sheetData sheetId="1454">
        <row r="437">
          <cell r="B437" t="str">
            <v>LOCAL STAFF</v>
          </cell>
        </row>
      </sheetData>
      <sheetData sheetId="1455">
        <row r="437">
          <cell r="B437" t="str">
            <v>LOCAL STAFF</v>
          </cell>
        </row>
      </sheetData>
      <sheetData sheetId="1456">
        <row r="437">
          <cell r="B437" t="str">
            <v>LOCAL STAFF</v>
          </cell>
        </row>
      </sheetData>
      <sheetData sheetId="1457">
        <row r="437">
          <cell r="B437" t="str">
            <v>LOCAL STAFF</v>
          </cell>
        </row>
      </sheetData>
      <sheetData sheetId="1458">
        <row r="437">
          <cell r="B437" t="str">
            <v>LOCAL STAFF</v>
          </cell>
        </row>
      </sheetData>
      <sheetData sheetId="1459">
        <row r="437">
          <cell r="B437" t="str">
            <v>LOCAL STAFF</v>
          </cell>
        </row>
      </sheetData>
      <sheetData sheetId="1460">
        <row r="437">
          <cell r="B437" t="str">
            <v>LOCAL STAFF</v>
          </cell>
        </row>
      </sheetData>
      <sheetData sheetId="1461">
        <row r="437">
          <cell r="B437" t="str">
            <v>LOCAL STAFF</v>
          </cell>
        </row>
      </sheetData>
      <sheetData sheetId="1462">
        <row r="437">
          <cell r="B437" t="str">
            <v>LOCAL STAFF</v>
          </cell>
        </row>
      </sheetData>
      <sheetData sheetId="1463">
        <row r="437">
          <cell r="B437" t="str">
            <v>LOCAL STAFF</v>
          </cell>
        </row>
      </sheetData>
      <sheetData sheetId="1464">
        <row r="437">
          <cell r="B437" t="str">
            <v>LOCAL STAFF</v>
          </cell>
        </row>
      </sheetData>
      <sheetData sheetId="1465">
        <row r="437">
          <cell r="B437" t="str">
            <v>LOCAL STAFF</v>
          </cell>
        </row>
      </sheetData>
      <sheetData sheetId="1466">
        <row r="437">
          <cell r="B437" t="str">
            <v>LOCAL STAFF</v>
          </cell>
        </row>
      </sheetData>
      <sheetData sheetId="1467">
        <row r="437">
          <cell r="B437" t="str">
            <v>LOCAL STAFF</v>
          </cell>
        </row>
      </sheetData>
      <sheetData sheetId="1468">
        <row r="437">
          <cell r="B437" t="str">
            <v>LOCAL STAFF</v>
          </cell>
        </row>
      </sheetData>
      <sheetData sheetId="1469">
        <row r="437">
          <cell r="B437" t="str">
            <v>LOCAL STAFF</v>
          </cell>
        </row>
      </sheetData>
      <sheetData sheetId="1470">
        <row r="437">
          <cell r="B437" t="str">
            <v>LOCAL STAFF</v>
          </cell>
        </row>
      </sheetData>
      <sheetData sheetId="1471">
        <row r="437">
          <cell r="B437" t="str">
            <v>LOCAL STAFF</v>
          </cell>
        </row>
      </sheetData>
      <sheetData sheetId="1472">
        <row r="437">
          <cell r="B437" t="str">
            <v>LOCAL STAFF</v>
          </cell>
        </row>
      </sheetData>
      <sheetData sheetId="1473">
        <row r="437">
          <cell r="B437" t="str">
            <v>LOCAL STAFF</v>
          </cell>
        </row>
      </sheetData>
      <sheetData sheetId="1474">
        <row r="437">
          <cell r="B437" t="str">
            <v>LOCAL STAFF</v>
          </cell>
        </row>
      </sheetData>
      <sheetData sheetId="1475">
        <row r="437">
          <cell r="B437" t="str">
            <v>LOCAL STAFF</v>
          </cell>
        </row>
      </sheetData>
      <sheetData sheetId="1476">
        <row r="437">
          <cell r="B437" t="str">
            <v>LOCAL STAFF</v>
          </cell>
        </row>
      </sheetData>
      <sheetData sheetId="1477">
        <row r="437">
          <cell r="B437" t="str">
            <v>LOCAL STAFF</v>
          </cell>
        </row>
      </sheetData>
      <sheetData sheetId="1478">
        <row r="437">
          <cell r="B437" t="str">
            <v>LOCAL STAFF</v>
          </cell>
        </row>
      </sheetData>
      <sheetData sheetId="1479" refreshError="1"/>
      <sheetData sheetId="1480">
        <row r="437">
          <cell r="B437" t="str">
            <v>LOCAL STAFF</v>
          </cell>
        </row>
      </sheetData>
      <sheetData sheetId="1481">
        <row r="437">
          <cell r="B437" t="str">
            <v>LOCAL STAFF</v>
          </cell>
        </row>
      </sheetData>
      <sheetData sheetId="1482">
        <row r="437">
          <cell r="B437" t="str">
            <v>LOCAL STAFF</v>
          </cell>
        </row>
      </sheetData>
      <sheetData sheetId="1483">
        <row r="437">
          <cell r="B437" t="str">
            <v>LOCAL STAFF</v>
          </cell>
        </row>
      </sheetData>
      <sheetData sheetId="1484">
        <row r="437">
          <cell r="B437" t="str">
            <v>LOCAL STAFF</v>
          </cell>
        </row>
      </sheetData>
      <sheetData sheetId="1485">
        <row r="437">
          <cell r="B437" t="str">
            <v>LOCAL STAFF</v>
          </cell>
        </row>
      </sheetData>
      <sheetData sheetId="1486">
        <row r="437">
          <cell r="B437" t="str">
            <v>LOCAL STAFF</v>
          </cell>
        </row>
      </sheetData>
      <sheetData sheetId="1487">
        <row r="437">
          <cell r="B437" t="str">
            <v>LOCAL STAFF</v>
          </cell>
        </row>
      </sheetData>
      <sheetData sheetId="1488">
        <row r="437">
          <cell r="B437" t="str">
            <v>LOCAL STAFF</v>
          </cell>
        </row>
      </sheetData>
      <sheetData sheetId="1489">
        <row r="437">
          <cell r="B437" t="str">
            <v>LOCAL STAFF</v>
          </cell>
        </row>
      </sheetData>
      <sheetData sheetId="1490">
        <row r="437">
          <cell r="B437" t="str">
            <v>LOCAL STAFF</v>
          </cell>
        </row>
      </sheetData>
      <sheetData sheetId="1491">
        <row r="437">
          <cell r="B437" t="str">
            <v>LOCAL STAFF</v>
          </cell>
        </row>
      </sheetData>
      <sheetData sheetId="1492">
        <row r="437">
          <cell r="B437" t="str">
            <v>LOCAL STAFF</v>
          </cell>
        </row>
      </sheetData>
      <sheetData sheetId="1493">
        <row r="437">
          <cell r="B437" t="str">
            <v>LOCAL STAFF</v>
          </cell>
        </row>
      </sheetData>
      <sheetData sheetId="1494">
        <row r="437">
          <cell r="B437" t="str">
            <v>LOCAL STAFF</v>
          </cell>
        </row>
      </sheetData>
      <sheetData sheetId="1495">
        <row r="437">
          <cell r="B437" t="str">
            <v>LOCAL STAFF</v>
          </cell>
        </row>
      </sheetData>
      <sheetData sheetId="1496">
        <row r="437">
          <cell r="B437" t="str">
            <v>LOCAL STAFF</v>
          </cell>
        </row>
      </sheetData>
      <sheetData sheetId="1497">
        <row r="437">
          <cell r="B437" t="str">
            <v>LOCAL STAFF</v>
          </cell>
        </row>
      </sheetData>
      <sheetData sheetId="1498">
        <row r="437">
          <cell r="B437" t="str">
            <v>LOCAL STAFF</v>
          </cell>
        </row>
      </sheetData>
      <sheetData sheetId="1499">
        <row r="437">
          <cell r="B437" t="str">
            <v>LOCAL STAFF</v>
          </cell>
        </row>
      </sheetData>
      <sheetData sheetId="1500">
        <row r="437">
          <cell r="B437" t="str">
            <v>LOCAL STAFF</v>
          </cell>
        </row>
      </sheetData>
      <sheetData sheetId="1501">
        <row r="437">
          <cell r="B437" t="str">
            <v>LOCAL STAFF</v>
          </cell>
        </row>
      </sheetData>
      <sheetData sheetId="1502">
        <row r="437">
          <cell r="B437" t="str">
            <v>LOCAL STAFF</v>
          </cell>
        </row>
      </sheetData>
      <sheetData sheetId="1503">
        <row r="437">
          <cell r="B437" t="str">
            <v>LOCAL STAFF</v>
          </cell>
        </row>
      </sheetData>
      <sheetData sheetId="1504">
        <row r="437">
          <cell r="B437" t="str">
            <v>LOCAL STAFF</v>
          </cell>
        </row>
      </sheetData>
      <sheetData sheetId="1505">
        <row r="437">
          <cell r="B437" t="str">
            <v>LOCAL STAFF</v>
          </cell>
        </row>
      </sheetData>
      <sheetData sheetId="1506">
        <row r="437">
          <cell r="B437" t="str">
            <v>LOCAL STAFF</v>
          </cell>
        </row>
      </sheetData>
      <sheetData sheetId="1507">
        <row r="437">
          <cell r="B437" t="str">
            <v>LOCAL STAFF</v>
          </cell>
        </row>
      </sheetData>
      <sheetData sheetId="1508">
        <row r="437">
          <cell r="B437" t="str">
            <v>LOCAL STAFF</v>
          </cell>
        </row>
      </sheetData>
      <sheetData sheetId="1509">
        <row r="437">
          <cell r="B437" t="str">
            <v>LOCAL STAFF</v>
          </cell>
        </row>
      </sheetData>
      <sheetData sheetId="1510">
        <row r="437">
          <cell r="B437" t="str">
            <v>LOCAL STAFF</v>
          </cell>
        </row>
      </sheetData>
      <sheetData sheetId="1511">
        <row r="437">
          <cell r="B437" t="str">
            <v>LOCAL STAFF</v>
          </cell>
        </row>
      </sheetData>
      <sheetData sheetId="1512">
        <row r="437">
          <cell r="B437" t="str">
            <v>LOCAL STAFF</v>
          </cell>
        </row>
      </sheetData>
      <sheetData sheetId="1513">
        <row r="437">
          <cell r="B437" t="str">
            <v>LOCAL STAFF</v>
          </cell>
        </row>
      </sheetData>
      <sheetData sheetId="1514">
        <row r="437">
          <cell r="B437" t="str">
            <v>LOCAL STAFF</v>
          </cell>
        </row>
      </sheetData>
      <sheetData sheetId="1515">
        <row r="437">
          <cell r="B437" t="str">
            <v>LOCAL STAFF</v>
          </cell>
        </row>
      </sheetData>
      <sheetData sheetId="1516">
        <row r="437">
          <cell r="B437" t="str">
            <v>LOCAL STAFF</v>
          </cell>
        </row>
      </sheetData>
      <sheetData sheetId="1517">
        <row r="437">
          <cell r="B437" t="str">
            <v>LOCAL STAFF</v>
          </cell>
        </row>
      </sheetData>
      <sheetData sheetId="1518">
        <row r="437">
          <cell r="B437" t="str">
            <v>LOCAL STAFF</v>
          </cell>
        </row>
      </sheetData>
      <sheetData sheetId="1519">
        <row r="437">
          <cell r="B437" t="str">
            <v>LOCAL STAFF</v>
          </cell>
        </row>
      </sheetData>
      <sheetData sheetId="1520">
        <row r="437">
          <cell r="B437" t="str">
            <v>LOCAL STAFF</v>
          </cell>
        </row>
      </sheetData>
      <sheetData sheetId="1521">
        <row r="437">
          <cell r="B437" t="str">
            <v>LOCAL STAFF</v>
          </cell>
        </row>
      </sheetData>
      <sheetData sheetId="1522">
        <row r="437">
          <cell r="B437" t="str">
            <v>LOCAL STAFF</v>
          </cell>
        </row>
      </sheetData>
      <sheetData sheetId="1523">
        <row r="437">
          <cell r="B437" t="str">
            <v>LOCAL STAFF</v>
          </cell>
        </row>
      </sheetData>
      <sheetData sheetId="1524">
        <row r="437">
          <cell r="B437" t="str">
            <v>LOCAL STAFF</v>
          </cell>
        </row>
      </sheetData>
      <sheetData sheetId="1525">
        <row r="437">
          <cell r="B437" t="str">
            <v>LOCAL STAFF</v>
          </cell>
        </row>
      </sheetData>
      <sheetData sheetId="1526">
        <row r="437">
          <cell r="B437" t="str">
            <v>LOCAL STAFF</v>
          </cell>
        </row>
      </sheetData>
      <sheetData sheetId="1527">
        <row r="437">
          <cell r="B437" t="str">
            <v>LOCAL STAFF</v>
          </cell>
        </row>
      </sheetData>
      <sheetData sheetId="1528">
        <row r="437">
          <cell r="B437" t="str">
            <v>LOCAL STAFF</v>
          </cell>
        </row>
      </sheetData>
      <sheetData sheetId="1529">
        <row r="437">
          <cell r="B437" t="str">
            <v>LOCAL STAFF</v>
          </cell>
        </row>
      </sheetData>
      <sheetData sheetId="1530">
        <row r="437">
          <cell r="B437" t="str">
            <v>LOCAL STAFF</v>
          </cell>
        </row>
      </sheetData>
      <sheetData sheetId="1531">
        <row r="437">
          <cell r="B437" t="str">
            <v>LOCAL STAFF</v>
          </cell>
        </row>
      </sheetData>
      <sheetData sheetId="1532">
        <row r="437">
          <cell r="B437" t="str">
            <v>LOCAL STAFF</v>
          </cell>
        </row>
      </sheetData>
      <sheetData sheetId="1533">
        <row r="437">
          <cell r="B437" t="str">
            <v>LOCAL STAFF</v>
          </cell>
        </row>
      </sheetData>
      <sheetData sheetId="1534">
        <row r="437">
          <cell r="B437" t="str">
            <v>LOCAL STAFF</v>
          </cell>
        </row>
      </sheetData>
      <sheetData sheetId="1535">
        <row r="437">
          <cell r="B437" t="str">
            <v>LOCAL STAFF</v>
          </cell>
        </row>
      </sheetData>
      <sheetData sheetId="1536">
        <row r="437">
          <cell r="B437" t="str">
            <v>LOCAL STAFF</v>
          </cell>
        </row>
      </sheetData>
      <sheetData sheetId="1537">
        <row r="437">
          <cell r="B437" t="str">
            <v>LOCAL STAFF</v>
          </cell>
        </row>
      </sheetData>
      <sheetData sheetId="1538" refreshError="1"/>
      <sheetData sheetId="1539" refreshError="1"/>
      <sheetData sheetId="1540" refreshError="1"/>
      <sheetData sheetId="1541">
        <row r="437">
          <cell r="B437" t="str">
            <v>LOCAL STAFF</v>
          </cell>
        </row>
      </sheetData>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ow r="437">
          <cell r="B437" t="str">
            <v>LOCAL STAFF</v>
          </cell>
        </row>
      </sheetData>
      <sheetData sheetId="1597">
        <row r="437">
          <cell r="B437" t="str">
            <v>LOCAL STAFF</v>
          </cell>
        </row>
      </sheetData>
      <sheetData sheetId="1598">
        <row r="437">
          <cell r="B437" t="str">
            <v>LOCAL STAFF</v>
          </cell>
        </row>
      </sheetData>
      <sheetData sheetId="1599">
        <row r="437">
          <cell r="B437" t="str">
            <v>LOCAL STAFF</v>
          </cell>
        </row>
      </sheetData>
      <sheetData sheetId="1600">
        <row r="437">
          <cell r="B437" t="str">
            <v>LOCAL STAFF</v>
          </cell>
        </row>
      </sheetData>
      <sheetData sheetId="1601">
        <row r="437">
          <cell r="B437" t="str">
            <v>LOCAL STAFF</v>
          </cell>
        </row>
      </sheetData>
      <sheetData sheetId="1602">
        <row r="437">
          <cell r="B437" t="str">
            <v>LOCAL STAFF</v>
          </cell>
        </row>
      </sheetData>
      <sheetData sheetId="1603">
        <row r="437">
          <cell r="B437" t="str">
            <v>LOCAL STAFF</v>
          </cell>
        </row>
      </sheetData>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437">
          <cell r="B437" t="str">
            <v>LOCAL STAFF</v>
          </cell>
        </row>
      </sheetData>
      <sheetData sheetId="1624" refreshError="1"/>
      <sheetData sheetId="1625" refreshError="1"/>
      <sheetData sheetId="1626">
        <row r="437">
          <cell r="B437" t="str">
            <v>LOCAL STAFF</v>
          </cell>
        </row>
      </sheetData>
      <sheetData sheetId="1627">
        <row r="437">
          <cell r="B437" t="str">
            <v>LOCAL STAFF</v>
          </cell>
        </row>
      </sheetData>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row r="437">
          <cell r="B437" t="str">
            <v>LOCAL STAFF</v>
          </cell>
        </row>
      </sheetData>
      <sheetData sheetId="1693"/>
      <sheetData sheetId="1694"/>
      <sheetData sheetId="1695"/>
      <sheetData sheetId="1696"/>
      <sheetData sheetId="1697"/>
      <sheetData sheetId="1698"/>
      <sheetData sheetId="1699"/>
      <sheetData sheetId="1700"/>
      <sheetData sheetId="1701"/>
      <sheetData sheetId="1702"/>
      <sheetData sheetId="1703"/>
      <sheetData sheetId="1704" refreshError="1"/>
      <sheetData sheetId="1705" refreshError="1"/>
      <sheetData sheetId="170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ment Budget"/>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Factory"/>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_Sep06"/>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Budget Worksheet"/>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C,Ret. Wall"/>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Well( RCC)"/>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Material"/>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Boq"/>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12" workbookViewId="0">
      <selection activeCell="C29" sqref="C29"/>
    </sheetView>
  </sheetViews>
  <sheetFormatPr defaultColWidth="8.83203125" defaultRowHeight="14"/>
  <cols>
    <col min="1" max="1" width="6.1640625" customWidth="1"/>
    <col min="2" max="2" width="15.33203125" customWidth="1"/>
    <col min="3" max="3" width="29.1640625" customWidth="1"/>
    <col min="4" max="4" width="35" customWidth="1"/>
  </cols>
  <sheetData>
    <row r="1" spans="1:4" s="7" customFormat="1">
      <c r="A1" s="392"/>
      <c r="B1" s="393"/>
      <c r="C1" s="393"/>
      <c r="D1" s="394"/>
    </row>
    <row r="2" spans="1:4" s="7" customFormat="1">
      <c r="A2" s="395"/>
      <c r="B2" s="396"/>
      <c r="C2" s="396"/>
      <c r="D2" s="397"/>
    </row>
    <row r="3" spans="1:4" s="7" customFormat="1">
      <c r="A3" s="395"/>
      <c r="B3" s="396"/>
      <c r="C3" s="396"/>
      <c r="D3" s="397"/>
    </row>
    <row r="4" spans="1:4" s="7" customFormat="1">
      <c r="A4" s="395"/>
      <c r="B4" s="396"/>
      <c r="C4" s="396"/>
      <c r="D4" s="397"/>
    </row>
    <row r="5" spans="1:4" s="7" customFormat="1">
      <c r="A5" s="395"/>
      <c r="B5" s="396"/>
      <c r="C5" s="396"/>
      <c r="D5" s="397"/>
    </row>
    <row r="6" spans="1:4" s="7" customFormat="1">
      <c r="A6" s="398"/>
      <c r="B6" s="396"/>
      <c r="C6" s="396"/>
      <c r="D6" s="397"/>
    </row>
    <row r="7" spans="1:4" s="7" customFormat="1">
      <c r="A7" s="398"/>
      <c r="B7" s="399"/>
      <c r="C7" s="399" t="s">
        <v>511</v>
      </c>
      <c r="D7" s="397"/>
    </row>
    <row r="8" spans="1:4" s="7" customFormat="1">
      <c r="A8" s="398"/>
      <c r="B8" s="399"/>
      <c r="C8" s="399" t="s">
        <v>512</v>
      </c>
      <c r="D8" s="400"/>
    </row>
    <row r="9" spans="1:4" s="7" customFormat="1">
      <c r="A9" s="401"/>
      <c r="B9" s="402"/>
      <c r="C9" s="402" t="s">
        <v>513</v>
      </c>
      <c r="D9" s="400"/>
    </row>
    <row r="10" spans="1:4" s="7" customFormat="1">
      <c r="A10" s="401"/>
      <c r="B10" s="402"/>
      <c r="C10" s="402" t="s">
        <v>514</v>
      </c>
      <c r="D10" s="403"/>
    </row>
    <row r="11" spans="1:4" s="7" customFormat="1">
      <c r="A11" s="401"/>
      <c r="B11" s="404"/>
      <c r="C11" s="396"/>
      <c r="D11" s="403"/>
    </row>
    <row r="12" spans="1:4" s="7" customFormat="1" ht="15.5">
      <c r="A12" s="405"/>
      <c r="B12" s="406"/>
      <c r="C12" s="396"/>
      <c r="D12" s="397"/>
    </row>
    <row r="13" spans="1:4" s="7" customFormat="1" ht="15.5">
      <c r="A13" s="407" t="s">
        <v>516</v>
      </c>
      <c r="B13" s="408"/>
      <c r="C13" s="396"/>
      <c r="D13" s="409" t="s">
        <v>515</v>
      </c>
    </row>
    <row r="14" spans="1:4" s="15" customFormat="1" ht="16" thickBot="1">
      <c r="A14" s="412" t="s">
        <v>496</v>
      </c>
      <c r="B14" s="413"/>
      <c r="C14" s="413"/>
      <c r="D14" s="414"/>
    </row>
    <row r="15" spans="1:4" s="22" customFormat="1" ht="13.5" thickBot="1">
      <c r="A15" s="77" t="s">
        <v>1</v>
      </c>
      <c r="B15" s="77" t="s">
        <v>486</v>
      </c>
      <c r="C15" s="77" t="s">
        <v>3</v>
      </c>
      <c r="D15" s="77" t="s">
        <v>7</v>
      </c>
    </row>
    <row r="16" spans="1:4">
      <c r="A16" s="79"/>
      <c r="B16" s="80"/>
      <c r="C16" s="80"/>
      <c r="D16" s="120"/>
    </row>
    <row r="17" spans="1:4">
      <c r="A17" s="353" t="s">
        <v>8</v>
      </c>
      <c r="B17" s="58" t="s">
        <v>9</v>
      </c>
      <c r="C17" s="59" t="s">
        <v>10</v>
      </c>
      <c r="D17" s="356">
        <f>'C&amp;I'!G29</f>
        <v>166832</v>
      </c>
    </row>
    <row r="18" spans="1:4" s="42" customFormat="1">
      <c r="A18" s="88"/>
      <c r="B18" s="38"/>
      <c r="C18" s="39"/>
      <c r="D18" s="126"/>
    </row>
    <row r="19" spans="1:4">
      <c r="A19" s="355" t="s">
        <v>25</v>
      </c>
      <c r="B19" s="45" t="s">
        <v>487</v>
      </c>
      <c r="C19" s="97" t="s">
        <v>35</v>
      </c>
      <c r="D19" s="356">
        <f>'C&amp;I'!G42</f>
        <v>1632674.88</v>
      </c>
    </row>
    <row r="20" spans="1:4">
      <c r="A20" s="357"/>
      <c r="B20" s="103"/>
      <c r="C20" s="97"/>
      <c r="D20" s="358"/>
    </row>
    <row r="21" spans="1:4">
      <c r="A21" s="357" t="s">
        <v>44</v>
      </c>
      <c r="B21" s="103" t="s">
        <v>45</v>
      </c>
      <c r="C21" s="97" t="s">
        <v>488</v>
      </c>
      <c r="D21" s="358">
        <f>'C&amp;I'!G53</f>
        <v>716691</v>
      </c>
    </row>
    <row r="22" spans="1:4">
      <c r="A22" s="357"/>
      <c r="B22" s="103"/>
      <c r="C22" s="97"/>
      <c r="D22" s="358"/>
    </row>
    <row r="23" spans="1:4">
      <c r="A23" s="357" t="s">
        <v>55</v>
      </c>
      <c r="B23" s="103" t="s">
        <v>56</v>
      </c>
      <c r="C23" s="97" t="s">
        <v>489</v>
      </c>
      <c r="D23" s="358">
        <f>'C&amp;I'!G75</f>
        <v>662937.96570000006</v>
      </c>
    </row>
    <row r="24" spans="1:4">
      <c r="A24" s="357"/>
      <c r="B24" s="103"/>
      <c r="C24" s="97"/>
      <c r="D24" s="358"/>
    </row>
    <row r="25" spans="1:4">
      <c r="A25" s="357" t="s">
        <v>73</v>
      </c>
      <c r="B25" s="103" t="s">
        <v>74</v>
      </c>
      <c r="C25" s="97" t="s">
        <v>75</v>
      </c>
      <c r="D25" s="358">
        <f>'C&amp;I'!G85</f>
        <v>185762.16</v>
      </c>
    </row>
    <row r="26" spans="1:4">
      <c r="A26" s="357"/>
      <c r="B26" s="103"/>
      <c r="C26" s="97"/>
      <c r="D26" s="358"/>
    </row>
    <row r="27" spans="1:4">
      <c r="A27" s="357" t="s">
        <v>82</v>
      </c>
      <c r="B27" s="103" t="s">
        <v>83</v>
      </c>
      <c r="C27" s="97" t="s">
        <v>84</v>
      </c>
      <c r="D27" s="358">
        <f>'FC - BOQ'!G34</f>
        <v>3655946.6629999997</v>
      </c>
    </row>
    <row r="28" spans="1:4">
      <c r="A28" s="357"/>
      <c r="B28" s="103"/>
      <c r="C28" s="97"/>
      <c r="D28" s="358"/>
    </row>
    <row r="29" spans="1:4">
      <c r="A29" s="357" t="s">
        <v>108</v>
      </c>
      <c r="B29" s="103" t="s">
        <v>109</v>
      </c>
      <c r="C29" s="97" t="s">
        <v>110</v>
      </c>
      <c r="D29" s="358">
        <f>'FLR - BOQ'!G91</f>
        <v>5687973.0293100011</v>
      </c>
    </row>
    <row r="30" spans="1:4">
      <c r="A30" s="357"/>
      <c r="B30" s="103"/>
      <c r="C30" s="97"/>
      <c r="D30" s="358"/>
    </row>
    <row r="31" spans="1:4">
      <c r="A31" s="357" t="s">
        <v>173</v>
      </c>
      <c r="B31" s="103" t="s">
        <v>490</v>
      </c>
      <c r="C31" s="97" t="s">
        <v>491</v>
      </c>
      <c r="D31" s="358">
        <f>'JNR-BOQ'!G80</f>
        <v>774642.2</v>
      </c>
    </row>
    <row r="32" spans="1:4">
      <c r="A32" s="357"/>
      <c r="B32" s="103"/>
      <c r="C32" s="97"/>
      <c r="D32" s="358"/>
    </row>
    <row r="33" spans="1:6">
      <c r="A33" s="357" t="s">
        <v>323</v>
      </c>
      <c r="B33" s="103" t="s">
        <v>492</v>
      </c>
      <c r="C33" s="97" t="s">
        <v>493</v>
      </c>
      <c r="D33" s="358">
        <f>FURN!G13</f>
        <v>167440</v>
      </c>
    </row>
    <row r="34" spans="1:6" s="42" customFormat="1">
      <c r="A34" s="95"/>
      <c r="B34" s="103"/>
      <c r="C34" s="97"/>
      <c r="D34" s="135"/>
    </row>
    <row r="35" spans="1:6" ht="14.5" thickBot="1">
      <c r="A35" s="109"/>
      <c r="B35" s="110"/>
      <c r="C35" s="111" t="s">
        <v>81</v>
      </c>
      <c r="D35" s="156">
        <f>SUM(D17:D33)</f>
        <v>13650899.898010001</v>
      </c>
    </row>
    <row r="37" spans="1:6">
      <c r="C37" s="72"/>
      <c r="D37" s="166"/>
    </row>
    <row r="38" spans="1:6">
      <c r="D38" s="166"/>
      <c r="F38" s="166"/>
    </row>
  </sheetData>
  <mergeCells count="1">
    <mergeCell ref="A14:D14"/>
  </mergeCell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99"/>
  <sheetViews>
    <sheetView topLeftCell="A79" zoomScale="90" zoomScaleNormal="85" workbookViewId="0">
      <selection activeCell="C94" sqref="C94"/>
    </sheetView>
  </sheetViews>
  <sheetFormatPr defaultColWidth="8.83203125" defaultRowHeight="14"/>
  <cols>
    <col min="1" max="1" width="7.83203125" customWidth="1"/>
    <col min="2" max="2" width="9.33203125" bestFit="1" customWidth="1"/>
    <col min="3" max="3" width="89" customWidth="1"/>
    <col min="4" max="4" width="5.83203125" style="71" bestFit="1" customWidth="1"/>
    <col min="5" max="5" width="7.83203125" style="7" bestFit="1" customWidth="1"/>
    <col min="6" max="6" width="15.6640625" style="5" customWidth="1"/>
    <col min="7" max="7" width="18" style="5" bestFit="1" customWidth="1"/>
    <col min="8" max="8" width="4.6640625" style="6" customWidth="1"/>
    <col min="9" max="9" width="4.83203125" style="7" customWidth="1"/>
    <col min="10" max="10" width="17.83203125" style="7" customWidth="1"/>
    <col min="11" max="11" width="18.1640625" style="7" bestFit="1" customWidth="1"/>
    <col min="12" max="12" width="16.33203125" style="7" customWidth="1"/>
    <col min="13" max="13" width="11.1640625" style="359" customWidth="1"/>
    <col min="14" max="14" width="9.83203125" style="7" customWidth="1"/>
    <col min="15" max="15" width="4" style="7" customWidth="1"/>
  </cols>
  <sheetData>
    <row r="2" spans="1:15" s="15" customFormat="1" ht="30" customHeight="1">
      <c r="A2" s="8"/>
      <c r="B2" s="9"/>
      <c r="C2" s="10" t="s">
        <v>0</v>
      </c>
      <c r="D2" s="11"/>
      <c r="E2" s="8"/>
      <c r="F2" s="12"/>
      <c r="G2" s="12"/>
      <c r="H2" s="13"/>
      <c r="I2" s="14"/>
      <c r="J2" s="14"/>
    </row>
    <row r="3" spans="1:15" s="22" customFormat="1" ht="23.25" customHeight="1">
      <c r="A3" s="16" t="s">
        <v>1</v>
      </c>
      <c r="B3" s="16" t="s">
        <v>2</v>
      </c>
      <c r="C3" s="16" t="s">
        <v>3</v>
      </c>
      <c r="D3" s="17" t="s">
        <v>4</v>
      </c>
      <c r="E3" s="17" t="s">
        <v>5</v>
      </c>
      <c r="F3" s="18" t="s">
        <v>6</v>
      </c>
      <c r="G3" s="18" t="s">
        <v>7</v>
      </c>
      <c r="H3" s="19"/>
      <c r="I3" s="20"/>
      <c r="J3" s="20"/>
    </row>
    <row r="4" spans="1:15">
      <c r="A4" s="23"/>
      <c r="B4" s="23"/>
      <c r="C4" s="23"/>
      <c r="D4" s="24"/>
      <c r="E4" s="25"/>
      <c r="F4" s="26"/>
      <c r="G4" s="26"/>
      <c r="H4" s="27"/>
      <c r="K4"/>
      <c r="L4"/>
      <c r="M4"/>
      <c r="N4"/>
      <c r="O4"/>
    </row>
    <row r="5" spans="1:15">
      <c r="A5" s="28" t="s">
        <v>8</v>
      </c>
      <c r="B5" s="29" t="s">
        <v>9</v>
      </c>
      <c r="C5" s="30" t="s">
        <v>10</v>
      </c>
      <c r="D5" s="31"/>
      <c r="E5" s="32"/>
      <c r="F5" s="33"/>
      <c r="G5" s="34"/>
      <c r="H5" s="35"/>
      <c r="K5"/>
      <c r="L5"/>
      <c r="M5"/>
      <c r="N5"/>
      <c r="O5"/>
    </row>
    <row r="6" spans="1:15" ht="270.5" customHeight="1">
      <c r="A6" s="23"/>
      <c r="B6" s="23"/>
      <c r="C6" s="143" t="s">
        <v>517</v>
      </c>
      <c r="D6" s="24"/>
      <c r="E6" s="25"/>
      <c r="F6" s="26"/>
      <c r="G6" s="26"/>
      <c r="H6" s="27"/>
      <c r="J6" s="1"/>
      <c r="K6"/>
      <c r="L6"/>
      <c r="M6"/>
      <c r="N6"/>
      <c r="O6"/>
    </row>
    <row r="7" spans="1:15" s="42" customFormat="1">
      <c r="A7" s="37"/>
      <c r="B7" s="38"/>
      <c r="C7" s="39"/>
      <c r="D7" s="24"/>
      <c r="E7" s="24"/>
      <c r="F7" s="26"/>
      <c r="G7" s="26"/>
      <c r="H7" s="27"/>
      <c r="I7" s="40"/>
      <c r="J7" s="41"/>
    </row>
    <row r="8" spans="1:15">
      <c r="A8" s="44">
        <v>1</v>
      </c>
      <c r="B8" s="45" t="s">
        <v>12</v>
      </c>
      <c r="C8" s="39" t="s">
        <v>13</v>
      </c>
      <c r="D8" s="24"/>
      <c r="E8" s="24"/>
      <c r="F8" s="26"/>
      <c r="G8" s="26"/>
      <c r="H8" s="27"/>
      <c r="J8" s="1"/>
      <c r="K8"/>
      <c r="L8"/>
      <c r="M8"/>
      <c r="N8"/>
      <c r="O8"/>
    </row>
    <row r="9" spans="1:15" s="42" customFormat="1" ht="72.5" customHeight="1">
      <c r="A9" s="37"/>
      <c r="B9" s="38"/>
      <c r="C9" s="39" t="s">
        <v>14</v>
      </c>
      <c r="D9" s="24" t="s">
        <v>15</v>
      </c>
      <c r="E9" s="378">
        <v>20</v>
      </c>
      <c r="F9" s="26">
        <v>3410</v>
      </c>
      <c r="G9" s="26">
        <f>F9*E9</f>
        <v>68200</v>
      </c>
      <c r="H9" s="27"/>
      <c r="I9" s="40"/>
      <c r="J9" s="41"/>
    </row>
    <row r="10" spans="1:15" s="42" customFormat="1" ht="14" customHeight="1">
      <c r="A10" s="37"/>
      <c r="B10" s="38"/>
      <c r="C10" s="39"/>
      <c r="D10" s="24"/>
      <c r="E10" s="24"/>
      <c r="F10" s="26">
        <v>0</v>
      </c>
      <c r="G10" s="26"/>
      <c r="H10" s="27"/>
      <c r="I10" s="40"/>
      <c r="J10" s="41"/>
    </row>
    <row r="11" spans="1:15" s="42" customFormat="1" ht="89" customHeight="1">
      <c r="A11" s="44">
        <v>2</v>
      </c>
      <c r="B11" s="47" t="s">
        <v>16</v>
      </c>
      <c r="C11" s="39" t="s">
        <v>17</v>
      </c>
      <c r="D11" s="24" t="s">
        <v>18</v>
      </c>
      <c r="E11" s="24" t="s">
        <v>51</v>
      </c>
      <c r="F11" s="26">
        <v>97440</v>
      </c>
      <c r="G11" s="26"/>
      <c r="H11" s="27"/>
      <c r="I11" s="40"/>
      <c r="J11" s="41"/>
    </row>
    <row r="12" spans="1:15" s="42" customFormat="1" ht="16.25" customHeight="1">
      <c r="A12" s="37"/>
      <c r="B12" s="23" t="s">
        <v>8</v>
      </c>
      <c r="C12" s="43" t="s">
        <v>19</v>
      </c>
      <c r="D12" s="24"/>
      <c r="E12" s="24"/>
      <c r="F12" s="26">
        <v>0</v>
      </c>
      <c r="G12" s="26"/>
      <c r="H12" s="27"/>
      <c r="I12" s="40"/>
      <c r="J12" s="41"/>
    </row>
    <row r="13" spans="1:15" s="42" customFormat="1" ht="16.25" customHeight="1">
      <c r="A13" s="37"/>
      <c r="B13" s="23"/>
      <c r="C13" s="23"/>
      <c r="D13" s="24"/>
      <c r="E13" s="24"/>
      <c r="F13" s="26">
        <v>0</v>
      </c>
      <c r="G13" s="26"/>
      <c r="H13" s="27"/>
      <c r="I13" s="40"/>
      <c r="J13" s="41"/>
    </row>
    <row r="14" spans="1:15" s="42" customFormat="1" ht="16.25" customHeight="1">
      <c r="A14" s="37"/>
      <c r="B14" s="23"/>
      <c r="C14" s="23" t="s">
        <v>20</v>
      </c>
      <c r="D14" s="24"/>
      <c r="E14" s="24"/>
      <c r="F14" s="26">
        <v>0</v>
      </c>
      <c r="G14" s="26"/>
      <c r="H14" s="27"/>
      <c r="I14" s="40"/>
      <c r="J14" s="41"/>
    </row>
    <row r="15" spans="1:15" s="42" customFormat="1" ht="16.25" customHeight="1">
      <c r="A15" s="37"/>
      <c r="B15" s="23"/>
      <c r="C15" s="23" t="s">
        <v>21</v>
      </c>
      <c r="D15" s="24"/>
      <c r="E15" s="24"/>
      <c r="F15" s="26">
        <v>0</v>
      </c>
      <c r="G15" s="26"/>
      <c r="H15" s="27"/>
      <c r="I15" s="40"/>
      <c r="J15" s="41"/>
    </row>
    <row r="16" spans="1:15" s="42" customFormat="1" ht="15.5" customHeight="1">
      <c r="A16" s="37"/>
      <c r="B16" s="23"/>
      <c r="C16" s="23" t="s">
        <v>22</v>
      </c>
      <c r="D16" s="24"/>
      <c r="E16" s="24"/>
      <c r="F16" s="26">
        <v>0</v>
      </c>
      <c r="G16" s="26"/>
      <c r="H16" s="27"/>
      <c r="I16" s="40"/>
      <c r="J16" s="41"/>
    </row>
    <row r="17" spans="1:10" s="42" customFormat="1" ht="15.5" customHeight="1">
      <c r="A17" s="37"/>
      <c r="B17" s="23"/>
      <c r="C17" s="23" t="s">
        <v>23</v>
      </c>
      <c r="D17" s="24"/>
      <c r="E17" s="24"/>
      <c r="F17" s="26">
        <v>0</v>
      </c>
      <c r="G17" s="26"/>
      <c r="H17" s="27"/>
      <c r="I17" s="40"/>
      <c r="J17" s="41"/>
    </row>
    <row r="18" spans="1:10" s="42" customFormat="1" ht="18" customHeight="1">
      <c r="A18" s="37"/>
      <c r="B18" s="23"/>
      <c r="C18" s="23" t="s">
        <v>24</v>
      </c>
      <c r="D18" s="24"/>
      <c r="E18" s="24"/>
      <c r="F18" s="26">
        <v>0</v>
      </c>
      <c r="G18" s="26"/>
      <c r="H18" s="27"/>
      <c r="I18" s="40"/>
      <c r="J18" s="41"/>
    </row>
    <row r="19" spans="1:10" s="42" customFormat="1" ht="21.5" customHeight="1">
      <c r="A19" s="37"/>
      <c r="B19" s="23" t="s">
        <v>25</v>
      </c>
      <c r="C19" s="43" t="s">
        <v>26</v>
      </c>
      <c r="D19" s="24"/>
      <c r="E19" s="24"/>
      <c r="F19" s="26">
        <v>0</v>
      </c>
      <c r="G19" s="26"/>
      <c r="H19" s="27"/>
      <c r="I19" s="40"/>
      <c r="J19" s="41"/>
    </row>
    <row r="20" spans="1:10" s="42" customFormat="1" ht="12.5" customHeight="1">
      <c r="A20" s="37"/>
      <c r="B20" s="23"/>
      <c r="C20" s="23"/>
      <c r="D20" s="24"/>
      <c r="E20" s="24"/>
      <c r="F20" s="26">
        <v>0</v>
      </c>
      <c r="G20" s="26"/>
      <c r="H20" s="27"/>
      <c r="I20" s="40"/>
      <c r="J20" s="41"/>
    </row>
    <row r="21" spans="1:10" s="42" customFormat="1" ht="14.5" customHeight="1">
      <c r="A21" s="37"/>
      <c r="B21" s="23"/>
      <c r="C21" s="23" t="s">
        <v>27</v>
      </c>
      <c r="D21" s="24"/>
      <c r="E21" s="24"/>
      <c r="F21" s="26">
        <v>0</v>
      </c>
      <c r="G21" s="26"/>
      <c r="H21" s="27"/>
      <c r="I21" s="40"/>
      <c r="J21" s="41"/>
    </row>
    <row r="22" spans="1:10" s="42" customFormat="1">
      <c r="A22" s="37"/>
      <c r="B22" s="23"/>
      <c r="C22" s="23" t="s">
        <v>28</v>
      </c>
      <c r="D22" s="24"/>
      <c r="E22" s="46"/>
      <c r="F22" s="26">
        <v>0</v>
      </c>
      <c r="G22" s="26"/>
      <c r="H22" s="27"/>
      <c r="I22" s="40"/>
      <c r="J22" s="41"/>
    </row>
    <row r="23" spans="1:10" s="42" customFormat="1">
      <c r="A23" s="37"/>
      <c r="B23" s="23"/>
      <c r="C23" s="23" t="s">
        <v>29</v>
      </c>
      <c r="D23" s="24"/>
      <c r="E23" s="46"/>
      <c r="F23" s="26">
        <v>0</v>
      </c>
      <c r="G23" s="26"/>
      <c r="H23" s="27"/>
      <c r="I23" s="40"/>
      <c r="J23" s="41"/>
    </row>
    <row r="24" spans="1:10" s="42" customFormat="1">
      <c r="A24" s="37"/>
      <c r="B24" s="23"/>
      <c r="C24" s="23" t="s">
        <v>30</v>
      </c>
      <c r="D24" s="24"/>
      <c r="E24" s="46"/>
      <c r="F24" s="26">
        <v>0</v>
      </c>
      <c r="G24" s="26"/>
      <c r="H24" s="27"/>
      <c r="I24" s="40"/>
      <c r="J24" s="41"/>
    </row>
    <row r="25" spans="1:10" s="42" customFormat="1">
      <c r="A25" s="37"/>
      <c r="B25" s="23"/>
      <c r="C25" s="23"/>
      <c r="D25" s="24"/>
      <c r="E25" s="46"/>
      <c r="F25" s="26">
        <v>0</v>
      </c>
      <c r="G25" s="26"/>
      <c r="H25" s="27"/>
      <c r="I25" s="40"/>
      <c r="J25" s="41"/>
    </row>
    <row r="26" spans="1:10" s="42" customFormat="1" ht="75">
      <c r="A26" s="44">
        <v>3</v>
      </c>
      <c r="B26" s="47" t="s">
        <v>31</v>
      </c>
      <c r="C26" s="39" t="s">
        <v>32</v>
      </c>
      <c r="D26" s="24" t="s">
        <v>18</v>
      </c>
      <c r="E26" s="46">
        <v>1</v>
      </c>
      <c r="F26" s="26">
        <v>98632</v>
      </c>
      <c r="G26" s="26">
        <f>F26*E26</f>
        <v>98632</v>
      </c>
      <c r="H26" s="27"/>
      <c r="I26" s="40"/>
      <c r="J26" s="41"/>
    </row>
    <row r="27" spans="1:10" s="42" customFormat="1">
      <c r="A27" s="37"/>
      <c r="B27" s="23"/>
      <c r="C27" s="23"/>
      <c r="D27" s="24"/>
      <c r="E27" s="46"/>
      <c r="F27" s="46"/>
      <c r="G27" s="26"/>
      <c r="H27" s="27"/>
      <c r="I27" s="40"/>
      <c r="J27" s="41"/>
    </row>
    <row r="28" spans="1:10" s="42" customFormat="1">
      <c r="A28" s="37"/>
      <c r="B28" s="23"/>
      <c r="C28" s="23"/>
      <c r="D28" s="24"/>
      <c r="E28" s="46"/>
      <c r="F28" s="46"/>
      <c r="G28" s="26"/>
      <c r="H28" s="27"/>
      <c r="I28" s="40"/>
      <c r="J28" s="41"/>
    </row>
    <row r="29" spans="1:10" s="42" customFormat="1">
      <c r="A29" s="28"/>
      <c r="B29" s="28"/>
      <c r="C29" s="30" t="s">
        <v>33</v>
      </c>
      <c r="D29" s="31"/>
      <c r="E29" s="32"/>
      <c r="F29" s="32"/>
      <c r="G29" s="34">
        <f>SUM(G9:G28)</f>
        <v>166832</v>
      </c>
      <c r="H29" s="35"/>
      <c r="I29" s="48"/>
      <c r="J29" s="41"/>
    </row>
    <row r="30" spans="1:10" s="42" customFormat="1">
      <c r="A30" s="37"/>
      <c r="B30" s="38"/>
      <c r="C30" s="39"/>
      <c r="D30" s="24"/>
      <c r="E30" s="46"/>
      <c r="F30" s="46"/>
      <c r="G30" s="26"/>
      <c r="H30" s="27"/>
      <c r="I30" s="40"/>
      <c r="J30" s="41"/>
    </row>
    <row r="31" spans="1:10" s="42" customFormat="1">
      <c r="A31" s="28" t="s">
        <v>25</v>
      </c>
      <c r="B31" s="29" t="s">
        <v>34</v>
      </c>
      <c r="C31" s="30" t="s">
        <v>35</v>
      </c>
      <c r="D31" s="31"/>
      <c r="E31" s="32"/>
      <c r="F31" s="32"/>
      <c r="G31" s="34"/>
      <c r="H31" s="35"/>
      <c r="I31" s="40"/>
      <c r="J31" s="41"/>
    </row>
    <row r="32" spans="1:10" s="42" customFormat="1">
      <c r="A32" s="37"/>
      <c r="B32" s="45"/>
      <c r="C32" s="39"/>
      <c r="D32" s="24"/>
      <c r="E32" s="24"/>
      <c r="F32" s="24"/>
      <c r="G32" s="26"/>
      <c r="H32" s="27"/>
      <c r="I32" s="40"/>
      <c r="J32" s="41"/>
    </row>
    <row r="33" spans="1:10" s="42" customFormat="1" ht="66.5" customHeight="1">
      <c r="A33" s="44">
        <v>4</v>
      </c>
      <c r="B33" s="45" t="s">
        <v>36</v>
      </c>
      <c r="C33" s="39" t="s">
        <v>37</v>
      </c>
      <c r="D33" s="24"/>
      <c r="E33" s="24"/>
      <c r="F33" s="24"/>
      <c r="G33" s="26"/>
      <c r="H33" s="27"/>
      <c r="I33" s="40"/>
      <c r="J33" s="41"/>
    </row>
    <row r="34" spans="1:10" s="42" customFormat="1">
      <c r="A34" s="49"/>
      <c r="B34" s="45"/>
      <c r="C34" s="39"/>
      <c r="D34" s="24" t="s">
        <v>15</v>
      </c>
      <c r="E34" s="378">
        <v>195</v>
      </c>
      <c r="F34" s="26">
        <v>8178</v>
      </c>
      <c r="G34" s="26">
        <f>F34*E34</f>
        <v>1594710</v>
      </c>
      <c r="H34" s="27"/>
      <c r="I34" s="40"/>
      <c r="J34" s="41"/>
    </row>
    <row r="35" spans="1:10" s="42" customFormat="1">
      <c r="A35" s="49"/>
      <c r="B35" s="45"/>
      <c r="C35" s="39"/>
      <c r="D35" s="24"/>
      <c r="E35" s="46"/>
      <c r="F35" s="26">
        <v>0</v>
      </c>
      <c r="G35" s="26"/>
      <c r="H35" s="27"/>
      <c r="I35" s="40"/>
      <c r="J35" s="41"/>
    </row>
    <row r="36" spans="1:10" s="42" customFormat="1" ht="62.5">
      <c r="A36" s="44">
        <v>5</v>
      </c>
      <c r="B36" s="45" t="s">
        <v>38</v>
      </c>
      <c r="C36" s="39" t="s">
        <v>39</v>
      </c>
      <c r="D36" s="24"/>
      <c r="E36" s="24"/>
      <c r="F36" s="26">
        <v>0</v>
      </c>
      <c r="G36" s="26"/>
      <c r="H36" s="27"/>
      <c r="I36" s="40"/>
      <c r="J36" s="41"/>
    </row>
    <row r="37" spans="1:10" s="42" customFormat="1">
      <c r="A37" s="49"/>
      <c r="B37" s="45"/>
      <c r="C37" s="39"/>
      <c r="D37" s="24" t="s">
        <v>40</v>
      </c>
      <c r="E37" s="378">
        <v>1260</v>
      </c>
      <c r="F37" s="26">
        <v>0</v>
      </c>
      <c r="G37" s="411">
        <f>F37*E37</f>
        <v>0</v>
      </c>
      <c r="H37" s="27"/>
      <c r="I37" s="40"/>
      <c r="J37" s="41"/>
    </row>
    <row r="38" spans="1:10" s="42" customFormat="1">
      <c r="A38" s="49"/>
      <c r="B38" s="45"/>
      <c r="C38" s="39"/>
      <c r="D38" s="24"/>
      <c r="E38" s="46"/>
      <c r="F38" s="26">
        <v>0</v>
      </c>
      <c r="G38" s="26"/>
      <c r="H38" s="27"/>
      <c r="I38" s="40"/>
      <c r="J38" s="41"/>
    </row>
    <row r="39" spans="1:10" s="42" customFormat="1" ht="75">
      <c r="A39" s="44">
        <v>6</v>
      </c>
      <c r="B39" s="45" t="s">
        <v>41</v>
      </c>
      <c r="C39" s="39" t="s">
        <v>42</v>
      </c>
      <c r="D39" s="24"/>
      <c r="E39" s="24"/>
      <c r="F39" s="26">
        <v>0</v>
      </c>
      <c r="G39" s="26"/>
      <c r="H39" s="27"/>
      <c r="I39" s="40"/>
      <c r="J39" s="41"/>
    </row>
    <row r="40" spans="1:10" s="42" customFormat="1">
      <c r="A40" s="37"/>
      <c r="B40" s="45"/>
      <c r="C40" s="39"/>
      <c r="D40" s="24" t="s">
        <v>40</v>
      </c>
      <c r="E40" s="46">
        <v>24.119999999999994</v>
      </c>
      <c r="F40" s="26">
        <v>1574</v>
      </c>
      <c r="G40" s="26">
        <f>F40*E40</f>
        <v>37964.87999999999</v>
      </c>
      <c r="H40" s="27"/>
      <c r="I40" s="40"/>
      <c r="J40" s="41"/>
    </row>
    <row r="41" spans="1:10" s="42" customFormat="1">
      <c r="A41" s="37"/>
      <c r="B41" s="45"/>
      <c r="C41" s="39"/>
      <c r="D41" s="24"/>
      <c r="E41" s="46"/>
      <c r="F41" s="46"/>
      <c r="G41" s="26"/>
      <c r="H41" s="27"/>
      <c r="I41" s="40"/>
      <c r="J41" s="41"/>
    </row>
    <row r="42" spans="1:10" s="42" customFormat="1">
      <c r="A42" s="28"/>
      <c r="B42" s="29"/>
      <c r="C42" s="30" t="s">
        <v>43</v>
      </c>
      <c r="D42" s="31"/>
      <c r="E42" s="32"/>
      <c r="F42" s="32"/>
      <c r="G42" s="34">
        <f>SUM(G34:G41)</f>
        <v>1632674.88</v>
      </c>
      <c r="H42" s="35"/>
      <c r="I42" s="48"/>
      <c r="J42" s="41"/>
    </row>
    <row r="43" spans="1:10" s="42" customFormat="1">
      <c r="A43" s="50"/>
      <c r="B43" s="51"/>
      <c r="C43" s="52"/>
      <c r="D43" s="53"/>
      <c r="E43" s="54"/>
      <c r="F43" s="54"/>
      <c r="G43" s="56"/>
      <c r="H43" s="35"/>
      <c r="I43" s="40"/>
      <c r="J43" s="41"/>
    </row>
    <row r="44" spans="1:10" s="42" customFormat="1">
      <c r="A44" s="28" t="s">
        <v>44</v>
      </c>
      <c r="B44" s="29" t="s">
        <v>45</v>
      </c>
      <c r="C44" s="30" t="s">
        <v>46</v>
      </c>
      <c r="D44" s="31"/>
      <c r="E44" s="32"/>
      <c r="F44" s="32"/>
      <c r="G44" s="34"/>
      <c r="H44" s="35"/>
      <c r="I44" s="40"/>
      <c r="J44" s="41"/>
    </row>
    <row r="45" spans="1:10" s="42" customFormat="1">
      <c r="A45" s="50"/>
      <c r="B45" s="51"/>
      <c r="C45" s="52"/>
      <c r="D45" s="53"/>
      <c r="E45" s="54"/>
      <c r="F45" s="54"/>
      <c r="G45" s="56"/>
      <c r="H45" s="35"/>
      <c r="I45" s="40"/>
      <c r="J45" s="41"/>
    </row>
    <row r="46" spans="1:10" s="42" customFormat="1" ht="96" customHeight="1">
      <c r="A46" s="57">
        <v>7</v>
      </c>
      <c r="B46" s="45" t="s">
        <v>47</v>
      </c>
      <c r="C46" s="39" t="s">
        <v>48</v>
      </c>
      <c r="D46" s="24" t="s">
        <v>40</v>
      </c>
      <c r="E46" s="378">
        <v>564</v>
      </c>
      <c r="F46" s="26">
        <v>419</v>
      </c>
      <c r="G46" s="26">
        <f>F46*E46</f>
        <v>236316</v>
      </c>
      <c r="H46" s="27"/>
      <c r="I46" s="40"/>
      <c r="J46" s="41"/>
    </row>
    <row r="47" spans="1:10" s="42" customFormat="1" ht="13.25" customHeight="1">
      <c r="A47" s="57"/>
      <c r="B47" s="45"/>
      <c r="C47" s="39"/>
      <c r="D47" s="24"/>
      <c r="E47" s="46"/>
      <c r="F47" s="26">
        <v>0</v>
      </c>
      <c r="G47" s="26"/>
      <c r="H47" s="27"/>
      <c r="I47" s="40"/>
      <c r="J47" s="41"/>
    </row>
    <row r="48" spans="1:10" s="42" customFormat="1" ht="122.5" customHeight="1">
      <c r="A48" s="57">
        <v>8</v>
      </c>
      <c r="B48" s="45" t="s">
        <v>49</v>
      </c>
      <c r="C48" s="39" t="s">
        <v>50</v>
      </c>
      <c r="D48" s="24" t="s">
        <v>40</v>
      </c>
      <c r="E48" s="46" t="s">
        <v>51</v>
      </c>
      <c r="F48" s="26">
        <v>0</v>
      </c>
      <c r="G48" s="26"/>
      <c r="H48" s="27"/>
      <c r="I48" s="40"/>
      <c r="J48" s="41"/>
    </row>
    <row r="49" spans="1:10" s="42" customFormat="1" ht="13.25" customHeight="1">
      <c r="A49" s="50"/>
      <c r="B49" s="45"/>
      <c r="C49" s="39"/>
      <c r="D49" s="24"/>
      <c r="E49" s="46"/>
      <c r="F49" s="26">
        <v>0</v>
      </c>
      <c r="G49" s="26"/>
      <c r="H49" s="27"/>
      <c r="I49" s="40"/>
      <c r="J49" s="41"/>
    </row>
    <row r="50" spans="1:10" s="42" customFormat="1" ht="76.25" customHeight="1">
      <c r="A50" s="57">
        <v>9</v>
      </c>
      <c r="B50" s="45" t="s">
        <v>52</v>
      </c>
      <c r="C50" s="39" t="s">
        <v>53</v>
      </c>
      <c r="D50" s="24" t="s">
        <v>40</v>
      </c>
      <c r="E50" s="378">
        <v>1575</v>
      </c>
      <c r="F50" s="26">
        <v>305</v>
      </c>
      <c r="G50" s="26">
        <f>F50*E50</f>
        <v>480375</v>
      </c>
      <c r="H50" s="27"/>
      <c r="I50" s="40"/>
      <c r="J50" s="41"/>
    </row>
    <row r="51" spans="1:10" s="42" customFormat="1" ht="18" customHeight="1">
      <c r="A51" s="50"/>
      <c r="B51" s="45"/>
      <c r="C51" s="39"/>
      <c r="D51" s="24"/>
      <c r="E51" s="46"/>
      <c r="F51" s="46"/>
      <c r="G51" s="26"/>
      <c r="H51" s="27"/>
      <c r="I51" s="40"/>
      <c r="J51" s="41"/>
    </row>
    <row r="52" spans="1:10" s="42" customFormat="1">
      <c r="A52" s="50"/>
      <c r="B52" s="51"/>
      <c r="C52" s="52"/>
      <c r="D52" s="53"/>
      <c r="E52" s="54"/>
      <c r="F52" s="54"/>
      <c r="G52" s="56"/>
      <c r="H52" s="35"/>
      <c r="I52" s="40"/>
      <c r="J52" s="41"/>
    </row>
    <row r="53" spans="1:10" s="42" customFormat="1">
      <c r="A53" s="28"/>
      <c r="B53" s="29"/>
      <c r="C53" s="30" t="s">
        <v>54</v>
      </c>
      <c r="D53" s="31"/>
      <c r="E53" s="32"/>
      <c r="F53" s="32"/>
      <c r="G53" s="34">
        <f>SUM(G46:G52)</f>
        <v>716691</v>
      </c>
      <c r="H53" s="35"/>
      <c r="I53" s="48"/>
      <c r="J53" s="41"/>
    </row>
    <row r="54" spans="1:10" s="42" customFormat="1">
      <c r="A54" s="50"/>
      <c r="B54" s="51"/>
      <c r="C54" s="52"/>
      <c r="D54" s="53"/>
      <c r="E54" s="54"/>
      <c r="F54" s="54"/>
      <c r="G54" s="56"/>
      <c r="H54" s="35"/>
      <c r="I54" s="40"/>
      <c r="J54" s="41"/>
    </row>
    <row r="55" spans="1:10" s="42" customFormat="1">
      <c r="A55" s="28" t="s">
        <v>55</v>
      </c>
      <c r="B55" s="29" t="s">
        <v>56</v>
      </c>
      <c r="C55" s="30" t="s">
        <v>57</v>
      </c>
      <c r="D55" s="31"/>
      <c r="E55" s="32"/>
      <c r="F55" s="32"/>
      <c r="G55" s="34"/>
      <c r="H55" s="35"/>
      <c r="I55" s="40"/>
      <c r="J55" s="41"/>
    </row>
    <row r="56" spans="1:10" s="42" customFormat="1">
      <c r="A56" s="50"/>
      <c r="B56" s="51"/>
      <c r="C56" s="52"/>
      <c r="D56" s="53"/>
      <c r="E56" s="54"/>
      <c r="F56" s="54"/>
      <c r="G56" s="56"/>
      <c r="H56" s="35"/>
      <c r="I56" s="40"/>
      <c r="J56" s="41"/>
    </row>
    <row r="57" spans="1:10" s="42" customFormat="1" ht="25">
      <c r="A57" s="57">
        <v>10</v>
      </c>
      <c r="B57" s="58" t="s">
        <v>58</v>
      </c>
      <c r="C57" s="59" t="s">
        <v>59</v>
      </c>
      <c r="D57" s="60"/>
      <c r="E57" s="54"/>
      <c r="F57" s="54"/>
      <c r="G57" s="56"/>
      <c r="H57" s="35"/>
      <c r="I57" s="40"/>
      <c r="J57" s="41"/>
    </row>
    <row r="58" spans="1:10" s="42" customFormat="1">
      <c r="A58" s="57"/>
      <c r="B58" s="51"/>
      <c r="C58" s="59" t="s">
        <v>60</v>
      </c>
      <c r="D58" s="60" t="s">
        <v>40</v>
      </c>
      <c r="E58" s="61">
        <v>9.8999999999999986</v>
      </c>
      <c r="F58" s="26">
        <v>2631</v>
      </c>
      <c r="G58" s="26">
        <f>F58*E58</f>
        <v>26046.899999999998</v>
      </c>
      <c r="H58" s="27"/>
      <c r="I58" s="40"/>
      <c r="J58" s="41"/>
    </row>
    <row r="59" spans="1:10" s="42" customFormat="1">
      <c r="A59" s="57"/>
      <c r="B59" s="51"/>
      <c r="C59" s="59" t="s">
        <v>61</v>
      </c>
      <c r="D59" s="60" t="s">
        <v>40</v>
      </c>
      <c r="E59" s="61">
        <v>14.0847</v>
      </c>
      <c r="F59" s="26">
        <v>2631</v>
      </c>
      <c r="G59" s="26">
        <f>F59*E59</f>
        <v>37056.845699999998</v>
      </c>
      <c r="H59" s="27"/>
      <c r="I59" s="40"/>
      <c r="J59" s="41"/>
    </row>
    <row r="60" spans="1:10" s="42" customFormat="1">
      <c r="A60" s="57"/>
      <c r="B60" s="51"/>
      <c r="C60" s="59"/>
      <c r="D60" s="60"/>
      <c r="E60" s="61"/>
      <c r="F60" s="26">
        <v>0</v>
      </c>
      <c r="G60" s="26"/>
      <c r="H60" s="27"/>
      <c r="I60" s="40"/>
      <c r="J60" s="41"/>
    </row>
    <row r="61" spans="1:10" s="42" customFormat="1">
      <c r="A61" s="57">
        <v>11</v>
      </c>
      <c r="B61" s="58" t="s">
        <v>62</v>
      </c>
      <c r="C61" s="59" t="s">
        <v>63</v>
      </c>
      <c r="D61" s="60" t="s">
        <v>40</v>
      </c>
      <c r="E61" s="61">
        <v>8.0399999999999991</v>
      </c>
      <c r="F61" s="26">
        <v>15298</v>
      </c>
      <c r="G61" s="26">
        <f>F61*E61</f>
        <v>122995.91999999998</v>
      </c>
      <c r="H61" s="27"/>
      <c r="I61" s="40"/>
      <c r="J61" s="41"/>
    </row>
    <row r="62" spans="1:10" s="42" customFormat="1">
      <c r="A62" s="57"/>
      <c r="B62" s="58"/>
      <c r="C62" s="59"/>
      <c r="D62" s="60"/>
      <c r="E62" s="61"/>
      <c r="F62" s="26">
        <v>0</v>
      </c>
      <c r="G62" s="26"/>
      <c r="H62" s="27"/>
      <c r="I62" s="40"/>
      <c r="J62" s="41"/>
    </row>
    <row r="63" spans="1:10" s="42" customFormat="1">
      <c r="A63" s="57">
        <v>12</v>
      </c>
      <c r="B63" s="58" t="s">
        <v>64</v>
      </c>
      <c r="C63" s="59" t="s">
        <v>65</v>
      </c>
      <c r="D63" s="60" t="s">
        <v>66</v>
      </c>
      <c r="E63" s="61"/>
      <c r="F63" s="26">
        <v>0</v>
      </c>
      <c r="G63" s="26"/>
      <c r="H63" s="27"/>
      <c r="I63" s="40"/>
      <c r="J63" s="41"/>
    </row>
    <row r="64" spans="1:10" s="42" customFormat="1">
      <c r="A64" s="57"/>
      <c r="B64" s="51"/>
      <c r="C64" s="52"/>
      <c r="D64" s="53"/>
      <c r="E64" s="54"/>
      <c r="F64" s="26">
        <v>0</v>
      </c>
      <c r="G64" s="56"/>
      <c r="H64" s="35"/>
      <c r="I64" s="40"/>
      <c r="J64" s="41"/>
    </row>
    <row r="65" spans="1:10" s="42" customFormat="1">
      <c r="A65" s="57">
        <v>13</v>
      </c>
      <c r="B65" s="58" t="s">
        <v>67</v>
      </c>
      <c r="C65" s="59" t="s">
        <v>68</v>
      </c>
      <c r="D65" s="60" t="s">
        <v>66</v>
      </c>
      <c r="E65" s="61">
        <v>250</v>
      </c>
      <c r="F65" s="26">
        <v>870</v>
      </c>
      <c r="G65" s="26">
        <f>F65*E65</f>
        <v>217500</v>
      </c>
      <c r="H65" s="35"/>
      <c r="I65" s="40"/>
      <c r="J65" s="41"/>
    </row>
    <row r="66" spans="1:10" s="42" customFormat="1">
      <c r="A66" s="57"/>
      <c r="B66" s="51"/>
      <c r="C66" s="52"/>
      <c r="D66" s="53"/>
      <c r="E66" s="54"/>
      <c r="F66" s="26">
        <v>0</v>
      </c>
      <c r="G66" s="56"/>
      <c r="H66" s="35"/>
      <c r="I66" s="40"/>
      <c r="J66" s="41"/>
    </row>
    <row r="67" spans="1:10" s="42" customFormat="1" ht="112">
      <c r="A67" s="57">
        <v>14</v>
      </c>
      <c r="B67" s="58" t="s">
        <v>67</v>
      </c>
      <c r="C67" s="62" t="s">
        <v>69</v>
      </c>
      <c r="D67" s="24" t="s">
        <v>66</v>
      </c>
      <c r="E67" s="46">
        <v>45.86</v>
      </c>
      <c r="F67" s="26">
        <v>5655</v>
      </c>
      <c r="G67" s="26">
        <f>F67*E67</f>
        <v>259338.3</v>
      </c>
      <c r="H67" s="27"/>
      <c r="I67" s="40"/>
      <c r="J67" s="41"/>
    </row>
    <row r="68" spans="1:10" s="42" customFormat="1">
      <c r="A68" s="57"/>
      <c r="B68" s="58"/>
      <c r="C68" s="62"/>
      <c r="D68" s="24"/>
      <c r="E68" s="46"/>
      <c r="F68" s="26">
        <v>0</v>
      </c>
      <c r="G68" s="26"/>
      <c r="H68" s="27"/>
      <c r="I68" s="40"/>
      <c r="J68" s="41"/>
    </row>
    <row r="69" spans="1:10" s="42" customFormat="1" ht="28">
      <c r="A69" s="57">
        <v>15</v>
      </c>
      <c r="B69" s="58" t="s">
        <v>70</v>
      </c>
      <c r="C69" s="62" t="s">
        <v>71</v>
      </c>
      <c r="D69" s="24" t="s">
        <v>40</v>
      </c>
      <c r="E69" s="46" t="s">
        <v>51</v>
      </c>
      <c r="F69" s="26">
        <v>0</v>
      </c>
      <c r="G69" s="26"/>
      <c r="H69" s="27"/>
      <c r="I69" s="40"/>
      <c r="J69" s="41"/>
    </row>
    <row r="70" spans="1:10" s="42" customFormat="1">
      <c r="A70" s="57"/>
      <c r="B70" s="58"/>
      <c r="C70" s="62"/>
      <c r="D70" s="24"/>
      <c r="E70" s="46"/>
      <c r="F70" s="26">
        <v>0</v>
      </c>
      <c r="G70" s="26"/>
      <c r="H70" s="27"/>
      <c r="I70" s="40"/>
      <c r="J70" s="41"/>
    </row>
    <row r="71" spans="1:10" s="42" customFormat="1" ht="62.5">
      <c r="A71" s="57">
        <v>16</v>
      </c>
      <c r="B71" s="58" t="s">
        <v>508</v>
      </c>
      <c r="C71" s="59" t="s">
        <v>509</v>
      </c>
      <c r="D71" s="60" t="s">
        <v>40</v>
      </c>
      <c r="E71" s="61" t="s">
        <v>51</v>
      </c>
      <c r="F71" s="26">
        <v>0</v>
      </c>
      <c r="G71" s="26"/>
      <c r="H71" s="27"/>
      <c r="I71" s="40"/>
      <c r="J71" s="41"/>
    </row>
    <row r="72" spans="1:10" s="42" customFormat="1">
      <c r="A72" s="57"/>
      <c r="B72" s="58"/>
      <c r="C72" s="62"/>
      <c r="D72" s="24"/>
      <c r="E72" s="46"/>
      <c r="F72" s="26">
        <v>0</v>
      </c>
      <c r="G72" s="26"/>
      <c r="H72" s="27"/>
      <c r="I72" s="40"/>
      <c r="J72" s="41"/>
    </row>
    <row r="73" spans="1:10" s="42" customFormat="1" ht="62.5">
      <c r="A73" s="50">
        <v>17</v>
      </c>
      <c r="B73" s="51"/>
      <c r="C73" s="59" t="s">
        <v>510</v>
      </c>
      <c r="D73" s="53" t="s">
        <v>40</v>
      </c>
      <c r="E73" s="54" t="s">
        <v>51</v>
      </c>
      <c r="F73" s="26">
        <v>0</v>
      </c>
      <c r="G73" s="26"/>
      <c r="H73" s="27"/>
      <c r="I73" s="40"/>
      <c r="J73" s="41"/>
    </row>
    <row r="74" spans="1:10" s="42" customFormat="1">
      <c r="A74" s="50"/>
      <c r="B74" s="51"/>
      <c r="C74" s="52"/>
      <c r="D74" s="53"/>
      <c r="E74" s="54"/>
      <c r="F74" s="54"/>
      <c r="G74" s="56"/>
      <c r="H74" s="35"/>
      <c r="I74" s="48"/>
      <c r="J74" s="41"/>
    </row>
    <row r="75" spans="1:10" s="42" customFormat="1">
      <c r="A75" s="28"/>
      <c r="B75" s="29"/>
      <c r="C75" s="30" t="s">
        <v>72</v>
      </c>
      <c r="D75" s="31"/>
      <c r="E75" s="32"/>
      <c r="F75" s="32"/>
      <c r="G75" s="34">
        <f>SUM(G58:G74)</f>
        <v>662937.96570000006</v>
      </c>
      <c r="H75" s="35"/>
      <c r="I75" s="48"/>
      <c r="J75" s="41"/>
    </row>
    <row r="76" spans="1:10" s="42" customFormat="1">
      <c r="A76" s="50"/>
      <c r="B76" s="51"/>
      <c r="C76" s="52"/>
      <c r="D76" s="53"/>
      <c r="E76" s="54"/>
      <c r="F76" s="54"/>
      <c r="G76" s="56"/>
      <c r="H76" s="35"/>
      <c r="I76" s="40"/>
      <c r="J76" s="41"/>
    </row>
    <row r="77" spans="1:10" s="42" customFormat="1">
      <c r="A77" s="28" t="s">
        <v>73</v>
      </c>
      <c r="B77" s="29" t="s">
        <v>74</v>
      </c>
      <c r="C77" s="30" t="s">
        <v>75</v>
      </c>
      <c r="D77" s="31"/>
      <c r="E77" s="32"/>
      <c r="F77" s="32"/>
      <c r="G77" s="34"/>
      <c r="H77" s="35"/>
      <c r="I77" s="40"/>
      <c r="J77" s="41"/>
    </row>
    <row r="78" spans="1:10" s="42" customFormat="1">
      <c r="A78" s="50"/>
      <c r="B78" s="51"/>
      <c r="C78" s="52"/>
      <c r="D78" s="53"/>
      <c r="E78" s="54"/>
      <c r="F78" s="54"/>
      <c r="G78" s="56"/>
      <c r="H78" s="35"/>
      <c r="I78" s="40"/>
      <c r="J78" s="41"/>
    </row>
    <row r="79" spans="1:10" s="42" customFormat="1" ht="112">
      <c r="A79" s="57">
        <v>15</v>
      </c>
      <c r="B79" s="51" t="s">
        <v>76</v>
      </c>
      <c r="C79" s="63" t="s">
        <v>77</v>
      </c>
      <c r="D79" s="24" t="s">
        <v>40</v>
      </c>
      <c r="E79" s="46">
        <f>798.6+61.41</f>
        <v>860.01</v>
      </c>
      <c r="F79" s="26">
        <v>216</v>
      </c>
      <c r="G79" s="26">
        <f>F79*E79</f>
        <v>185762.16</v>
      </c>
      <c r="H79" s="27"/>
      <c r="I79" s="64"/>
      <c r="J79" s="41"/>
    </row>
    <row r="80" spans="1:10" s="42" customFormat="1">
      <c r="A80" s="50"/>
      <c r="B80" s="51"/>
      <c r="C80" s="63"/>
      <c r="D80" s="53"/>
      <c r="E80" s="54"/>
      <c r="F80" s="55"/>
      <c r="G80" s="56"/>
      <c r="H80" s="35"/>
      <c r="I80" s="40"/>
      <c r="J80" s="41"/>
    </row>
    <row r="81" spans="1:15" s="42" customFormat="1" ht="84">
      <c r="A81" s="57">
        <v>16</v>
      </c>
      <c r="B81" s="51" t="s">
        <v>78</v>
      </c>
      <c r="C81" s="63" t="s">
        <v>79</v>
      </c>
      <c r="D81" s="24" t="s">
        <v>40</v>
      </c>
      <c r="E81" s="61" t="s">
        <v>51</v>
      </c>
      <c r="F81" s="26"/>
      <c r="G81" s="56"/>
      <c r="H81" s="35"/>
      <c r="I81" s="40"/>
      <c r="J81" s="41"/>
    </row>
    <row r="82" spans="1:15" s="42" customFormat="1">
      <c r="A82" s="50"/>
      <c r="B82" s="51"/>
      <c r="C82" s="63"/>
      <c r="D82" s="53"/>
      <c r="E82" s="54"/>
      <c r="F82" s="55"/>
      <c r="G82" s="56"/>
      <c r="H82" s="35"/>
      <c r="I82" s="40"/>
      <c r="J82" s="41"/>
    </row>
    <row r="83" spans="1:15" s="42" customFormat="1">
      <c r="A83" s="50"/>
      <c r="B83" s="51"/>
      <c r="C83" s="63"/>
      <c r="D83" s="53"/>
      <c r="E83" s="54"/>
      <c r="F83" s="55"/>
      <c r="G83" s="56"/>
      <c r="H83" s="35"/>
      <c r="I83" s="40"/>
      <c r="J83" s="41"/>
    </row>
    <row r="84" spans="1:15" s="42" customFormat="1">
      <c r="A84" s="50"/>
      <c r="B84" s="51"/>
      <c r="C84" s="63"/>
      <c r="D84" s="53"/>
      <c r="E84" s="54"/>
      <c r="F84" s="55"/>
      <c r="G84" s="56"/>
      <c r="H84" s="35"/>
      <c r="I84" s="40"/>
      <c r="J84" s="41"/>
    </row>
    <row r="85" spans="1:15" s="42" customFormat="1">
      <c r="A85" s="28"/>
      <c r="B85" s="29"/>
      <c r="C85" s="30" t="s">
        <v>80</v>
      </c>
      <c r="D85" s="31"/>
      <c r="E85" s="32"/>
      <c r="F85" s="33"/>
      <c r="G85" s="34">
        <f>SUM(G79:G84)</f>
        <v>185762.16</v>
      </c>
      <c r="H85" s="35"/>
      <c r="I85" s="40"/>
      <c r="J85" s="41"/>
    </row>
    <row r="86" spans="1:15" s="42" customFormat="1">
      <c r="A86" s="50"/>
      <c r="B86" s="51"/>
      <c r="C86" s="63"/>
      <c r="D86" s="53"/>
      <c r="E86" s="54"/>
      <c r="F86" s="55"/>
      <c r="G86" s="56"/>
      <c r="H86" s="35"/>
      <c r="I86" s="40"/>
      <c r="J86" s="41"/>
    </row>
    <row r="87" spans="1:15" s="42" customFormat="1">
      <c r="A87" s="37"/>
      <c r="B87" s="45"/>
      <c r="C87" s="39"/>
      <c r="D87" s="24"/>
      <c r="E87" s="24"/>
      <c r="F87" s="26"/>
      <c r="G87" s="26"/>
      <c r="H87" s="27"/>
      <c r="I87" s="40"/>
      <c r="J87" s="41"/>
    </row>
    <row r="88" spans="1:15" ht="14.5" thickBot="1">
      <c r="A88" s="65"/>
      <c r="B88" s="65"/>
      <c r="C88" s="66" t="s">
        <v>81</v>
      </c>
      <c r="D88" s="21"/>
      <c r="E88" s="67"/>
      <c r="F88" s="68"/>
      <c r="G88" s="68">
        <f>G85+G75+G53+G42+G29</f>
        <v>3364898.0057000001</v>
      </c>
      <c r="H88" s="69"/>
      <c r="I88" s="70"/>
      <c r="J88" s="1"/>
      <c r="K88"/>
      <c r="L88"/>
      <c r="M88"/>
      <c r="N88"/>
      <c r="O88"/>
    </row>
    <row r="89" spans="1:15">
      <c r="K89"/>
      <c r="L89"/>
      <c r="M89"/>
      <c r="N89"/>
      <c r="O89"/>
    </row>
    <row r="90" spans="1:15">
      <c r="C90" s="72"/>
      <c r="K90"/>
      <c r="L90"/>
      <c r="M90"/>
      <c r="N90"/>
      <c r="O90"/>
    </row>
    <row r="91" spans="1:15">
      <c r="K91"/>
      <c r="L91"/>
      <c r="M91"/>
      <c r="N91"/>
      <c r="O91"/>
    </row>
    <row r="92" spans="1:15">
      <c r="K92"/>
      <c r="L92"/>
      <c r="M92"/>
      <c r="N92"/>
      <c r="O92"/>
    </row>
    <row r="93" spans="1:15">
      <c r="K93"/>
      <c r="L93"/>
      <c r="M93"/>
      <c r="N93"/>
      <c r="O93"/>
    </row>
    <row r="94" spans="1:15">
      <c r="K94"/>
      <c r="L94"/>
      <c r="M94"/>
      <c r="N94"/>
      <c r="O94"/>
    </row>
    <row r="95" spans="1:15">
      <c r="K95"/>
      <c r="L95"/>
      <c r="M95"/>
      <c r="N95"/>
      <c r="O95"/>
    </row>
    <row r="96" spans="1:15">
      <c r="K96"/>
      <c r="L96"/>
      <c r="M96"/>
      <c r="N96"/>
      <c r="O96"/>
    </row>
    <row r="97" spans="11:15">
      <c r="K97"/>
      <c r="L97"/>
      <c r="M97"/>
      <c r="N97"/>
      <c r="O97"/>
    </row>
    <row r="98" spans="11:15">
      <c r="K98"/>
      <c r="L98"/>
      <c r="M98"/>
      <c r="N98"/>
      <c r="O98"/>
    </row>
    <row r="99" spans="11:15">
      <c r="K99"/>
      <c r="L99"/>
      <c r="M99"/>
      <c r="N99"/>
      <c r="O9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opLeftCell="A20" zoomScale="80" zoomScaleNormal="80" workbookViewId="0">
      <selection activeCell="C37" sqref="C37"/>
    </sheetView>
  </sheetViews>
  <sheetFormatPr defaultColWidth="8.83203125" defaultRowHeight="14"/>
  <cols>
    <col min="1" max="1" width="6.1640625" customWidth="1"/>
    <col min="2" max="2" width="10.1640625" customWidth="1"/>
    <col min="3" max="3" width="98.83203125" customWidth="1"/>
    <col min="4" max="4" width="6.5" style="71" customWidth="1"/>
    <col min="5" max="5" width="11.83203125" style="7" customWidth="1"/>
    <col min="6" max="6" width="13.5" style="7" customWidth="1"/>
    <col min="7" max="7" width="14.1640625" style="7" customWidth="1"/>
    <col min="9" max="9" width="9.1640625" customWidth="1"/>
    <col min="10" max="10" width="18.1640625" bestFit="1" customWidth="1"/>
    <col min="11" max="11" width="12.83203125" customWidth="1"/>
    <col min="12" max="12" width="12.83203125" style="2" customWidth="1"/>
    <col min="13" max="13" width="12.33203125" bestFit="1" customWidth="1"/>
    <col min="14" max="14" width="4.83203125" customWidth="1"/>
  </cols>
  <sheetData>
    <row r="1" spans="1:12" ht="29.5" customHeight="1" thickBot="1">
      <c r="A1" s="73"/>
      <c r="B1" s="74"/>
      <c r="C1" s="75" t="s">
        <v>0</v>
      </c>
      <c r="D1" s="76"/>
      <c r="E1" s="73"/>
      <c r="F1" s="73"/>
      <c r="G1" s="73"/>
      <c r="H1" s="73"/>
      <c r="I1" s="15"/>
      <c r="L1"/>
    </row>
    <row r="2" spans="1:12" ht="14.5" thickBot="1">
      <c r="A2" s="77" t="s">
        <v>1</v>
      </c>
      <c r="B2" s="77" t="s">
        <v>2</v>
      </c>
      <c r="C2" s="77" t="s">
        <v>3</v>
      </c>
      <c r="D2" s="78" t="s">
        <v>4</v>
      </c>
      <c r="E2" s="78" t="s">
        <v>5</v>
      </c>
      <c r="F2" s="78" t="s">
        <v>11</v>
      </c>
      <c r="G2" s="78" t="s">
        <v>7</v>
      </c>
      <c r="H2" s="22"/>
      <c r="I2" s="22"/>
      <c r="L2"/>
    </row>
    <row r="3" spans="1:12">
      <c r="A3" s="79"/>
      <c r="B3" s="80"/>
      <c r="C3" s="80"/>
      <c r="D3" s="81"/>
      <c r="E3" s="82"/>
      <c r="F3" s="82"/>
      <c r="G3" s="83"/>
      <c r="I3" s="1"/>
      <c r="L3"/>
    </row>
    <row r="4" spans="1:12" s="42" customFormat="1">
      <c r="A4" s="84" t="s">
        <v>82</v>
      </c>
      <c r="B4" s="29" t="s">
        <v>83</v>
      </c>
      <c r="C4" s="30" t="s">
        <v>84</v>
      </c>
      <c r="D4" s="31"/>
      <c r="E4" s="32"/>
      <c r="F4" s="32"/>
      <c r="G4" s="85"/>
      <c r="H4"/>
      <c r="I4" s="1"/>
    </row>
    <row r="5" spans="1:12" ht="322">
      <c r="A5" s="86"/>
      <c r="B5" s="23"/>
      <c r="C5" s="143" t="s">
        <v>518</v>
      </c>
      <c r="D5" s="24"/>
      <c r="E5" s="25"/>
      <c r="F5" s="25"/>
      <c r="G5" s="87"/>
      <c r="I5" s="1"/>
      <c r="L5"/>
    </row>
    <row r="6" spans="1:12" s="42" customFormat="1">
      <c r="A6" s="88"/>
      <c r="B6" s="38"/>
      <c r="C6" s="39"/>
      <c r="D6" s="24"/>
      <c r="E6" s="24"/>
      <c r="F6" s="25"/>
      <c r="G6" s="87"/>
      <c r="I6" s="41"/>
    </row>
    <row r="7" spans="1:12" s="42" customFormat="1">
      <c r="A7" s="89">
        <v>1</v>
      </c>
      <c r="B7" s="90" t="s">
        <v>85</v>
      </c>
      <c r="C7" s="91" t="s">
        <v>86</v>
      </c>
      <c r="D7" s="92"/>
      <c r="E7" s="92"/>
      <c r="F7" s="93"/>
      <c r="G7" s="94"/>
      <c r="H7"/>
      <c r="I7" s="1"/>
    </row>
    <row r="8" spans="1:12" s="42" customFormat="1" ht="87.5">
      <c r="A8" s="95"/>
      <c r="B8" s="96"/>
      <c r="C8" s="97" t="s">
        <v>87</v>
      </c>
      <c r="D8" s="98"/>
      <c r="E8" s="98"/>
      <c r="F8" s="99"/>
      <c r="G8" s="87"/>
      <c r="I8" s="41"/>
    </row>
    <row r="9" spans="1:12" s="42" customFormat="1" ht="62.5">
      <c r="A9" s="95"/>
      <c r="B9" s="96"/>
      <c r="C9" s="97" t="s">
        <v>88</v>
      </c>
      <c r="D9" s="98" t="s">
        <v>40</v>
      </c>
      <c r="E9" s="100">
        <v>573.38350000000003</v>
      </c>
      <c r="F9" s="99">
        <v>940</v>
      </c>
      <c r="G9" s="101">
        <f>F9*E9</f>
        <v>538980.49</v>
      </c>
      <c r="I9" s="41"/>
    </row>
    <row r="10" spans="1:12" s="42" customFormat="1" ht="25">
      <c r="A10" s="95"/>
      <c r="B10" s="96"/>
      <c r="C10" s="97" t="s">
        <v>89</v>
      </c>
      <c r="D10" s="98"/>
      <c r="E10" s="100"/>
      <c r="F10" s="100"/>
      <c r="G10" s="101"/>
      <c r="I10" s="41"/>
    </row>
    <row r="11" spans="1:12" s="42" customFormat="1">
      <c r="A11" s="95"/>
      <c r="B11" s="96"/>
      <c r="C11" s="97" t="s">
        <v>90</v>
      </c>
      <c r="D11" s="98"/>
      <c r="E11" s="100"/>
      <c r="F11" s="100"/>
      <c r="G11" s="101"/>
      <c r="I11" s="41"/>
    </row>
    <row r="12" spans="1:12" s="42" customFormat="1">
      <c r="A12" s="95"/>
      <c r="B12" s="96"/>
      <c r="C12" s="97"/>
      <c r="D12" s="98"/>
      <c r="E12" s="100"/>
      <c r="F12" s="100"/>
      <c r="G12" s="87"/>
      <c r="I12" s="41"/>
    </row>
    <row r="13" spans="1:12" s="42" customFormat="1">
      <c r="A13" s="89">
        <v>2</v>
      </c>
      <c r="B13" s="90" t="s">
        <v>91</v>
      </c>
      <c r="C13" s="91" t="s">
        <v>92</v>
      </c>
      <c r="D13" s="92"/>
      <c r="E13" s="92"/>
      <c r="F13" s="92"/>
      <c r="G13" s="94"/>
      <c r="I13" s="41"/>
    </row>
    <row r="14" spans="1:12" s="42" customFormat="1">
      <c r="A14" s="95"/>
      <c r="B14" s="45"/>
      <c r="C14" s="97"/>
      <c r="D14" s="98"/>
      <c r="E14" s="98"/>
      <c r="F14" s="98"/>
      <c r="G14" s="102"/>
      <c r="I14" s="41"/>
    </row>
    <row r="15" spans="1:12" s="42" customFormat="1" ht="37.5">
      <c r="A15" s="95"/>
      <c r="B15" s="103"/>
      <c r="C15" s="97" t="s">
        <v>93</v>
      </c>
      <c r="D15" s="98" t="s">
        <v>40</v>
      </c>
      <c r="E15" s="100">
        <v>677.95350000000008</v>
      </c>
      <c r="F15" s="99">
        <v>3567</v>
      </c>
      <c r="G15" s="101">
        <f>F15*E15</f>
        <v>2418260.1345000002</v>
      </c>
      <c r="I15" s="41"/>
    </row>
    <row r="16" spans="1:12" s="42" customFormat="1">
      <c r="A16" s="95"/>
      <c r="B16" s="103"/>
      <c r="C16" s="97"/>
      <c r="D16" s="98"/>
      <c r="E16" s="100"/>
      <c r="F16" s="100"/>
      <c r="G16" s="101"/>
      <c r="I16" s="41"/>
    </row>
    <row r="17" spans="1:12" s="42" customFormat="1">
      <c r="A17" s="89">
        <v>3</v>
      </c>
      <c r="B17" s="90" t="s">
        <v>94</v>
      </c>
      <c r="C17" s="91" t="s">
        <v>95</v>
      </c>
      <c r="D17" s="92"/>
      <c r="E17" s="92"/>
      <c r="F17" s="92"/>
      <c r="G17" s="94"/>
      <c r="I17" s="41"/>
    </row>
    <row r="18" spans="1:12" s="42" customFormat="1">
      <c r="A18" s="95"/>
      <c r="B18" s="103"/>
      <c r="C18" s="97"/>
      <c r="D18" s="98"/>
      <c r="E18" s="98"/>
      <c r="F18" s="98"/>
      <c r="G18" s="102"/>
      <c r="I18" s="41"/>
    </row>
    <row r="19" spans="1:12" s="42" customFormat="1" ht="87.5">
      <c r="A19" s="95"/>
      <c r="B19" s="103"/>
      <c r="C19" s="97" t="s">
        <v>96</v>
      </c>
      <c r="D19" s="98" t="s">
        <v>40</v>
      </c>
      <c r="E19" s="100">
        <v>81.364499999999992</v>
      </c>
      <c r="F19" s="99">
        <v>1413</v>
      </c>
      <c r="G19" s="101">
        <f>F19*E19</f>
        <v>114968.0385</v>
      </c>
      <c r="I19" s="41"/>
    </row>
    <row r="20" spans="1:12" s="42" customFormat="1">
      <c r="A20" s="95"/>
      <c r="B20" s="103"/>
      <c r="C20" s="97"/>
      <c r="D20" s="98"/>
      <c r="E20" s="98"/>
      <c r="F20" s="98"/>
      <c r="G20" s="102"/>
      <c r="I20" s="41"/>
    </row>
    <row r="21" spans="1:12" s="42" customFormat="1">
      <c r="A21" s="89">
        <v>4</v>
      </c>
      <c r="B21" s="90" t="s">
        <v>97</v>
      </c>
      <c r="C21" s="91" t="s">
        <v>98</v>
      </c>
      <c r="D21" s="92"/>
      <c r="E21" s="92"/>
      <c r="F21" s="92"/>
      <c r="G21" s="94"/>
      <c r="I21" s="41"/>
    </row>
    <row r="22" spans="1:12" s="42" customFormat="1">
      <c r="A22" s="95"/>
      <c r="B22" s="103"/>
      <c r="C22" s="97"/>
      <c r="D22" s="98"/>
      <c r="E22" s="100"/>
      <c r="F22" s="100"/>
      <c r="G22" s="101"/>
      <c r="I22" s="41"/>
    </row>
    <row r="23" spans="1:12" s="42" customFormat="1" ht="62.5">
      <c r="A23" s="95"/>
      <c r="B23" s="103"/>
      <c r="C23" s="97" t="s">
        <v>99</v>
      </c>
      <c r="D23" s="98" t="s">
        <v>100</v>
      </c>
      <c r="E23" s="100">
        <v>7</v>
      </c>
      <c r="F23" s="99">
        <v>6334</v>
      </c>
      <c r="G23" s="101">
        <f>F23*E23</f>
        <v>44338</v>
      </c>
      <c r="H23" s="104"/>
      <c r="I23" s="41"/>
    </row>
    <row r="24" spans="1:12" s="42" customFormat="1">
      <c r="A24" s="95"/>
      <c r="B24" s="103"/>
      <c r="C24" s="97" t="s">
        <v>101</v>
      </c>
      <c r="D24" s="98"/>
      <c r="E24" s="100"/>
      <c r="F24" s="100"/>
      <c r="G24" s="101"/>
      <c r="I24" s="41"/>
    </row>
    <row r="25" spans="1:12" s="42" customFormat="1">
      <c r="A25" s="95"/>
      <c r="B25" s="103"/>
      <c r="C25" s="97"/>
      <c r="D25" s="98"/>
      <c r="E25" s="100"/>
      <c r="F25" s="100"/>
      <c r="G25" s="101"/>
      <c r="I25" s="41"/>
    </row>
    <row r="26" spans="1:12" s="42" customFormat="1">
      <c r="A26" s="88">
        <v>5</v>
      </c>
      <c r="B26" s="105" t="s">
        <v>102</v>
      </c>
      <c r="C26" s="106" t="s">
        <v>103</v>
      </c>
      <c r="D26" s="24"/>
      <c r="E26" s="24"/>
      <c r="F26" s="24"/>
      <c r="G26" s="87"/>
      <c r="I26" s="41"/>
    </row>
    <row r="27" spans="1:12" s="42" customFormat="1">
      <c r="A27" s="95"/>
      <c r="B27" s="107"/>
      <c r="D27" s="98"/>
      <c r="E27" s="98"/>
      <c r="F27" s="98"/>
      <c r="G27" s="102"/>
      <c r="I27" s="41"/>
    </row>
    <row r="28" spans="1:12" s="42" customFormat="1" ht="62.5">
      <c r="A28" s="95"/>
      <c r="B28" s="107"/>
      <c r="C28" s="97" t="s">
        <v>104</v>
      </c>
      <c r="D28" s="98" t="s">
        <v>40</v>
      </c>
      <c r="E28" s="98">
        <v>200</v>
      </c>
      <c r="F28" s="99">
        <v>1479</v>
      </c>
      <c r="G28" s="101">
        <f>F28*E28</f>
        <v>295800</v>
      </c>
      <c r="I28" s="41"/>
    </row>
    <row r="29" spans="1:12" s="42" customFormat="1">
      <c r="A29" s="95"/>
      <c r="B29" s="107"/>
      <c r="C29" s="108"/>
      <c r="D29" s="98"/>
      <c r="E29" s="98"/>
      <c r="F29" s="99">
        <v>0</v>
      </c>
      <c r="G29" s="102"/>
      <c r="I29" s="41"/>
    </row>
    <row r="30" spans="1:12" s="42" customFormat="1" ht="75">
      <c r="A30" s="95"/>
      <c r="B30" s="107" t="s">
        <v>105</v>
      </c>
      <c r="C30" s="97" t="s">
        <v>106</v>
      </c>
      <c r="D30" s="98" t="s">
        <v>40</v>
      </c>
      <c r="E30" s="98">
        <v>200</v>
      </c>
      <c r="F30" s="99">
        <v>1218</v>
      </c>
      <c r="G30" s="101">
        <f>F30*E30</f>
        <v>243600</v>
      </c>
      <c r="I30" s="41"/>
    </row>
    <row r="31" spans="1:12" s="42" customFormat="1">
      <c r="A31" s="95"/>
      <c r="B31" s="107"/>
      <c r="C31" s="108"/>
      <c r="D31" s="98"/>
      <c r="E31" s="98"/>
      <c r="F31" s="99"/>
      <c r="G31" s="102"/>
      <c r="I31" s="41"/>
    </row>
    <row r="32" spans="1:12">
      <c r="A32" s="95"/>
      <c r="B32" s="107"/>
      <c r="C32" s="108"/>
      <c r="D32" s="98"/>
      <c r="E32" s="98"/>
      <c r="F32" s="99"/>
      <c r="G32" s="102"/>
      <c r="H32" s="42"/>
      <c r="I32" s="41"/>
      <c r="L32"/>
    </row>
    <row r="33" spans="1:12">
      <c r="A33" s="95"/>
      <c r="B33" s="107"/>
      <c r="C33" s="108"/>
      <c r="D33" s="98"/>
      <c r="E33" s="98"/>
      <c r="F33" s="99"/>
      <c r="G33" s="102"/>
      <c r="H33" s="42"/>
      <c r="I33" s="41"/>
      <c r="L33"/>
    </row>
    <row r="34" spans="1:12" ht="14.5" thickBot="1">
      <c r="A34" s="109"/>
      <c r="B34" s="110"/>
      <c r="C34" s="111" t="s">
        <v>107</v>
      </c>
      <c r="D34" s="112"/>
      <c r="E34" s="113"/>
      <c r="F34" s="112"/>
      <c r="G34" s="114">
        <f>SUM(G9:G33)</f>
        <v>3655946.6629999997</v>
      </c>
      <c r="I34" s="1"/>
      <c r="L34"/>
    </row>
    <row r="35" spans="1:12">
      <c r="I35" s="1"/>
      <c r="L35"/>
    </row>
    <row r="36" spans="1:12">
      <c r="C36" s="7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93"/>
  <sheetViews>
    <sheetView zoomScale="70" zoomScaleNormal="70" workbookViewId="0">
      <selection activeCell="C22" sqref="C22"/>
    </sheetView>
  </sheetViews>
  <sheetFormatPr defaultColWidth="8.83203125" defaultRowHeight="14"/>
  <cols>
    <col min="1" max="1" width="6.1640625" customWidth="1"/>
    <col min="2" max="2" width="10.1640625" customWidth="1"/>
    <col min="3" max="3" width="98.83203125" customWidth="1"/>
    <col min="4" max="4" width="7.25" style="158" customWidth="1"/>
    <col min="5" max="5" width="7.5" bestFit="1" customWidth="1"/>
    <col min="6" max="6" width="7.83203125" customWidth="1"/>
    <col min="7" max="7" width="10.83203125" bestFit="1" customWidth="1"/>
    <col min="8" max="8" width="10.33203125" customWidth="1"/>
    <col min="9" max="9" width="5.1640625" customWidth="1"/>
    <col min="10" max="10" width="7.33203125" bestFit="1" customWidth="1"/>
    <col min="11" max="11" width="14.83203125" bestFit="1" customWidth="1"/>
    <col min="12" max="12" width="12.1640625" bestFit="1" customWidth="1"/>
    <col min="13" max="13" width="7.1640625" style="2" bestFit="1" customWidth="1"/>
    <col min="14" max="14" width="9.6640625" bestFit="1" customWidth="1"/>
    <col min="15" max="15" width="4" customWidth="1"/>
  </cols>
  <sheetData>
    <row r="2" spans="1:13" s="15" customFormat="1" ht="35.5" customHeight="1" thickBot="1">
      <c r="A2" s="73"/>
      <c r="B2" s="74"/>
      <c r="C2" s="75" t="s">
        <v>0</v>
      </c>
      <c r="D2" s="76"/>
      <c r="E2" s="73"/>
      <c r="F2" s="73"/>
      <c r="G2" s="73"/>
      <c r="H2" s="73"/>
      <c r="I2" s="117"/>
    </row>
    <row r="3" spans="1:13" s="22" customFormat="1" ht="23.25" customHeight="1" thickBot="1">
      <c r="A3" s="77" t="s">
        <v>1</v>
      </c>
      <c r="B3" s="77" t="s">
        <v>2</v>
      </c>
      <c r="C3" s="77" t="s">
        <v>3</v>
      </c>
      <c r="D3" s="77" t="s">
        <v>4</v>
      </c>
      <c r="E3" s="77" t="s">
        <v>5</v>
      </c>
      <c r="F3" s="77" t="s">
        <v>6</v>
      </c>
      <c r="G3" s="77" t="s">
        <v>7</v>
      </c>
      <c r="H3" s="118"/>
    </row>
    <row r="4" spans="1:13">
      <c r="A4" s="79"/>
      <c r="B4" s="80"/>
      <c r="C4" s="80"/>
      <c r="D4" s="119"/>
      <c r="E4" s="80"/>
      <c r="F4" s="80"/>
      <c r="G4" s="120"/>
      <c r="M4"/>
    </row>
    <row r="5" spans="1:13">
      <c r="A5" s="84" t="s">
        <v>108</v>
      </c>
      <c r="B5" s="29" t="s">
        <v>109</v>
      </c>
      <c r="C5" s="30" t="s">
        <v>110</v>
      </c>
      <c r="D5" s="121"/>
      <c r="E5" s="122"/>
      <c r="F5" s="122"/>
      <c r="G5" s="123"/>
      <c r="H5" s="124"/>
      <c r="M5"/>
    </row>
    <row r="6" spans="1:13" ht="392">
      <c r="A6" s="86"/>
      <c r="B6" s="23"/>
      <c r="C6" s="410" t="s">
        <v>519</v>
      </c>
      <c r="D6" s="125"/>
      <c r="E6" s="23"/>
      <c r="F6" s="23"/>
      <c r="G6" s="126"/>
      <c r="M6"/>
    </row>
    <row r="7" spans="1:13" s="42" customFormat="1">
      <c r="A7" s="88"/>
      <c r="B7" s="38"/>
      <c r="C7" s="39"/>
      <c r="D7" s="125"/>
      <c r="E7" s="125"/>
      <c r="F7" s="23"/>
      <c r="G7" s="126"/>
      <c r="H7"/>
    </row>
    <row r="8" spans="1:13">
      <c r="A8" s="89">
        <v>1</v>
      </c>
      <c r="B8" s="90" t="s">
        <v>111</v>
      </c>
      <c r="C8" s="91" t="s">
        <v>112</v>
      </c>
      <c r="D8" s="127"/>
      <c r="E8" s="127"/>
      <c r="F8" s="128"/>
      <c r="G8" s="129"/>
      <c r="H8" s="130"/>
      <c r="M8"/>
    </row>
    <row r="9" spans="1:13" s="42" customFormat="1" ht="72.5" customHeight="1">
      <c r="A9" s="95"/>
      <c r="B9" s="96"/>
      <c r="C9" s="97" t="s">
        <v>113</v>
      </c>
      <c r="D9" s="131"/>
      <c r="E9" s="131"/>
      <c r="F9" s="132"/>
      <c r="G9" s="126"/>
      <c r="H9"/>
    </row>
    <row r="10" spans="1:13" s="42" customFormat="1">
      <c r="A10" s="95"/>
      <c r="B10" s="96"/>
      <c r="C10" s="97" t="s">
        <v>114</v>
      </c>
      <c r="D10" s="131" t="s">
        <v>40</v>
      </c>
      <c r="E10" s="133" t="s">
        <v>51</v>
      </c>
      <c r="F10" s="132"/>
      <c r="G10" s="134"/>
      <c r="H10" s="115"/>
    </row>
    <row r="11" spans="1:13" s="42" customFormat="1" ht="37.5">
      <c r="A11" s="95"/>
      <c r="B11" s="96"/>
      <c r="C11" s="97" t="s">
        <v>115</v>
      </c>
      <c r="D11" s="131"/>
      <c r="E11" s="133"/>
      <c r="F11" s="132"/>
      <c r="G11" s="134"/>
      <c r="H11" s="115"/>
    </row>
    <row r="12" spans="1:13" s="42" customFormat="1">
      <c r="A12" s="95"/>
      <c r="B12" s="96"/>
      <c r="C12" s="97"/>
      <c r="D12" s="131"/>
      <c r="E12" s="133"/>
      <c r="F12" s="132"/>
      <c r="G12" s="134"/>
      <c r="H12" s="115"/>
    </row>
    <row r="13" spans="1:13" s="42" customFormat="1">
      <c r="A13" s="95"/>
      <c r="B13" s="96"/>
      <c r="C13" s="97"/>
      <c r="D13" s="131"/>
      <c r="E13" s="133"/>
      <c r="F13" s="132"/>
      <c r="G13" s="126"/>
      <c r="H13"/>
    </row>
    <row r="14" spans="1:13" s="42" customFormat="1">
      <c r="A14" s="89">
        <v>2</v>
      </c>
      <c r="B14" s="90" t="s">
        <v>116</v>
      </c>
      <c r="C14" s="91" t="s">
        <v>117</v>
      </c>
      <c r="D14" s="127"/>
      <c r="E14" s="127"/>
      <c r="F14" s="128"/>
      <c r="G14" s="129"/>
      <c r="H14" s="130"/>
    </row>
    <row r="15" spans="1:13" s="42" customFormat="1">
      <c r="A15" s="95"/>
      <c r="B15" s="45"/>
      <c r="C15" s="97"/>
      <c r="D15" s="131"/>
      <c r="E15" s="131"/>
      <c r="F15" s="132"/>
      <c r="G15" s="135"/>
      <c r="H15"/>
    </row>
    <row r="16" spans="1:13" s="42" customFormat="1" ht="87.5">
      <c r="A16" s="95"/>
      <c r="B16" s="103"/>
      <c r="C16" s="97" t="s">
        <v>118</v>
      </c>
      <c r="D16" s="131" t="s">
        <v>40</v>
      </c>
      <c r="E16" s="133">
        <v>928.09500000000003</v>
      </c>
      <c r="F16" s="132">
        <v>1592</v>
      </c>
      <c r="G16" s="134">
        <f>F16*E16</f>
        <v>1477527.24</v>
      </c>
      <c r="H16" s="115"/>
    </row>
    <row r="17" spans="1:8" s="42" customFormat="1" ht="25">
      <c r="A17" s="95"/>
      <c r="B17" s="103"/>
      <c r="C17" s="97" t="s">
        <v>119</v>
      </c>
      <c r="D17" s="131"/>
      <c r="E17" s="133"/>
      <c r="F17" s="133"/>
      <c r="G17" s="134"/>
      <c r="H17" s="115"/>
    </row>
    <row r="18" spans="1:8" s="42" customFormat="1">
      <c r="A18" s="95"/>
      <c r="B18" s="103"/>
      <c r="C18" s="97" t="s">
        <v>120</v>
      </c>
      <c r="D18" s="131"/>
      <c r="E18" s="133"/>
      <c r="F18" s="133"/>
      <c r="G18" s="134"/>
      <c r="H18" s="115"/>
    </row>
    <row r="19" spans="1:8" s="42" customFormat="1">
      <c r="A19" s="95"/>
      <c r="B19" s="103"/>
      <c r="C19" s="97"/>
      <c r="D19" s="131"/>
      <c r="E19" s="133"/>
      <c r="F19" s="133"/>
      <c r="G19" s="134"/>
      <c r="H19" s="115"/>
    </row>
    <row r="20" spans="1:8" s="42" customFormat="1">
      <c r="A20" s="89">
        <v>3</v>
      </c>
      <c r="B20" s="90" t="s">
        <v>121</v>
      </c>
      <c r="C20" s="91" t="s">
        <v>122</v>
      </c>
      <c r="D20" s="127"/>
      <c r="E20" s="127"/>
      <c r="F20" s="127"/>
      <c r="G20" s="129"/>
      <c r="H20" s="130"/>
    </row>
    <row r="21" spans="1:8" s="42" customFormat="1">
      <c r="A21" s="95"/>
      <c r="B21" s="103"/>
      <c r="C21" s="97"/>
      <c r="D21" s="131"/>
      <c r="E21" s="131"/>
      <c r="F21" s="131"/>
      <c r="G21" s="135"/>
      <c r="H21"/>
    </row>
    <row r="22" spans="1:8" s="42" customFormat="1" ht="99" customHeight="1">
      <c r="A22" s="95"/>
      <c r="B22" s="103"/>
      <c r="C22" s="97" t="s">
        <v>123</v>
      </c>
      <c r="D22" s="131" t="s">
        <v>40</v>
      </c>
      <c r="E22" s="133">
        <v>124.2675</v>
      </c>
      <c r="F22" s="132">
        <v>1592</v>
      </c>
      <c r="G22" s="134">
        <f>F22*E22</f>
        <v>197833.86</v>
      </c>
      <c r="H22" s="115"/>
    </row>
    <row r="23" spans="1:8" s="42" customFormat="1" ht="24.5" customHeight="1">
      <c r="A23" s="95"/>
      <c r="B23" s="103"/>
      <c r="C23" s="97" t="s">
        <v>119</v>
      </c>
      <c r="D23" s="131"/>
      <c r="E23" s="133"/>
      <c r="F23" s="133"/>
      <c r="G23" s="137"/>
      <c r="H23" s="115"/>
    </row>
    <row r="24" spans="1:8" s="42" customFormat="1" ht="17.5" customHeight="1">
      <c r="A24" s="95"/>
      <c r="B24" s="103"/>
      <c r="C24" s="97" t="s">
        <v>124</v>
      </c>
      <c r="D24" s="131"/>
      <c r="E24" s="131"/>
      <c r="F24" s="131"/>
      <c r="G24" s="135"/>
      <c r="H24"/>
    </row>
    <row r="25" spans="1:8" s="42" customFormat="1" ht="17.5" customHeight="1">
      <c r="A25" s="95"/>
      <c r="B25" s="103"/>
      <c r="C25" s="97"/>
      <c r="D25" s="131"/>
      <c r="E25" s="131"/>
      <c r="F25" s="131"/>
      <c r="G25" s="135"/>
      <c r="H25"/>
    </row>
    <row r="26" spans="1:8" s="42" customFormat="1">
      <c r="A26" s="89">
        <v>4</v>
      </c>
      <c r="B26" s="90" t="s">
        <v>125</v>
      </c>
      <c r="C26" s="91" t="s">
        <v>126</v>
      </c>
      <c r="D26" s="127"/>
      <c r="E26" s="127"/>
      <c r="F26" s="127"/>
      <c r="G26" s="129"/>
      <c r="H26" s="130"/>
    </row>
    <row r="27" spans="1:8" s="42" customFormat="1">
      <c r="A27" s="95"/>
      <c r="B27" s="103"/>
      <c r="C27" s="97"/>
      <c r="D27" s="131"/>
      <c r="E27" s="133"/>
      <c r="F27" s="133"/>
      <c r="G27" s="134"/>
      <c r="H27" s="115"/>
    </row>
    <row r="28" spans="1:8" s="42" customFormat="1" ht="62.5">
      <c r="A28" s="95"/>
      <c r="B28" s="103"/>
      <c r="C28" s="97" t="s">
        <v>127</v>
      </c>
      <c r="D28" s="131" t="s">
        <v>40</v>
      </c>
      <c r="E28" s="133">
        <v>87.517499999999998</v>
      </c>
      <c r="F28" s="132">
        <v>1218</v>
      </c>
      <c r="G28" s="134">
        <f>F28*E28</f>
        <v>106596.315</v>
      </c>
      <c r="H28" s="115"/>
    </row>
    <row r="29" spans="1:8" s="42" customFormat="1">
      <c r="A29" s="95"/>
      <c r="B29" s="103"/>
      <c r="C29" s="97" t="s">
        <v>128</v>
      </c>
      <c r="D29" s="131"/>
      <c r="E29" s="133"/>
      <c r="F29" s="133"/>
      <c r="G29" s="134"/>
      <c r="H29" s="115"/>
    </row>
    <row r="30" spans="1:8" s="42" customFormat="1">
      <c r="A30" s="95"/>
      <c r="B30" s="103"/>
      <c r="C30" s="97" t="s">
        <v>129</v>
      </c>
      <c r="D30" s="131"/>
      <c r="E30" s="133"/>
      <c r="F30" s="133"/>
      <c r="G30" s="134"/>
      <c r="H30" s="115"/>
    </row>
    <row r="31" spans="1:8" s="42" customFormat="1">
      <c r="A31" s="95"/>
      <c r="B31" s="103"/>
      <c r="C31" s="97" t="s">
        <v>130</v>
      </c>
      <c r="D31" s="131"/>
      <c r="E31" s="133"/>
      <c r="F31" s="133"/>
      <c r="G31" s="134"/>
      <c r="H31" s="115"/>
    </row>
    <row r="32" spans="1:8" s="42" customFormat="1">
      <c r="A32" s="95"/>
      <c r="B32" s="103"/>
      <c r="C32" s="97"/>
      <c r="D32" s="131"/>
      <c r="E32" s="133"/>
      <c r="F32" s="133"/>
      <c r="G32" s="134"/>
      <c r="H32" s="115"/>
    </row>
    <row r="33" spans="1:8" s="42" customFormat="1">
      <c r="A33" s="89">
        <v>5</v>
      </c>
      <c r="B33" s="90" t="s">
        <v>131</v>
      </c>
      <c r="C33" s="91" t="s">
        <v>132</v>
      </c>
      <c r="D33" s="127"/>
      <c r="E33" s="127"/>
      <c r="F33" s="127"/>
      <c r="G33" s="129"/>
      <c r="H33" s="130"/>
    </row>
    <row r="34" spans="1:8" s="42" customFormat="1">
      <c r="A34" s="95"/>
      <c r="B34" s="103"/>
      <c r="C34" s="97"/>
      <c r="D34" s="131"/>
      <c r="E34" s="133"/>
      <c r="F34" s="133"/>
      <c r="G34" s="134"/>
      <c r="H34" s="115"/>
    </row>
    <row r="35" spans="1:8" s="42" customFormat="1" ht="62.5">
      <c r="A35" s="95"/>
      <c r="B35" s="103"/>
      <c r="C35" s="97" t="s">
        <v>133</v>
      </c>
      <c r="D35" s="131" t="s">
        <v>40</v>
      </c>
      <c r="E35" s="133" t="s">
        <v>51</v>
      </c>
      <c r="F35" s="132">
        <v>0</v>
      </c>
      <c r="G35" s="134"/>
      <c r="H35" s="115"/>
    </row>
    <row r="36" spans="1:8" s="42" customFormat="1">
      <c r="A36" s="95"/>
      <c r="B36" s="103"/>
      <c r="C36" s="97" t="s">
        <v>128</v>
      </c>
      <c r="D36" s="131"/>
      <c r="E36" s="133"/>
      <c r="F36" s="133"/>
      <c r="G36" s="134"/>
      <c r="H36" s="115"/>
    </row>
    <row r="37" spans="1:8" s="42" customFormat="1">
      <c r="A37" s="95"/>
      <c r="B37" s="103"/>
      <c r="C37" s="97" t="s">
        <v>129</v>
      </c>
      <c r="D37" s="131"/>
      <c r="E37" s="133"/>
      <c r="F37" s="133"/>
      <c r="G37" s="134"/>
      <c r="H37" s="115"/>
    </row>
    <row r="38" spans="1:8" s="42" customFormat="1">
      <c r="A38" s="95"/>
      <c r="B38" s="103"/>
      <c r="C38" s="97" t="s">
        <v>134</v>
      </c>
      <c r="D38" s="131"/>
      <c r="E38" s="133"/>
      <c r="F38" s="133"/>
      <c r="G38" s="134"/>
      <c r="H38" s="115"/>
    </row>
    <row r="39" spans="1:8" s="42" customFormat="1">
      <c r="A39" s="95"/>
      <c r="B39" s="103"/>
      <c r="C39" s="97"/>
      <c r="D39" s="131"/>
      <c r="E39" s="133"/>
      <c r="F39" s="133"/>
      <c r="G39" s="134"/>
      <c r="H39" s="115"/>
    </row>
    <row r="40" spans="1:8" s="42" customFormat="1">
      <c r="A40" s="89">
        <v>6</v>
      </c>
      <c r="B40" s="90" t="s">
        <v>131</v>
      </c>
      <c r="C40" s="91" t="s">
        <v>135</v>
      </c>
      <c r="D40" s="127"/>
      <c r="E40" s="127"/>
      <c r="F40" s="127"/>
      <c r="G40" s="129"/>
      <c r="H40" s="130"/>
    </row>
    <row r="41" spans="1:8" s="42" customFormat="1">
      <c r="A41" s="95"/>
      <c r="B41" s="103"/>
      <c r="C41" s="97"/>
      <c r="D41" s="131"/>
      <c r="E41" s="133"/>
      <c r="F41" s="133"/>
      <c r="G41" s="126"/>
      <c r="H41"/>
    </row>
    <row r="42" spans="1:8" s="42" customFormat="1" ht="62.5">
      <c r="A42" s="139"/>
      <c r="B42" s="140"/>
      <c r="C42" s="97" t="s">
        <v>136</v>
      </c>
      <c r="D42" s="131" t="s">
        <v>40</v>
      </c>
      <c r="E42" s="133">
        <v>174.10050000000001</v>
      </c>
      <c r="F42" s="132">
        <v>1740</v>
      </c>
      <c r="G42" s="134">
        <f>F42*E42</f>
        <v>302934.87</v>
      </c>
      <c r="H42" s="115"/>
    </row>
    <row r="43" spans="1:8" s="42" customFormat="1">
      <c r="A43" s="139"/>
      <c r="B43" s="140"/>
      <c r="C43" s="97"/>
      <c r="D43" s="131"/>
      <c r="E43" s="133"/>
      <c r="F43" s="133"/>
      <c r="G43" s="137"/>
      <c r="H43" s="115"/>
    </row>
    <row r="44" spans="1:8" s="42" customFormat="1">
      <c r="A44" s="89">
        <v>7</v>
      </c>
      <c r="B44" s="90" t="s">
        <v>137</v>
      </c>
      <c r="C44" s="91" t="s">
        <v>138</v>
      </c>
      <c r="D44" s="127"/>
      <c r="E44" s="127"/>
      <c r="F44" s="127"/>
      <c r="G44" s="129"/>
      <c r="H44" s="130"/>
    </row>
    <row r="45" spans="1:8" s="42" customFormat="1">
      <c r="A45" s="139"/>
      <c r="B45" s="140"/>
      <c r="C45" s="97"/>
      <c r="D45" s="131"/>
      <c r="E45" s="133"/>
      <c r="F45" s="133"/>
      <c r="G45" s="137"/>
      <c r="H45" s="115"/>
    </row>
    <row r="46" spans="1:8" s="42" customFormat="1" ht="84">
      <c r="A46" s="139"/>
      <c r="B46" s="140"/>
      <c r="C46" s="141" t="s">
        <v>139</v>
      </c>
      <c r="D46" s="131" t="s">
        <v>40</v>
      </c>
      <c r="E46" s="380">
        <v>100</v>
      </c>
      <c r="F46" s="132">
        <v>2436</v>
      </c>
      <c r="G46" s="134">
        <f>F46*E46</f>
        <v>243600</v>
      </c>
      <c r="H46" s="115"/>
    </row>
    <row r="47" spans="1:8" s="42" customFormat="1">
      <c r="A47" s="139"/>
      <c r="B47" s="140"/>
      <c r="C47" s="97"/>
      <c r="D47" s="131"/>
      <c r="E47" s="133"/>
      <c r="F47" s="133"/>
      <c r="G47" s="134"/>
      <c r="H47" s="115"/>
    </row>
    <row r="48" spans="1:8" s="42" customFormat="1">
      <c r="A48" s="89">
        <v>8</v>
      </c>
      <c r="B48" s="90" t="s">
        <v>140</v>
      </c>
      <c r="C48" s="91" t="s">
        <v>141</v>
      </c>
      <c r="D48" s="127"/>
      <c r="E48" s="127"/>
      <c r="F48" s="127"/>
      <c r="G48" s="129"/>
      <c r="H48" s="130"/>
    </row>
    <row r="49" spans="1:8" s="42" customFormat="1">
      <c r="A49" s="139"/>
      <c r="B49" s="140"/>
      <c r="C49" s="97"/>
      <c r="D49" s="131"/>
      <c r="E49" s="133"/>
      <c r="F49" s="133"/>
      <c r="G49" s="137"/>
      <c r="H49" s="115"/>
    </row>
    <row r="50" spans="1:8" s="42" customFormat="1" ht="92" customHeight="1">
      <c r="A50" s="139"/>
      <c r="B50" s="140"/>
      <c r="C50" s="142" t="s">
        <v>142</v>
      </c>
      <c r="D50" s="131" t="s">
        <v>40</v>
      </c>
      <c r="E50" s="133">
        <v>57.0381</v>
      </c>
      <c r="F50" s="132">
        <v>3045</v>
      </c>
      <c r="G50" s="134">
        <f>F50*E50</f>
        <v>173681.01449999999</v>
      </c>
      <c r="H50" s="115"/>
    </row>
    <row r="51" spans="1:8" s="42" customFormat="1" ht="19.25" customHeight="1">
      <c r="A51" s="139"/>
      <c r="B51" s="140"/>
      <c r="C51" s="143"/>
      <c r="D51" s="131"/>
      <c r="E51" s="133"/>
      <c r="F51" s="133"/>
      <c r="G51" s="137"/>
      <c r="H51" s="115"/>
    </row>
    <row r="52" spans="1:8" s="42" customFormat="1" ht="19.25" customHeight="1">
      <c r="A52" s="89">
        <v>8</v>
      </c>
      <c r="B52" s="90" t="s">
        <v>143</v>
      </c>
      <c r="C52" s="91" t="s">
        <v>144</v>
      </c>
      <c r="D52" s="127"/>
      <c r="E52" s="127"/>
      <c r="F52" s="127"/>
      <c r="G52" s="129"/>
      <c r="H52" s="130"/>
    </row>
    <row r="53" spans="1:8" s="42" customFormat="1" ht="19.25" customHeight="1">
      <c r="A53" s="139"/>
      <c r="B53" s="140"/>
      <c r="C53" s="143"/>
      <c r="D53" s="131"/>
      <c r="E53" s="133"/>
      <c r="F53" s="133"/>
      <c r="G53" s="137"/>
      <c r="H53" s="115"/>
    </row>
    <row r="54" spans="1:8" s="42" customFormat="1" ht="74.5" customHeight="1">
      <c r="A54" s="139"/>
      <c r="B54" s="140"/>
      <c r="C54" s="97" t="s">
        <v>145</v>
      </c>
      <c r="D54" s="131" t="s">
        <v>40</v>
      </c>
      <c r="E54" s="133">
        <v>202.89150000000004</v>
      </c>
      <c r="F54" s="132">
        <v>629</v>
      </c>
      <c r="G54" s="134">
        <f>F54*E54</f>
        <v>127618.75350000002</v>
      </c>
      <c r="H54" s="115"/>
    </row>
    <row r="55" spans="1:8" s="42" customFormat="1" ht="19.25" customHeight="1">
      <c r="A55" s="139"/>
      <c r="B55" s="140"/>
      <c r="C55" s="143"/>
      <c r="D55" s="131"/>
      <c r="E55" s="133"/>
      <c r="F55" s="133"/>
      <c r="G55" s="137"/>
      <c r="H55" s="115"/>
    </row>
    <row r="56" spans="1:8" s="42" customFormat="1" ht="19.25" customHeight="1">
      <c r="A56" s="89">
        <v>9</v>
      </c>
      <c r="B56" s="90" t="s">
        <v>146</v>
      </c>
      <c r="C56" s="91" t="s">
        <v>147</v>
      </c>
      <c r="D56" s="127"/>
      <c r="E56" s="127"/>
      <c r="F56" s="127"/>
      <c r="G56" s="129"/>
      <c r="H56" s="130"/>
    </row>
    <row r="57" spans="1:8" s="42" customFormat="1" ht="19.25" customHeight="1">
      <c r="A57" s="139"/>
      <c r="B57" s="140"/>
      <c r="C57" s="143"/>
      <c r="D57" s="131"/>
      <c r="E57" s="133"/>
      <c r="F57" s="133"/>
      <c r="G57" s="137"/>
      <c r="H57" s="115"/>
    </row>
    <row r="58" spans="1:8" s="42" customFormat="1" ht="79.25" customHeight="1">
      <c r="A58" s="139"/>
      <c r="B58" s="140"/>
      <c r="C58" s="97" t="s">
        <v>148</v>
      </c>
      <c r="D58" s="131" t="s">
        <v>66</v>
      </c>
      <c r="E58" s="133">
        <v>123.49050000000003</v>
      </c>
      <c r="F58" s="132">
        <v>575</v>
      </c>
      <c r="G58" s="134">
        <f>F58*E58</f>
        <v>71007.03750000002</v>
      </c>
      <c r="H58" s="115"/>
    </row>
    <row r="59" spans="1:8" s="42" customFormat="1" ht="19.25" customHeight="1">
      <c r="A59" s="139"/>
      <c r="B59" s="140"/>
      <c r="C59" s="143"/>
      <c r="D59" s="131"/>
      <c r="E59" s="133"/>
      <c r="F59" s="133"/>
      <c r="G59" s="133"/>
      <c r="H59" s="115"/>
    </row>
    <row r="60" spans="1:8" s="42" customFormat="1" ht="19.25" customHeight="1">
      <c r="A60" s="89">
        <v>10</v>
      </c>
      <c r="B60" s="90" t="s">
        <v>146</v>
      </c>
      <c r="C60" s="91" t="s">
        <v>149</v>
      </c>
      <c r="D60" s="127"/>
      <c r="E60" s="127"/>
      <c r="F60" s="127"/>
      <c r="G60" s="127"/>
      <c r="H60" s="130"/>
    </row>
    <row r="61" spans="1:8" s="42" customFormat="1" ht="19.25" customHeight="1">
      <c r="A61" s="139"/>
      <c r="B61" s="140"/>
      <c r="C61" s="143"/>
      <c r="D61" s="131"/>
      <c r="E61" s="133"/>
      <c r="F61" s="133"/>
      <c r="G61" s="133"/>
      <c r="H61" s="115"/>
    </row>
    <row r="62" spans="1:8" s="42" customFormat="1" ht="82.25" customHeight="1">
      <c r="A62" s="139"/>
      <c r="B62" s="140"/>
      <c r="C62" s="97" t="s">
        <v>150</v>
      </c>
      <c r="D62" s="131" t="s">
        <v>66</v>
      </c>
      <c r="E62" s="133">
        <v>32.676000000000002</v>
      </c>
      <c r="F62" s="132">
        <v>292</v>
      </c>
      <c r="G62" s="134">
        <f>F62*E62</f>
        <v>9541.3919999999998</v>
      </c>
      <c r="H62" s="115"/>
    </row>
    <row r="63" spans="1:8" s="42" customFormat="1" ht="21.5" customHeight="1">
      <c r="A63" s="139"/>
      <c r="B63" s="140"/>
      <c r="C63" s="97"/>
      <c r="D63" s="131"/>
      <c r="E63" s="133"/>
      <c r="F63" s="133"/>
      <c r="G63" s="133"/>
      <c r="H63" s="115"/>
    </row>
    <row r="64" spans="1:8" s="42" customFormat="1" ht="19.25" customHeight="1">
      <c r="A64" s="89">
        <v>11</v>
      </c>
      <c r="B64" s="90" t="s">
        <v>151</v>
      </c>
      <c r="C64" s="91" t="s">
        <v>152</v>
      </c>
      <c r="D64" s="127"/>
      <c r="E64" s="127"/>
      <c r="F64" s="127"/>
      <c r="G64" s="127"/>
      <c r="H64" s="130"/>
    </row>
    <row r="65" spans="1:8" s="42" customFormat="1" ht="19.25" customHeight="1">
      <c r="A65" s="139"/>
      <c r="B65" s="140"/>
      <c r="C65" s="143"/>
      <c r="D65" s="131"/>
      <c r="E65" s="133"/>
      <c r="F65" s="133"/>
      <c r="G65" s="133"/>
      <c r="H65" s="115"/>
    </row>
    <row r="66" spans="1:8" s="42" customFormat="1" ht="82.25" customHeight="1">
      <c r="A66" s="139"/>
      <c r="B66" s="140"/>
      <c r="C66" s="97" t="s">
        <v>153</v>
      </c>
      <c r="D66" s="131" t="s">
        <v>66</v>
      </c>
      <c r="E66" s="133" t="s">
        <v>51</v>
      </c>
      <c r="F66" s="132">
        <v>0</v>
      </c>
      <c r="G66" s="137"/>
      <c r="H66" s="115"/>
    </row>
    <row r="67" spans="1:8" s="42" customFormat="1" ht="21.5" customHeight="1">
      <c r="A67" s="139"/>
      <c r="B67" s="140"/>
      <c r="C67" s="97"/>
      <c r="D67" s="131"/>
      <c r="E67" s="133"/>
      <c r="F67" s="133"/>
      <c r="G67" s="137"/>
      <c r="H67" s="115"/>
    </row>
    <row r="68" spans="1:8" s="42" customFormat="1" ht="23.5" customHeight="1">
      <c r="A68" s="89">
        <v>12</v>
      </c>
      <c r="B68" s="90" t="s">
        <v>154</v>
      </c>
      <c r="C68" s="91" t="s">
        <v>155</v>
      </c>
      <c r="D68" s="127"/>
      <c r="E68" s="127"/>
      <c r="F68" s="127"/>
      <c r="G68" s="129"/>
      <c r="H68" s="130"/>
    </row>
    <row r="69" spans="1:8" s="42" customFormat="1" ht="62.5" customHeight="1">
      <c r="A69" s="139"/>
      <c r="B69" s="140"/>
      <c r="C69" s="97" t="s">
        <v>156</v>
      </c>
      <c r="D69" s="131" t="s">
        <v>66</v>
      </c>
      <c r="E69" s="133">
        <v>81.866925000000009</v>
      </c>
      <c r="F69" s="132">
        <v>800</v>
      </c>
      <c r="G69" s="134">
        <f>F69*E69</f>
        <v>65493.540000000008</v>
      </c>
      <c r="H69" s="115"/>
    </row>
    <row r="70" spans="1:8" s="42" customFormat="1" ht="19.25" customHeight="1">
      <c r="A70" s="139"/>
      <c r="B70" s="140"/>
      <c r="C70" s="143"/>
      <c r="D70" s="131"/>
      <c r="E70" s="133"/>
      <c r="F70" s="133"/>
      <c r="G70" s="137"/>
      <c r="H70" s="115"/>
    </row>
    <row r="71" spans="1:8" s="42" customFormat="1" ht="19.25" customHeight="1">
      <c r="A71" s="89">
        <v>13</v>
      </c>
      <c r="B71" s="90" t="s">
        <v>157</v>
      </c>
      <c r="C71" s="91" t="s">
        <v>158</v>
      </c>
      <c r="D71" s="127"/>
      <c r="E71" s="127"/>
      <c r="F71" s="127"/>
      <c r="G71" s="129"/>
      <c r="H71" s="130"/>
    </row>
    <row r="72" spans="1:8" s="42" customFormat="1" ht="19.25" customHeight="1">
      <c r="A72" s="139"/>
      <c r="B72" s="140"/>
      <c r="C72" s="143"/>
      <c r="D72" s="131"/>
      <c r="E72" s="133"/>
      <c r="F72" s="133"/>
      <c r="G72" s="137"/>
      <c r="H72" s="115"/>
    </row>
    <row r="73" spans="1:8" s="42" customFormat="1" ht="78.5" customHeight="1">
      <c r="A73" s="139"/>
      <c r="B73" s="140"/>
      <c r="C73" s="97" t="s">
        <v>159</v>
      </c>
      <c r="D73" s="131" t="s">
        <v>40</v>
      </c>
      <c r="E73" s="133">
        <f>250+883</f>
        <v>1133</v>
      </c>
      <c r="F73" s="132">
        <v>1218</v>
      </c>
      <c r="G73" s="134">
        <f>F73*E73</f>
        <v>1379994</v>
      </c>
      <c r="H73" s="144"/>
    </row>
    <row r="74" spans="1:8" s="42" customFormat="1" ht="19.25" customHeight="1">
      <c r="A74" s="139"/>
      <c r="B74" s="140"/>
      <c r="C74" s="143"/>
      <c r="D74" s="131"/>
      <c r="E74" s="133"/>
      <c r="F74" s="133"/>
      <c r="G74" s="137"/>
      <c r="H74" s="115"/>
    </row>
    <row r="75" spans="1:8" s="42" customFormat="1" ht="19.25" customHeight="1">
      <c r="A75" s="89">
        <v>14</v>
      </c>
      <c r="B75" s="90" t="s">
        <v>160</v>
      </c>
      <c r="C75" s="91" t="s">
        <v>161</v>
      </c>
      <c r="D75" s="127"/>
      <c r="E75" s="127"/>
      <c r="F75" s="127"/>
      <c r="G75" s="129"/>
      <c r="H75" s="130"/>
    </row>
    <row r="76" spans="1:8" s="42" customFormat="1" ht="19.25" customHeight="1">
      <c r="A76" s="139"/>
      <c r="B76" s="140"/>
      <c r="C76" s="143"/>
      <c r="D76" s="131"/>
      <c r="E76" s="133"/>
      <c r="F76" s="133"/>
      <c r="G76" s="137"/>
      <c r="H76" s="115"/>
    </row>
    <row r="77" spans="1:8" s="42" customFormat="1" ht="82.25" customHeight="1">
      <c r="A77" s="139"/>
      <c r="B77" s="140"/>
      <c r="C77" s="97" t="s">
        <v>162</v>
      </c>
      <c r="D77" s="131" t="s">
        <v>40</v>
      </c>
      <c r="E77" s="133">
        <f>548.75205*1.1</f>
        <v>603.6272550000001</v>
      </c>
      <c r="F77" s="132">
        <v>1592</v>
      </c>
      <c r="G77" s="134">
        <f>F77*E77</f>
        <v>960974.58996000013</v>
      </c>
      <c r="H77" s="115"/>
    </row>
    <row r="78" spans="1:8" s="42" customFormat="1">
      <c r="A78" s="139"/>
      <c r="B78" s="140"/>
      <c r="C78" s="145"/>
      <c r="D78" s="146"/>
      <c r="E78" s="147"/>
      <c r="F78" s="147"/>
      <c r="G78" s="147"/>
      <c r="H78" s="148"/>
    </row>
    <row r="79" spans="1:8" s="42" customFormat="1">
      <c r="A79" s="89">
        <v>15</v>
      </c>
      <c r="B79" s="90" t="s">
        <v>163</v>
      </c>
      <c r="C79" s="91" t="s">
        <v>164</v>
      </c>
      <c r="D79" s="127"/>
      <c r="E79" s="127"/>
      <c r="F79" s="127"/>
      <c r="G79" s="127"/>
      <c r="H79" s="130"/>
    </row>
    <row r="80" spans="1:8" s="42" customFormat="1">
      <c r="A80" s="149"/>
      <c r="B80" s="150"/>
      <c r="C80" s="151"/>
      <c r="D80" s="152"/>
      <c r="E80" s="152"/>
      <c r="F80" s="152"/>
      <c r="G80" s="152"/>
      <c r="H80" s="153"/>
    </row>
    <row r="81" spans="1:13" s="42" customFormat="1" ht="62.5">
      <c r="A81" s="149"/>
      <c r="B81" s="150"/>
      <c r="C81" s="97" t="s">
        <v>165</v>
      </c>
      <c r="D81" s="152" t="s">
        <v>66</v>
      </c>
      <c r="E81" s="154">
        <f>564.5745*1.1</f>
        <v>621.03194999999994</v>
      </c>
      <c r="F81" s="132">
        <v>783</v>
      </c>
      <c r="G81" s="134">
        <f>F81*E81</f>
        <v>486268.01684999996</v>
      </c>
      <c r="H81" s="115"/>
    </row>
    <row r="82" spans="1:13" s="42" customFormat="1">
      <c r="A82" s="149"/>
      <c r="B82" s="150"/>
      <c r="C82" s="97"/>
      <c r="D82" s="152"/>
      <c r="E82" s="154"/>
      <c r="F82" s="154"/>
      <c r="G82" s="137"/>
      <c r="H82" s="115"/>
    </row>
    <row r="83" spans="1:13" s="42" customFormat="1">
      <c r="A83" s="89">
        <v>16</v>
      </c>
      <c r="B83" s="90" t="s">
        <v>166</v>
      </c>
      <c r="C83" s="91" t="s">
        <v>167</v>
      </c>
      <c r="D83" s="127"/>
      <c r="E83" s="127"/>
      <c r="F83" s="127"/>
      <c r="G83" s="129"/>
      <c r="H83" s="130"/>
    </row>
    <row r="84" spans="1:13" s="42" customFormat="1">
      <c r="A84" s="149"/>
      <c r="B84" s="150"/>
      <c r="C84" s="97"/>
      <c r="D84" s="152"/>
      <c r="E84" s="154"/>
      <c r="F84" s="154"/>
      <c r="G84" s="137"/>
      <c r="H84" s="115"/>
    </row>
    <row r="85" spans="1:13" s="42" customFormat="1" ht="25">
      <c r="A85" s="149"/>
      <c r="B85" s="150"/>
      <c r="C85" s="97" t="s">
        <v>168</v>
      </c>
      <c r="D85" s="152" t="s">
        <v>40</v>
      </c>
      <c r="E85" s="379" t="s">
        <v>51</v>
      </c>
      <c r="F85" s="132">
        <v>6626</v>
      </c>
      <c r="G85" s="134"/>
      <c r="H85" s="115"/>
    </row>
    <row r="86" spans="1:13" s="42" customFormat="1">
      <c r="A86" s="95"/>
      <c r="B86" s="103"/>
      <c r="C86" s="97"/>
      <c r="D86" s="131"/>
      <c r="E86" s="131"/>
      <c r="F86" s="131"/>
      <c r="G86" s="135"/>
      <c r="H86"/>
    </row>
    <row r="87" spans="1:13" s="42" customFormat="1">
      <c r="A87" s="89">
        <v>17</v>
      </c>
      <c r="B87" s="90" t="s">
        <v>169</v>
      </c>
      <c r="C87" s="91" t="s">
        <v>170</v>
      </c>
      <c r="D87" s="127"/>
      <c r="E87" s="127"/>
      <c r="F87" s="127"/>
      <c r="G87" s="129"/>
      <c r="H87" s="130"/>
    </row>
    <row r="88" spans="1:13" s="42" customFormat="1">
      <c r="A88" s="95"/>
      <c r="B88" s="103"/>
      <c r="C88" s="97"/>
      <c r="D88" s="131"/>
      <c r="E88" s="131"/>
      <c r="F88" s="131"/>
      <c r="G88" s="135"/>
      <c r="H88"/>
    </row>
    <row r="89" spans="1:13" s="42" customFormat="1" ht="25">
      <c r="A89" s="95"/>
      <c r="B89" s="103"/>
      <c r="C89" s="97" t="s">
        <v>171</v>
      </c>
      <c r="D89" s="131" t="s">
        <v>66</v>
      </c>
      <c r="E89" s="131">
        <f>80.4*1.1</f>
        <v>88.440000000000012</v>
      </c>
      <c r="F89" s="132">
        <v>960</v>
      </c>
      <c r="G89" s="134">
        <f>F89*E89</f>
        <v>84902.400000000009</v>
      </c>
      <c r="H89" s="115"/>
    </row>
    <row r="90" spans="1:13" s="42" customFormat="1">
      <c r="A90" s="95"/>
      <c r="B90" s="103"/>
      <c r="C90" s="97"/>
      <c r="D90" s="131"/>
      <c r="E90" s="131"/>
      <c r="F90" s="132"/>
      <c r="G90" s="135"/>
      <c r="H90"/>
    </row>
    <row r="91" spans="1:13" ht="14.5" thickBot="1">
      <c r="A91" s="109"/>
      <c r="B91" s="110"/>
      <c r="C91" s="111" t="s">
        <v>172</v>
      </c>
      <c r="D91" s="110"/>
      <c r="E91" s="155"/>
      <c r="F91" s="110"/>
      <c r="G91" s="156">
        <f>SUM(G16:G90)</f>
        <v>5687973.0293100011</v>
      </c>
      <c r="H91" s="157"/>
      <c r="M91"/>
    </row>
    <row r="93" spans="1:13" s="158" customFormat="1">
      <c r="A93"/>
      <c r="B93"/>
      <c r="C93" s="72"/>
      <c r="E93"/>
      <c r="F93"/>
      <c r="G93"/>
      <c r="H93"/>
      <c r="I93"/>
      <c r="J93"/>
      <c r="M93" s="15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81"/>
  <sheetViews>
    <sheetView zoomScale="90" zoomScaleNormal="90" workbookViewId="0">
      <selection activeCell="C24" sqref="C24"/>
    </sheetView>
  </sheetViews>
  <sheetFormatPr defaultColWidth="8.83203125" defaultRowHeight="14"/>
  <cols>
    <col min="1" max="1" width="6.1640625" customWidth="1"/>
    <col min="2" max="2" width="10.1640625" customWidth="1"/>
    <col min="3" max="3" width="98.83203125" customWidth="1"/>
    <col min="4" max="4" width="6.5" style="158" customWidth="1"/>
    <col min="5" max="5" width="8.5" customWidth="1"/>
    <col min="6" max="6" width="9" bestFit="1" customWidth="1"/>
    <col min="7" max="7" width="9.6640625" bestFit="1" customWidth="1"/>
    <col min="8" max="8" width="5.1640625" customWidth="1"/>
    <col min="9" max="9" width="9.83203125" hidden="1" customWidth="1"/>
    <col min="11" max="11" width="11.1640625" bestFit="1" customWidth="1"/>
    <col min="12" max="12" width="8.83203125" bestFit="1" customWidth="1"/>
    <col min="13" max="13" width="29.83203125" bestFit="1" customWidth="1"/>
    <col min="14" max="14" width="6.1640625" style="360" bestFit="1" customWidth="1"/>
    <col min="15" max="15" width="9.6640625" bestFit="1" customWidth="1"/>
  </cols>
  <sheetData>
    <row r="2" spans="1:14" s="15" customFormat="1" ht="48" customHeight="1" thickBot="1">
      <c r="A2" s="73"/>
      <c r="B2" s="74"/>
      <c r="C2" s="75" t="s">
        <v>0</v>
      </c>
      <c r="D2" s="76"/>
      <c r="E2" s="73"/>
      <c r="F2" s="73"/>
      <c r="G2" s="73"/>
      <c r="H2" s="73"/>
      <c r="I2" s="73"/>
    </row>
    <row r="3" spans="1:14" s="22" customFormat="1" ht="23.25" customHeight="1" thickBot="1">
      <c r="A3" s="77" t="s">
        <v>1</v>
      </c>
      <c r="B3" s="77" t="s">
        <v>2</v>
      </c>
      <c r="C3" s="77" t="s">
        <v>3</v>
      </c>
      <c r="D3" s="77" t="s">
        <v>4</v>
      </c>
      <c r="E3" s="77" t="s">
        <v>5</v>
      </c>
      <c r="F3" s="77" t="s">
        <v>6</v>
      </c>
      <c r="G3" s="77" t="s">
        <v>7</v>
      </c>
    </row>
    <row r="4" spans="1:14">
      <c r="A4" s="79"/>
      <c r="B4" s="80"/>
      <c r="C4" s="80"/>
      <c r="D4" s="119"/>
      <c r="E4" s="80"/>
      <c r="F4" s="80"/>
      <c r="G4" s="120"/>
      <c r="N4"/>
    </row>
    <row r="5" spans="1:14">
      <c r="A5" s="84" t="s">
        <v>173</v>
      </c>
      <c r="B5" s="29" t="s">
        <v>174</v>
      </c>
      <c r="C5" s="30" t="s">
        <v>175</v>
      </c>
      <c r="D5" s="121"/>
      <c r="E5" s="122"/>
      <c r="F5" s="122"/>
      <c r="G5" s="123"/>
      <c r="N5"/>
    </row>
    <row r="6" spans="1:14" ht="28.25" customHeight="1">
      <c r="A6" s="86"/>
      <c r="B6" s="23"/>
      <c r="C6" s="36" t="s">
        <v>176</v>
      </c>
      <c r="D6" s="125"/>
      <c r="E6" s="23"/>
      <c r="F6" s="23"/>
      <c r="G6" s="126"/>
      <c r="N6"/>
    </row>
    <row r="7" spans="1:14" s="42" customFormat="1">
      <c r="A7" s="88"/>
      <c r="B7" s="38"/>
      <c r="C7" s="39"/>
      <c r="D7" s="125"/>
      <c r="E7" s="125"/>
      <c r="F7" s="23"/>
      <c r="G7" s="126"/>
    </row>
    <row r="8" spans="1:14">
      <c r="A8" s="89">
        <v>1</v>
      </c>
      <c r="B8" s="90" t="s">
        <v>177</v>
      </c>
      <c r="C8" s="91" t="s">
        <v>178</v>
      </c>
      <c r="D8" s="127"/>
      <c r="E8" s="127"/>
      <c r="F8" s="128"/>
      <c r="G8" s="129"/>
      <c r="N8"/>
    </row>
    <row r="9" spans="1:14" s="42" customFormat="1" ht="57.5" customHeight="1">
      <c r="A9" s="95"/>
      <c r="B9" s="96"/>
      <c r="C9" s="97" t="s">
        <v>179</v>
      </c>
      <c r="D9" s="131"/>
      <c r="E9" s="131"/>
      <c r="F9" s="132"/>
      <c r="G9" s="126"/>
    </row>
    <row r="10" spans="1:14" s="42" customFormat="1" ht="62.5">
      <c r="A10" s="95"/>
      <c r="B10" s="96"/>
      <c r="C10" s="97" t="s">
        <v>180</v>
      </c>
      <c r="D10" s="131" t="s">
        <v>40</v>
      </c>
      <c r="E10" s="133"/>
      <c r="F10" s="132" t="s">
        <v>51</v>
      </c>
      <c r="G10" s="134"/>
    </row>
    <row r="11" spans="1:14" s="42" customFormat="1" ht="25">
      <c r="A11" s="95"/>
      <c r="B11" s="96"/>
      <c r="C11" s="97" t="s">
        <v>181</v>
      </c>
      <c r="D11" s="131"/>
      <c r="E11" s="133"/>
      <c r="F11" s="132"/>
      <c r="G11" s="134"/>
    </row>
    <row r="12" spans="1:14" s="42" customFormat="1" ht="26">
      <c r="A12" s="95"/>
      <c r="B12" s="96"/>
      <c r="C12" s="161" t="s">
        <v>182</v>
      </c>
      <c r="D12" s="131"/>
      <c r="E12" s="133"/>
      <c r="F12" s="132"/>
      <c r="G12" s="134"/>
    </row>
    <row r="13" spans="1:14" s="42" customFormat="1">
      <c r="A13" s="95"/>
      <c r="B13" s="96"/>
      <c r="C13" s="108"/>
      <c r="D13" s="131"/>
      <c r="E13" s="133"/>
      <c r="F13" s="132"/>
      <c r="G13" s="134"/>
    </row>
    <row r="14" spans="1:14" s="42" customFormat="1">
      <c r="A14" s="89">
        <v>1</v>
      </c>
      <c r="B14" s="90" t="s">
        <v>183</v>
      </c>
      <c r="C14" s="91" t="s">
        <v>184</v>
      </c>
      <c r="D14" s="127"/>
      <c r="E14" s="127"/>
      <c r="F14" s="128"/>
      <c r="G14" s="129"/>
    </row>
    <row r="15" spans="1:14" s="42" customFormat="1">
      <c r="A15" s="95"/>
      <c r="B15" s="96"/>
      <c r="C15" s="108"/>
      <c r="D15" s="131"/>
      <c r="E15" s="133"/>
      <c r="F15" s="132"/>
      <c r="G15" s="134"/>
    </row>
    <row r="16" spans="1:14" s="42" customFormat="1">
      <c r="A16" s="95"/>
      <c r="B16" s="96"/>
      <c r="C16" s="97" t="s">
        <v>185</v>
      </c>
      <c r="D16" s="131"/>
      <c r="E16" s="133"/>
      <c r="F16" s="132"/>
      <c r="G16" s="134"/>
    </row>
    <row r="17" spans="1:9" s="42" customFormat="1">
      <c r="A17" s="95"/>
      <c r="B17" s="96"/>
      <c r="C17" s="97" t="s">
        <v>186</v>
      </c>
      <c r="D17" s="131"/>
      <c r="E17" s="133"/>
      <c r="F17" s="132"/>
      <c r="G17" s="134"/>
    </row>
    <row r="18" spans="1:9" s="42" customFormat="1">
      <c r="A18" s="95"/>
      <c r="B18" s="96"/>
      <c r="C18" s="97" t="s">
        <v>187</v>
      </c>
      <c r="D18" s="131"/>
      <c r="E18" s="133"/>
      <c r="F18" s="132"/>
      <c r="G18" s="134"/>
    </row>
    <row r="19" spans="1:9" s="42" customFormat="1">
      <c r="A19" s="95"/>
      <c r="B19" s="96"/>
      <c r="C19" s="97" t="s">
        <v>188</v>
      </c>
      <c r="D19" s="131"/>
      <c r="E19" s="133"/>
      <c r="F19" s="132"/>
      <c r="G19" s="134"/>
    </row>
    <row r="20" spans="1:9" s="42" customFormat="1">
      <c r="A20" s="95"/>
      <c r="B20" s="96"/>
      <c r="C20" s="97" t="s">
        <v>189</v>
      </c>
      <c r="D20" s="131"/>
      <c r="E20" s="133"/>
      <c r="F20" s="132"/>
      <c r="G20" s="134"/>
    </row>
    <row r="21" spans="1:9" s="42" customFormat="1">
      <c r="A21" s="95"/>
      <c r="B21" s="96"/>
      <c r="C21" s="97" t="s">
        <v>190</v>
      </c>
      <c r="D21" s="131"/>
      <c r="E21" s="133"/>
      <c r="F21" s="132"/>
      <c r="G21" s="134"/>
    </row>
    <row r="22" spans="1:9" s="42" customFormat="1">
      <c r="A22" s="95"/>
      <c r="B22" s="96"/>
      <c r="C22" s="97" t="s">
        <v>191</v>
      </c>
      <c r="D22" s="131"/>
      <c r="E22" s="133"/>
      <c r="F22" s="132"/>
      <c r="G22" s="134"/>
    </row>
    <row r="23" spans="1:9" s="42" customFormat="1">
      <c r="A23" s="95"/>
      <c r="B23" s="96"/>
      <c r="C23" s="108"/>
      <c r="D23" s="131"/>
      <c r="E23" s="133"/>
      <c r="F23" s="132"/>
      <c r="G23" s="134"/>
    </row>
    <row r="24" spans="1:9" s="42" customFormat="1">
      <c r="A24" s="95"/>
      <c r="B24" s="96"/>
      <c r="C24" s="108" t="s">
        <v>192</v>
      </c>
      <c r="D24" s="131" t="s">
        <v>100</v>
      </c>
      <c r="E24" s="162">
        <v>2</v>
      </c>
      <c r="F24" s="132">
        <v>73950</v>
      </c>
      <c r="G24" s="134">
        <f>F24*E24</f>
        <v>147900</v>
      </c>
      <c r="I24" s="163"/>
    </row>
    <row r="25" spans="1:9" s="42" customFormat="1">
      <c r="A25" s="95"/>
      <c r="B25" s="96"/>
      <c r="C25" s="108" t="s">
        <v>193</v>
      </c>
      <c r="D25" s="131" t="s">
        <v>100</v>
      </c>
      <c r="E25" s="379" t="s">
        <v>51</v>
      </c>
      <c r="F25" s="132">
        <v>80388</v>
      </c>
      <c r="G25" s="134"/>
      <c r="I25" s="163"/>
    </row>
    <row r="26" spans="1:9" s="42" customFormat="1">
      <c r="A26" s="95"/>
      <c r="B26" s="96"/>
      <c r="C26" s="108" t="s">
        <v>194</v>
      </c>
      <c r="D26" s="131" t="s">
        <v>100</v>
      </c>
      <c r="E26" s="379" t="s">
        <v>51</v>
      </c>
      <c r="F26" s="132">
        <v>79901</v>
      </c>
      <c r="G26" s="134"/>
      <c r="I26" s="163"/>
    </row>
    <row r="27" spans="1:9" s="42" customFormat="1">
      <c r="A27" s="95"/>
      <c r="B27" s="96"/>
      <c r="C27" s="108" t="s">
        <v>195</v>
      </c>
      <c r="D27" s="131" t="s">
        <v>100</v>
      </c>
      <c r="E27" s="379" t="s">
        <v>51</v>
      </c>
      <c r="F27" s="132">
        <v>79901</v>
      </c>
      <c r="G27" s="134"/>
      <c r="I27" s="163"/>
    </row>
    <row r="28" spans="1:9" s="42" customFormat="1">
      <c r="A28" s="95"/>
      <c r="B28" s="96"/>
      <c r="C28" s="108"/>
      <c r="D28" s="131"/>
      <c r="E28" s="162"/>
      <c r="F28" s="162"/>
      <c r="G28" s="134"/>
    </row>
    <row r="29" spans="1:9" s="42" customFormat="1">
      <c r="A29" s="89">
        <v>2</v>
      </c>
      <c r="B29" s="90" t="s">
        <v>196</v>
      </c>
      <c r="C29" s="91" t="s">
        <v>197</v>
      </c>
      <c r="D29" s="127"/>
      <c r="E29" s="127"/>
      <c r="F29" s="127"/>
      <c r="G29" s="129"/>
    </row>
    <row r="30" spans="1:9" s="42" customFormat="1">
      <c r="A30" s="95"/>
      <c r="B30" s="96"/>
      <c r="C30" s="108"/>
      <c r="D30" s="131"/>
      <c r="E30" s="162"/>
      <c r="F30" s="162"/>
      <c r="G30" s="134"/>
    </row>
    <row r="31" spans="1:9" s="42" customFormat="1" ht="28">
      <c r="A31" s="95"/>
      <c r="B31" s="96"/>
      <c r="C31" s="164" t="s">
        <v>198</v>
      </c>
      <c r="D31" s="131"/>
      <c r="E31" s="162"/>
      <c r="F31" s="162"/>
      <c r="G31" s="134"/>
    </row>
    <row r="32" spans="1:9" s="42" customFormat="1">
      <c r="A32" s="95"/>
      <c r="B32" s="96"/>
      <c r="C32" s="108"/>
      <c r="D32" s="131"/>
      <c r="E32" s="162"/>
      <c r="F32" s="162"/>
      <c r="G32" s="134"/>
    </row>
    <row r="33" spans="1:9" s="42" customFormat="1">
      <c r="A33" s="95"/>
      <c r="B33" s="96"/>
      <c r="C33" s="108" t="s">
        <v>199</v>
      </c>
      <c r="D33" s="131" t="s">
        <v>100</v>
      </c>
      <c r="E33" s="162">
        <v>1</v>
      </c>
      <c r="F33" s="132">
        <v>40890</v>
      </c>
      <c r="G33" s="134">
        <f>F33*E33</f>
        <v>40890</v>
      </c>
    </row>
    <row r="34" spans="1:9" s="42" customFormat="1">
      <c r="A34" s="95"/>
      <c r="B34" s="96"/>
      <c r="C34" s="108" t="s">
        <v>200</v>
      </c>
      <c r="D34" s="131" t="s">
        <v>100</v>
      </c>
      <c r="E34" s="379" t="s">
        <v>51</v>
      </c>
      <c r="F34" s="132">
        <v>43848</v>
      </c>
      <c r="G34" s="134"/>
    </row>
    <row r="35" spans="1:9" s="42" customFormat="1">
      <c r="A35" s="95"/>
      <c r="B35" s="96"/>
      <c r="C35" s="108" t="s">
        <v>201</v>
      </c>
      <c r="D35" s="131" t="s">
        <v>100</v>
      </c>
      <c r="E35" s="379" t="s">
        <v>51</v>
      </c>
      <c r="F35" s="132">
        <v>45310</v>
      </c>
      <c r="G35" s="134"/>
    </row>
    <row r="36" spans="1:9" s="42" customFormat="1">
      <c r="A36" s="95"/>
      <c r="B36" s="96"/>
      <c r="C36" s="108" t="s">
        <v>202</v>
      </c>
      <c r="D36" s="131" t="s">
        <v>100</v>
      </c>
      <c r="E36" s="379" t="s">
        <v>51</v>
      </c>
      <c r="F36" s="132">
        <v>45310</v>
      </c>
      <c r="G36" s="134"/>
    </row>
    <row r="37" spans="1:9" s="42" customFormat="1">
      <c r="A37" s="95"/>
      <c r="B37" s="96"/>
      <c r="C37" s="108"/>
      <c r="D37" s="131"/>
      <c r="E37" s="162"/>
      <c r="F37" s="162"/>
      <c r="G37" s="134"/>
    </row>
    <row r="38" spans="1:9" s="42" customFormat="1">
      <c r="A38" s="95"/>
      <c r="B38" s="96"/>
      <c r="C38" s="97"/>
      <c r="D38" s="131"/>
      <c r="E38" s="133"/>
      <c r="F38" s="133"/>
      <c r="G38" s="126"/>
    </row>
    <row r="39" spans="1:9" s="42" customFormat="1">
      <c r="A39" s="89">
        <v>3</v>
      </c>
      <c r="B39" s="90" t="s">
        <v>203</v>
      </c>
      <c r="C39" s="91" t="s">
        <v>204</v>
      </c>
      <c r="D39" s="127"/>
      <c r="E39" s="127"/>
      <c r="F39" s="127"/>
      <c r="G39" s="129"/>
    </row>
    <row r="40" spans="1:9" s="42" customFormat="1">
      <c r="A40" s="95"/>
      <c r="B40" s="45"/>
      <c r="C40" s="97"/>
      <c r="D40" s="131"/>
      <c r="E40" s="131"/>
      <c r="F40" s="131"/>
      <c r="G40" s="135"/>
    </row>
    <row r="41" spans="1:9" s="42" customFormat="1" ht="50">
      <c r="A41" s="95"/>
      <c r="B41" s="103"/>
      <c r="C41" s="97" t="s">
        <v>205</v>
      </c>
      <c r="D41" s="131"/>
      <c r="E41" s="133"/>
      <c r="F41" s="133"/>
      <c r="G41" s="134"/>
    </row>
    <row r="42" spans="1:9" s="42" customFormat="1">
      <c r="A42" s="95"/>
      <c r="B42" s="103"/>
      <c r="C42" s="97"/>
      <c r="D42" s="131"/>
      <c r="E42" s="133"/>
      <c r="F42" s="133"/>
      <c r="G42" s="134"/>
    </row>
    <row r="43" spans="1:9" s="42" customFormat="1">
      <c r="A43" s="95"/>
      <c r="B43" s="103"/>
      <c r="C43" s="97" t="s">
        <v>206</v>
      </c>
      <c r="D43" s="131" t="s">
        <v>100</v>
      </c>
      <c r="E43" s="133">
        <v>4</v>
      </c>
      <c r="F43" s="132">
        <v>23490</v>
      </c>
      <c r="G43" s="134">
        <f t="shared" ref="G43:G49" si="0">F43*E43</f>
        <v>93960</v>
      </c>
      <c r="I43" s="165"/>
    </row>
    <row r="44" spans="1:9" s="42" customFormat="1">
      <c r="A44" s="95"/>
      <c r="B44" s="103"/>
      <c r="C44" s="97" t="s">
        <v>207</v>
      </c>
      <c r="D44" s="131" t="s">
        <v>100</v>
      </c>
      <c r="E44" s="133">
        <v>3</v>
      </c>
      <c r="F44" s="132">
        <v>23490</v>
      </c>
      <c r="G44" s="134">
        <f t="shared" si="0"/>
        <v>70470</v>
      </c>
      <c r="I44" s="165"/>
    </row>
    <row r="45" spans="1:9" s="42" customFormat="1">
      <c r="A45" s="95"/>
      <c r="B45" s="103"/>
      <c r="C45" s="97" t="s">
        <v>208</v>
      </c>
      <c r="D45" s="131" t="s">
        <v>100</v>
      </c>
      <c r="E45" s="133">
        <v>4</v>
      </c>
      <c r="F45" s="132">
        <v>23490</v>
      </c>
      <c r="G45" s="134">
        <f t="shared" si="0"/>
        <v>93960</v>
      </c>
      <c r="I45" s="165"/>
    </row>
    <row r="46" spans="1:9" s="42" customFormat="1">
      <c r="A46" s="95"/>
      <c r="B46" s="103"/>
      <c r="C46" s="97" t="s">
        <v>209</v>
      </c>
      <c r="D46" s="131" t="s">
        <v>100</v>
      </c>
      <c r="E46" s="133">
        <v>1</v>
      </c>
      <c r="F46" s="132">
        <v>22620</v>
      </c>
      <c r="G46" s="134">
        <f t="shared" si="0"/>
        <v>22620</v>
      </c>
      <c r="I46" s="165"/>
    </row>
    <row r="47" spans="1:9" s="42" customFormat="1">
      <c r="A47" s="95"/>
      <c r="B47" s="103"/>
      <c r="C47" s="97" t="s">
        <v>210</v>
      </c>
      <c r="D47" s="131" t="s">
        <v>100</v>
      </c>
      <c r="E47" s="133">
        <v>1</v>
      </c>
      <c r="F47" s="132">
        <v>22620</v>
      </c>
      <c r="G47" s="134">
        <f t="shared" si="0"/>
        <v>22620</v>
      </c>
      <c r="I47" s="165"/>
    </row>
    <row r="48" spans="1:9" s="42" customFormat="1">
      <c r="A48" s="95"/>
      <c r="B48" s="103"/>
      <c r="C48" s="97" t="s">
        <v>211</v>
      </c>
      <c r="D48" s="131" t="s">
        <v>100</v>
      </c>
      <c r="E48" s="133">
        <v>2</v>
      </c>
      <c r="F48" s="132">
        <v>23490</v>
      </c>
      <c r="G48" s="134">
        <f t="shared" si="0"/>
        <v>46980</v>
      </c>
      <c r="I48" s="165"/>
    </row>
    <row r="49" spans="1:9" s="42" customFormat="1">
      <c r="A49" s="95"/>
      <c r="B49" s="103"/>
      <c r="C49" s="97" t="s">
        <v>212</v>
      </c>
      <c r="D49" s="131" t="s">
        <v>100</v>
      </c>
      <c r="E49" s="133">
        <v>1</v>
      </c>
      <c r="F49" s="132">
        <v>23490</v>
      </c>
      <c r="G49" s="134">
        <f t="shared" si="0"/>
        <v>23490</v>
      </c>
      <c r="I49" s="165"/>
    </row>
    <row r="50" spans="1:9" s="42" customFormat="1">
      <c r="A50" s="95"/>
      <c r="B50" s="103"/>
      <c r="C50" s="97"/>
      <c r="D50" s="131"/>
      <c r="E50" s="133"/>
      <c r="F50" s="133"/>
      <c r="G50" s="134"/>
    </row>
    <row r="51" spans="1:9" s="42" customFormat="1">
      <c r="A51" s="89">
        <v>4</v>
      </c>
      <c r="B51" s="90" t="s">
        <v>213</v>
      </c>
      <c r="C51" s="91" t="s">
        <v>214</v>
      </c>
      <c r="D51" s="127"/>
      <c r="E51" s="127"/>
      <c r="F51" s="127"/>
      <c r="G51" s="129"/>
    </row>
    <row r="52" spans="1:9" s="42" customFormat="1">
      <c r="A52" s="95"/>
      <c r="B52" s="103"/>
      <c r="C52" s="97"/>
      <c r="D52" s="131"/>
      <c r="E52" s="133"/>
      <c r="F52" s="133"/>
      <c r="G52" s="134"/>
    </row>
    <row r="53" spans="1:9" s="42" customFormat="1" ht="87.5">
      <c r="A53" s="95"/>
      <c r="B53" s="103"/>
      <c r="C53" s="97" t="s">
        <v>215</v>
      </c>
      <c r="D53" s="131"/>
      <c r="E53" s="133"/>
      <c r="F53" s="133"/>
      <c r="G53" s="134"/>
    </row>
    <row r="54" spans="1:9" s="42" customFormat="1">
      <c r="A54" s="95"/>
      <c r="B54" s="103"/>
      <c r="C54" s="97" t="s">
        <v>216</v>
      </c>
      <c r="D54" s="131" t="s">
        <v>40</v>
      </c>
      <c r="E54" s="133">
        <v>3.24</v>
      </c>
      <c r="F54" s="132">
        <v>5655</v>
      </c>
      <c r="G54" s="134">
        <f>F54*E54</f>
        <v>18322.2</v>
      </c>
    </row>
    <row r="55" spans="1:9" s="42" customFormat="1">
      <c r="A55" s="95"/>
      <c r="B55" s="103"/>
      <c r="C55" s="97"/>
      <c r="D55" s="131"/>
      <c r="E55" s="133"/>
      <c r="F55" s="133"/>
      <c r="G55" s="134"/>
    </row>
    <row r="56" spans="1:9" s="42" customFormat="1">
      <c r="A56" s="89">
        <v>5</v>
      </c>
      <c r="B56" s="90" t="s">
        <v>217</v>
      </c>
      <c r="C56" s="91" t="s">
        <v>218</v>
      </c>
      <c r="D56" s="127"/>
      <c r="E56" s="127"/>
      <c r="F56" s="127"/>
      <c r="G56" s="129"/>
    </row>
    <row r="57" spans="1:9" s="42" customFormat="1">
      <c r="A57" s="95"/>
      <c r="B57" s="103"/>
      <c r="C57" s="97"/>
      <c r="D57" s="131"/>
      <c r="E57" s="133"/>
      <c r="F57" s="133"/>
      <c r="G57" s="134"/>
    </row>
    <row r="58" spans="1:9" s="42" customFormat="1" ht="87.5">
      <c r="A58" s="95"/>
      <c r="B58" s="103"/>
      <c r="C58" s="97" t="s">
        <v>219</v>
      </c>
      <c r="D58" s="131"/>
      <c r="E58" s="133"/>
      <c r="F58" s="133"/>
      <c r="G58" s="134"/>
    </row>
    <row r="59" spans="1:9" s="42" customFormat="1">
      <c r="A59" s="95"/>
      <c r="B59" s="103"/>
      <c r="C59" s="97" t="s">
        <v>220</v>
      </c>
      <c r="D59" s="131" t="s">
        <v>40</v>
      </c>
      <c r="E59" s="133">
        <v>2.7</v>
      </c>
      <c r="F59" s="132">
        <v>6295</v>
      </c>
      <c r="G59" s="134">
        <f>F59*E59</f>
        <v>16996.5</v>
      </c>
    </row>
    <row r="60" spans="1:9" s="42" customFormat="1">
      <c r="A60" s="95"/>
      <c r="B60" s="103"/>
      <c r="C60" s="97"/>
      <c r="D60" s="131"/>
      <c r="E60" s="133"/>
      <c r="F60" s="133"/>
      <c r="G60" s="134"/>
    </row>
    <row r="61" spans="1:9" s="42" customFormat="1">
      <c r="A61" s="95"/>
      <c r="B61" s="103"/>
      <c r="C61" s="97"/>
      <c r="D61" s="131"/>
      <c r="E61" s="133"/>
      <c r="F61" s="133"/>
      <c r="G61" s="134"/>
    </row>
    <row r="62" spans="1:9" s="42" customFormat="1">
      <c r="A62" s="95"/>
      <c r="B62" s="103"/>
      <c r="C62" s="97"/>
      <c r="D62" s="131"/>
      <c r="E62" s="133"/>
      <c r="F62" s="133"/>
      <c r="G62" s="134"/>
    </row>
    <row r="63" spans="1:9" s="42" customFormat="1">
      <c r="A63" s="89">
        <v>4</v>
      </c>
      <c r="B63" s="90" t="s">
        <v>221</v>
      </c>
      <c r="C63" s="91" t="s">
        <v>222</v>
      </c>
      <c r="D63" s="127"/>
      <c r="E63" s="127"/>
      <c r="F63" s="127"/>
      <c r="G63" s="129"/>
    </row>
    <row r="64" spans="1:9" s="42" customFormat="1">
      <c r="A64" s="95"/>
      <c r="B64" s="103"/>
      <c r="C64" s="97"/>
      <c r="D64" s="131"/>
      <c r="E64" s="131"/>
      <c r="F64" s="131"/>
      <c r="G64" s="135"/>
    </row>
    <row r="65" spans="1:14" s="42" customFormat="1" ht="94.25" customHeight="1">
      <c r="A65" s="95"/>
      <c r="B65" s="103"/>
      <c r="C65" s="97" t="s">
        <v>223</v>
      </c>
      <c r="D65" s="131" t="s">
        <v>40</v>
      </c>
      <c r="E65" s="133">
        <v>9.4499999999999993</v>
      </c>
      <c r="F65" s="132">
        <v>8390</v>
      </c>
      <c r="G65" s="134">
        <f>F65*E65</f>
        <v>79285.5</v>
      </c>
    </row>
    <row r="66" spans="1:14" s="42" customFormat="1" ht="17.5" customHeight="1">
      <c r="A66" s="95"/>
      <c r="B66" s="103"/>
      <c r="C66" s="97"/>
      <c r="D66" s="131"/>
      <c r="E66" s="131"/>
      <c r="F66" s="131"/>
      <c r="G66" s="135"/>
    </row>
    <row r="67" spans="1:14" s="42" customFormat="1">
      <c r="A67" s="89">
        <v>4</v>
      </c>
      <c r="B67" s="90" t="s">
        <v>224</v>
      </c>
      <c r="C67" s="91" t="s">
        <v>225</v>
      </c>
      <c r="D67" s="127"/>
      <c r="E67" s="127"/>
      <c r="F67" s="127"/>
      <c r="G67" s="129"/>
    </row>
    <row r="68" spans="1:14" s="42" customFormat="1">
      <c r="A68" s="95"/>
      <c r="B68" s="103"/>
      <c r="C68" s="97"/>
      <c r="D68" s="131"/>
      <c r="E68" s="133"/>
      <c r="F68" s="133"/>
      <c r="G68" s="134"/>
    </row>
    <row r="69" spans="1:14" s="42" customFormat="1" ht="75">
      <c r="A69" s="95"/>
      <c r="B69" s="103"/>
      <c r="C69" s="97" t="s">
        <v>226</v>
      </c>
      <c r="D69" s="131"/>
      <c r="E69" s="133"/>
      <c r="F69" s="133"/>
      <c r="G69" s="134"/>
    </row>
    <row r="70" spans="1:14" s="42" customFormat="1">
      <c r="A70" s="95"/>
      <c r="B70" s="103"/>
      <c r="C70" s="97"/>
      <c r="D70" s="131"/>
      <c r="E70" s="133"/>
      <c r="F70" s="133"/>
      <c r="G70" s="134"/>
    </row>
    <row r="71" spans="1:14" s="42" customFormat="1">
      <c r="A71" s="95"/>
      <c r="B71" s="103"/>
      <c r="C71" s="97" t="s">
        <v>227</v>
      </c>
      <c r="D71" s="131" t="s">
        <v>100</v>
      </c>
      <c r="E71" s="133">
        <v>1</v>
      </c>
      <c r="F71" s="132">
        <v>14470</v>
      </c>
      <c r="G71" s="134">
        <f>F71*E71</f>
        <v>14470</v>
      </c>
    </row>
    <row r="72" spans="1:14" s="42" customFormat="1">
      <c r="A72" s="95"/>
      <c r="B72" s="103"/>
      <c r="C72" s="97" t="s">
        <v>228</v>
      </c>
      <c r="D72" s="131" t="s">
        <v>100</v>
      </c>
      <c r="E72" s="133">
        <v>1</v>
      </c>
      <c r="F72" s="132">
        <v>14470</v>
      </c>
      <c r="G72" s="134">
        <f>F72*E72</f>
        <v>14470</v>
      </c>
    </row>
    <row r="73" spans="1:14" s="42" customFormat="1">
      <c r="A73" s="95"/>
      <c r="B73" s="103"/>
      <c r="C73" s="97"/>
      <c r="D73" s="131"/>
      <c r="E73" s="133"/>
      <c r="F73" s="133"/>
      <c r="G73" s="134"/>
    </row>
    <row r="74" spans="1:14" s="42" customFormat="1">
      <c r="A74" s="89">
        <v>5</v>
      </c>
      <c r="B74" s="90" t="s">
        <v>229</v>
      </c>
      <c r="C74" s="91" t="s">
        <v>230</v>
      </c>
      <c r="D74" s="127"/>
      <c r="E74" s="127"/>
      <c r="F74" s="127"/>
      <c r="G74" s="129"/>
    </row>
    <row r="75" spans="1:14" s="42" customFormat="1">
      <c r="A75" s="95"/>
      <c r="B75" s="103"/>
      <c r="C75" s="97"/>
      <c r="D75" s="131"/>
      <c r="E75" s="133"/>
      <c r="F75" s="133"/>
      <c r="G75" s="126"/>
    </row>
    <row r="76" spans="1:14" s="42" customFormat="1" ht="112.5">
      <c r="A76" s="139"/>
      <c r="B76" s="140"/>
      <c r="C76" s="97" t="s">
        <v>231</v>
      </c>
      <c r="D76" s="131" t="s">
        <v>100</v>
      </c>
      <c r="E76" s="133">
        <v>1</v>
      </c>
      <c r="F76" s="132">
        <v>68208</v>
      </c>
      <c r="G76" s="134">
        <f>F76*E76</f>
        <v>68208</v>
      </c>
    </row>
    <row r="77" spans="1:14" s="42" customFormat="1">
      <c r="A77" s="139"/>
      <c r="B77" s="140"/>
      <c r="C77" s="97" t="s">
        <v>232</v>
      </c>
      <c r="D77" s="131"/>
      <c r="E77" s="133"/>
      <c r="F77" s="138"/>
      <c r="G77" s="137"/>
    </row>
    <row r="78" spans="1:14" s="42" customFormat="1">
      <c r="A78" s="139"/>
      <c r="B78" s="140"/>
      <c r="C78" s="97" t="s">
        <v>233</v>
      </c>
      <c r="D78" s="131"/>
      <c r="E78" s="133"/>
      <c r="F78" s="138"/>
      <c r="G78" s="137"/>
    </row>
    <row r="79" spans="1:14" s="42" customFormat="1">
      <c r="A79" s="95"/>
      <c r="B79" s="103"/>
      <c r="C79" s="97"/>
      <c r="D79" s="131"/>
      <c r="E79" s="131"/>
      <c r="F79" s="132"/>
      <c r="G79" s="135"/>
    </row>
    <row r="80" spans="1:14" ht="14.5" thickBot="1">
      <c r="A80" s="109"/>
      <c r="B80" s="110"/>
      <c r="C80" s="111" t="s">
        <v>234</v>
      </c>
      <c r="D80" s="110"/>
      <c r="E80" s="155"/>
      <c r="F80" s="110"/>
      <c r="G80" s="156">
        <f>SUM(G24:G79)</f>
        <v>774642.2</v>
      </c>
      <c r="N80"/>
    </row>
    <row r="81" spans="3:13">
      <c r="C81" s="72"/>
      <c r="M81" s="16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3"/>
  <sheetViews>
    <sheetView zoomScaleNormal="100" workbookViewId="0">
      <selection activeCell="B9" sqref="B9"/>
    </sheetView>
  </sheetViews>
  <sheetFormatPr defaultColWidth="14.83203125" defaultRowHeight="15.5"/>
  <cols>
    <col min="1" max="1" width="15.1640625" style="167" customWidth="1"/>
    <col min="2" max="2" width="24.5" style="220" customWidth="1"/>
    <col min="3" max="3" width="62.83203125" style="170" customWidth="1"/>
    <col min="4" max="4" width="8.1640625" style="167" bestFit="1" customWidth="1"/>
    <col min="5" max="5" width="12.83203125" style="171" customWidth="1"/>
    <col min="6" max="6" width="16.5" style="171" customWidth="1"/>
    <col min="7" max="7" width="30.1640625" style="168" customWidth="1"/>
    <col min="8" max="8" width="5.83203125" style="167" customWidth="1"/>
    <col min="9" max="9" width="14.83203125" style="167"/>
    <col min="10" max="10" width="20.1640625" style="167" customWidth="1"/>
    <col min="11" max="13" width="14.83203125" style="167"/>
    <col min="14" max="14" width="5.83203125" style="167" customWidth="1"/>
    <col min="15" max="241" width="14.83203125" style="167"/>
    <col min="242" max="242" width="28" style="167" customWidth="1"/>
    <col min="243" max="243" width="50.5" style="167" bestFit="1" customWidth="1"/>
    <col min="244" max="244" width="114.1640625" style="167" bestFit="1" customWidth="1"/>
    <col min="245" max="245" width="8.1640625" style="167" bestFit="1" customWidth="1"/>
    <col min="246" max="246" width="12.83203125" style="167" customWidth="1"/>
    <col min="247" max="247" width="16.5" style="167" customWidth="1"/>
    <col min="248" max="248" width="30.1640625" style="167" customWidth="1"/>
    <col min="249" max="249" width="81.5" style="167" customWidth="1"/>
    <col min="250" max="497" width="14.83203125" style="167"/>
    <col min="498" max="498" width="28" style="167" customWidth="1"/>
    <col min="499" max="499" width="50.5" style="167" bestFit="1" customWidth="1"/>
    <col min="500" max="500" width="114.1640625" style="167" bestFit="1" customWidth="1"/>
    <col min="501" max="501" width="8.1640625" style="167" bestFit="1" customWidth="1"/>
    <col min="502" max="502" width="12.83203125" style="167" customWidth="1"/>
    <col min="503" max="503" width="16.5" style="167" customWidth="1"/>
    <col min="504" max="504" width="30.1640625" style="167" customWidth="1"/>
    <col min="505" max="505" width="81.5" style="167" customWidth="1"/>
    <col min="506" max="753" width="14.83203125" style="167"/>
    <col min="754" max="754" width="28" style="167" customWidth="1"/>
    <col min="755" max="755" width="50.5" style="167" bestFit="1" customWidth="1"/>
    <col min="756" max="756" width="114.1640625" style="167" bestFit="1" customWidth="1"/>
    <col min="757" max="757" width="8.1640625" style="167" bestFit="1" customWidth="1"/>
    <col min="758" max="758" width="12.83203125" style="167" customWidth="1"/>
    <col min="759" max="759" width="16.5" style="167" customWidth="1"/>
    <col min="760" max="760" width="30.1640625" style="167" customWidth="1"/>
    <col min="761" max="761" width="81.5" style="167" customWidth="1"/>
    <col min="762" max="1009" width="14.83203125" style="167"/>
    <col min="1010" max="1010" width="28" style="167" customWidth="1"/>
    <col min="1011" max="1011" width="50.5" style="167" bestFit="1" customWidth="1"/>
    <col min="1012" max="1012" width="114.1640625" style="167" bestFit="1" customWidth="1"/>
    <col min="1013" max="1013" width="8.1640625" style="167" bestFit="1" customWidth="1"/>
    <col min="1014" max="1014" width="12.83203125" style="167" customWidth="1"/>
    <col min="1015" max="1015" width="16.5" style="167" customWidth="1"/>
    <col min="1016" max="1016" width="30.1640625" style="167" customWidth="1"/>
    <col min="1017" max="1017" width="81.5" style="167" customWidth="1"/>
    <col min="1018" max="1265" width="14.83203125" style="167"/>
    <col min="1266" max="1266" width="28" style="167" customWidth="1"/>
    <col min="1267" max="1267" width="50.5" style="167" bestFit="1" customWidth="1"/>
    <col min="1268" max="1268" width="114.1640625" style="167" bestFit="1" customWidth="1"/>
    <col min="1269" max="1269" width="8.1640625" style="167" bestFit="1" customWidth="1"/>
    <col min="1270" max="1270" width="12.83203125" style="167" customWidth="1"/>
    <col min="1271" max="1271" width="16.5" style="167" customWidth="1"/>
    <col min="1272" max="1272" width="30.1640625" style="167" customWidth="1"/>
    <col min="1273" max="1273" width="81.5" style="167" customWidth="1"/>
    <col min="1274" max="1521" width="14.83203125" style="167"/>
    <col min="1522" max="1522" width="28" style="167" customWidth="1"/>
    <col min="1523" max="1523" width="50.5" style="167" bestFit="1" customWidth="1"/>
    <col min="1524" max="1524" width="114.1640625" style="167" bestFit="1" customWidth="1"/>
    <col min="1525" max="1525" width="8.1640625" style="167" bestFit="1" customWidth="1"/>
    <col min="1526" max="1526" width="12.83203125" style="167" customWidth="1"/>
    <col min="1527" max="1527" width="16.5" style="167" customWidth="1"/>
    <col min="1528" max="1528" width="30.1640625" style="167" customWidth="1"/>
    <col min="1529" max="1529" width="81.5" style="167" customWidth="1"/>
    <col min="1530" max="1777" width="14.83203125" style="167"/>
    <col min="1778" max="1778" width="28" style="167" customWidth="1"/>
    <col min="1779" max="1779" width="50.5" style="167" bestFit="1" customWidth="1"/>
    <col min="1780" max="1780" width="114.1640625" style="167" bestFit="1" customWidth="1"/>
    <col min="1781" max="1781" width="8.1640625" style="167" bestFit="1" customWidth="1"/>
    <col min="1782" max="1782" width="12.83203125" style="167" customWidth="1"/>
    <col min="1783" max="1783" width="16.5" style="167" customWidth="1"/>
    <col min="1784" max="1784" width="30.1640625" style="167" customWidth="1"/>
    <col min="1785" max="1785" width="81.5" style="167" customWidth="1"/>
    <col min="1786" max="2033" width="14.83203125" style="167"/>
    <col min="2034" max="2034" width="28" style="167" customWidth="1"/>
    <col min="2035" max="2035" width="50.5" style="167" bestFit="1" customWidth="1"/>
    <col min="2036" max="2036" width="114.1640625" style="167" bestFit="1" customWidth="1"/>
    <col min="2037" max="2037" width="8.1640625" style="167" bestFit="1" customWidth="1"/>
    <col min="2038" max="2038" width="12.83203125" style="167" customWidth="1"/>
    <col min="2039" max="2039" width="16.5" style="167" customWidth="1"/>
    <col min="2040" max="2040" width="30.1640625" style="167" customWidth="1"/>
    <col min="2041" max="2041" width="81.5" style="167" customWidth="1"/>
    <col min="2042" max="2289" width="14.83203125" style="167"/>
    <col min="2290" max="2290" width="28" style="167" customWidth="1"/>
    <col min="2291" max="2291" width="50.5" style="167" bestFit="1" customWidth="1"/>
    <col min="2292" max="2292" width="114.1640625" style="167" bestFit="1" customWidth="1"/>
    <col min="2293" max="2293" width="8.1640625" style="167" bestFit="1" customWidth="1"/>
    <col min="2294" max="2294" width="12.83203125" style="167" customWidth="1"/>
    <col min="2295" max="2295" width="16.5" style="167" customWidth="1"/>
    <col min="2296" max="2296" width="30.1640625" style="167" customWidth="1"/>
    <col min="2297" max="2297" width="81.5" style="167" customWidth="1"/>
    <col min="2298" max="2545" width="14.83203125" style="167"/>
    <col min="2546" max="2546" width="28" style="167" customWidth="1"/>
    <col min="2547" max="2547" width="50.5" style="167" bestFit="1" customWidth="1"/>
    <col min="2548" max="2548" width="114.1640625" style="167" bestFit="1" customWidth="1"/>
    <col min="2549" max="2549" width="8.1640625" style="167" bestFit="1" customWidth="1"/>
    <col min="2550" max="2550" width="12.83203125" style="167" customWidth="1"/>
    <col min="2551" max="2551" width="16.5" style="167" customWidth="1"/>
    <col min="2552" max="2552" width="30.1640625" style="167" customWidth="1"/>
    <col min="2553" max="2553" width="81.5" style="167" customWidth="1"/>
    <col min="2554" max="2801" width="14.83203125" style="167"/>
    <col min="2802" max="2802" width="28" style="167" customWidth="1"/>
    <col min="2803" max="2803" width="50.5" style="167" bestFit="1" customWidth="1"/>
    <col min="2804" max="2804" width="114.1640625" style="167" bestFit="1" customWidth="1"/>
    <col min="2805" max="2805" width="8.1640625" style="167" bestFit="1" customWidth="1"/>
    <col min="2806" max="2806" width="12.83203125" style="167" customWidth="1"/>
    <col min="2807" max="2807" width="16.5" style="167" customWidth="1"/>
    <col min="2808" max="2808" width="30.1640625" style="167" customWidth="1"/>
    <col min="2809" max="2809" width="81.5" style="167" customWidth="1"/>
    <col min="2810" max="3057" width="14.83203125" style="167"/>
    <col min="3058" max="3058" width="28" style="167" customWidth="1"/>
    <col min="3059" max="3059" width="50.5" style="167" bestFit="1" customWidth="1"/>
    <col min="3060" max="3060" width="114.1640625" style="167" bestFit="1" customWidth="1"/>
    <col min="3061" max="3061" width="8.1640625" style="167" bestFit="1" customWidth="1"/>
    <col min="3062" max="3062" width="12.83203125" style="167" customWidth="1"/>
    <col min="3063" max="3063" width="16.5" style="167" customWidth="1"/>
    <col min="3064" max="3064" width="30.1640625" style="167" customWidth="1"/>
    <col min="3065" max="3065" width="81.5" style="167" customWidth="1"/>
    <col min="3066" max="3313" width="14.83203125" style="167"/>
    <col min="3314" max="3314" width="28" style="167" customWidth="1"/>
    <col min="3315" max="3315" width="50.5" style="167" bestFit="1" customWidth="1"/>
    <col min="3316" max="3316" width="114.1640625" style="167" bestFit="1" customWidth="1"/>
    <col min="3317" max="3317" width="8.1640625" style="167" bestFit="1" customWidth="1"/>
    <col min="3318" max="3318" width="12.83203125" style="167" customWidth="1"/>
    <col min="3319" max="3319" width="16.5" style="167" customWidth="1"/>
    <col min="3320" max="3320" width="30.1640625" style="167" customWidth="1"/>
    <col min="3321" max="3321" width="81.5" style="167" customWidth="1"/>
    <col min="3322" max="3569" width="14.83203125" style="167"/>
    <col min="3570" max="3570" width="28" style="167" customWidth="1"/>
    <col min="3571" max="3571" width="50.5" style="167" bestFit="1" customWidth="1"/>
    <col min="3572" max="3572" width="114.1640625" style="167" bestFit="1" customWidth="1"/>
    <col min="3573" max="3573" width="8.1640625" style="167" bestFit="1" customWidth="1"/>
    <col min="3574" max="3574" width="12.83203125" style="167" customWidth="1"/>
    <col min="3575" max="3575" width="16.5" style="167" customWidth="1"/>
    <col min="3576" max="3576" width="30.1640625" style="167" customWidth="1"/>
    <col min="3577" max="3577" width="81.5" style="167" customWidth="1"/>
    <col min="3578" max="3825" width="14.83203125" style="167"/>
    <col min="3826" max="3826" width="28" style="167" customWidth="1"/>
    <col min="3827" max="3827" width="50.5" style="167" bestFit="1" customWidth="1"/>
    <col min="3828" max="3828" width="114.1640625" style="167" bestFit="1" customWidth="1"/>
    <col min="3829" max="3829" width="8.1640625" style="167" bestFit="1" customWidth="1"/>
    <col min="3830" max="3830" width="12.83203125" style="167" customWidth="1"/>
    <col min="3831" max="3831" width="16.5" style="167" customWidth="1"/>
    <col min="3832" max="3832" width="30.1640625" style="167" customWidth="1"/>
    <col min="3833" max="3833" width="81.5" style="167" customWidth="1"/>
    <col min="3834" max="4081" width="14.83203125" style="167"/>
    <col min="4082" max="4082" width="28" style="167" customWidth="1"/>
    <col min="4083" max="4083" width="50.5" style="167" bestFit="1" customWidth="1"/>
    <col min="4084" max="4084" width="114.1640625" style="167" bestFit="1" customWidth="1"/>
    <col min="4085" max="4085" width="8.1640625" style="167" bestFit="1" customWidth="1"/>
    <col min="4086" max="4086" width="12.83203125" style="167" customWidth="1"/>
    <col min="4087" max="4087" width="16.5" style="167" customWidth="1"/>
    <col min="4088" max="4088" width="30.1640625" style="167" customWidth="1"/>
    <col min="4089" max="4089" width="81.5" style="167" customWidth="1"/>
    <col min="4090" max="4337" width="14.83203125" style="167"/>
    <col min="4338" max="4338" width="28" style="167" customWidth="1"/>
    <col min="4339" max="4339" width="50.5" style="167" bestFit="1" customWidth="1"/>
    <col min="4340" max="4340" width="114.1640625" style="167" bestFit="1" customWidth="1"/>
    <col min="4341" max="4341" width="8.1640625" style="167" bestFit="1" customWidth="1"/>
    <col min="4342" max="4342" width="12.83203125" style="167" customWidth="1"/>
    <col min="4343" max="4343" width="16.5" style="167" customWidth="1"/>
    <col min="4344" max="4344" width="30.1640625" style="167" customWidth="1"/>
    <col min="4345" max="4345" width="81.5" style="167" customWidth="1"/>
    <col min="4346" max="4593" width="14.83203125" style="167"/>
    <col min="4594" max="4594" width="28" style="167" customWidth="1"/>
    <col min="4595" max="4595" width="50.5" style="167" bestFit="1" customWidth="1"/>
    <col min="4596" max="4596" width="114.1640625" style="167" bestFit="1" customWidth="1"/>
    <col min="4597" max="4597" width="8.1640625" style="167" bestFit="1" customWidth="1"/>
    <col min="4598" max="4598" width="12.83203125" style="167" customWidth="1"/>
    <col min="4599" max="4599" width="16.5" style="167" customWidth="1"/>
    <col min="4600" max="4600" width="30.1640625" style="167" customWidth="1"/>
    <col min="4601" max="4601" width="81.5" style="167" customWidth="1"/>
    <col min="4602" max="4849" width="14.83203125" style="167"/>
    <col min="4850" max="4850" width="28" style="167" customWidth="1"/>
    <col min="4851" max="4851" width="50.5" style="167" bestFit="1" customWidth="1"/>
    <col min="4852" max="4852" width="114.1640625" style="167" bestFit="1" customWidth="1"/>
    <col min="4853" max="4853" width="8.1640625" style="167" bestFit="1" customWidth="1"/>
    <col min="4854" max="4854" width="12.83203125" style="167" customWidth="1"/>
    <col min="4855" max="4855" width="16.5" style="167" customWidth="1"/>
    <col min="4856" max="4856" width="30.1640625" style="167" customWidth="1"/>
    <col min="4857" max="4857" width="81.5" style="167" customWidth="1"/>
    <col min="4858" max="5105" width="14.83203125" style="167"/>
    <col min="5106" max="5106" width="28" style="167" customWidth="1"/>
    <col min="5107" max="5107" width="50.5" style="167" bestFit="1" customWidth="1"/>
    <col min="5108" max="5108" width="114.1640625" style="167" bestFit="1" customWidth="1"/>
    <col min="5109" max="5109" width="8.1640625" style="167" bestFit="1" customWidth="1"/>
    <col min="5110" max="5110" width="12.83203125" style="167" customWidth="1"/>
    <col min="5111" max="5111" width="16.5" style="167" customWidth="1"/>
    <col min="5112" max="5112" width="30.1640625" style="167" customWidth="1"/>
    <col min="5113" max="5113" width="81.5" style="167" customWidth="1"/>
    <col min="5114" max="5361" width="14.83203125" style="167"/>
    <col min="5362" max="5362" width="28" style="167" customWidth="1"/>
    <col min="5363" max="5363" width="50.5" style="167" bestFit="1" customWidth="1"/>
    <col min="5364" max="5364" width="114.1640625" style="167" bestFit="1" customWidth="1"/>
    <col min="5365" max="5365" width="8.1640625" style="167" bestFit="1" customWidth="1"/>
    <col min="5366" max="5366" width="12.83203125" style="167" customWidth="1"/>
    <col min="5367" max="5367" width="16.5" style="167" customWidth="1"/>
    <col min="5368" max="5368" width="30.1640625" style="167" customWidth="1"/>
    <col min="5369" max="5369" width="81.5" style="167" customWidth="1"/>
    <col min="5370" max="5617" width="14.83203125" style="167"/>
    <col min="5618" max="5618" width="28" style="167" customWidth="1"/>
    <col min="5619" max="5619" width="50.5" style="167" bestFit="1" customWidth="1"/>
    <col min="5620" max="5620" width="114.1640625" style="167" bestFit="1" customWidth="1"/>
    <col min="5621" max="5621" width="8.1640625" style="167" bestFit="1" customWidth="1"/>
    <col min="5622" max="5622" width="12.83203125" style="167" customWidth="1"/>
    <col min="5623" max="5623" width="16.5" style="167" customWidth="1"/>
    <col min="5624" max="5624" width="30.1640625" style="167" customWidth="1"/>
    <col min="5625" max="5625" width="81.5" style="167" customWidth="1"/>
    <col min="5626" max="5873" width="14.83203125" style="167"/>
    <col min="5874" max="5874" width="28" style="167" customWidth="1"/>
    <col min="5875" max="5875" width="50.5" style="167" bestFit="1" customWidth="1"/>
    <col min="5876" max="5876" width="114.1640625" style="167" bestFit="1" customWidth="1"/>
    <col min="5877" max="5877" width="8.1640625" style="167" bestFit="1" customWidth="1"/>
    <col min="5878" max="5878" width="12.83203125" style="167" customWidth="1"/>
    <col min="5879" max="5879" width="16.5" style="167" customWidth="1"/>
    <col min="5880" max="5880" width="30.1640625" style="167" customWidth="1"/>
    <col min="5881" max="5881" width="81.5" style="167" customWidth="1"/>
    <col min="5882" max="6129" width="14.83203125" style="167"/>
    <col min="6130" max="6130" width="28" style="167" customWidth="1"/>
    <col min="6131" max="6131" width="50.5" style="167" bestFit="1" customWidth="1"/>
    <col min="6132" max="6132" width="114.1640625" style="167" bestFit="1" customWidth="1"/>
    <col min="6133" max="6133" width="8.1640625" style="167" bestFit="1" customWidth="1"/>
    <col min="6134" max="6134" width="12.83203125" style="167" customWidth="1"/>
    <col min="6135" max="6135" width="16.5" style="167" customWidth="1"/>
    <col min="6136" max="6136" width="30.1640625" style="167" customWidth="1"/>
    <col min="6137" max="6137" width="81.5" style="167" customWidth="1"/>
    <col min="6138" max="6385" width="14.83203125" style="167"/>
    <col min="6386" max="6386" width="28" style="167" customWidth="1"/>
    <col min="6387" max="6387" width="50.5" style="167" bestFit="1" customWidth="1"/>
    <col min="6388" max="6388" width="114.1640625" style="167" bestFit="1" customWidth="1"/>
    <col min="6389" max="6389" width="8.1640625" style="167" bestFit="1" customWidth="1"/>
    <col min="6390" max="6390" width="12.83203125" style="167" customWidth="1"/>
    <col min="6391" max="6391" width="16.5" style="167" customWidth="1"/>
    <col min="6392" max="6392" width="30.1640625" style="167" customWidth="1"/>
    <col min="6393" max="6393" width="81.5" style="167" customWidth="1"/>
    <col min="6394" max="6641" width="14.83203125" style="167"/>
    <col min="6642" max="6642" width="28" style="167" customWidth="1"/>
    <col min="6643" max="6643" width="50.5" style="167" bestFit="1" customWidth="1"/>
    <col min="6644" max="6644" width="114.1640625" style="167" bestFit="1" customWidth="1"/>
    <col min="6645" max="6645" width="8.1640625" style="167" bestFit="1" customWidth="1"/>
    <col min="6646" max="6646" width="12.83203125" style="167" customWidth="1"/>
    <col min="6647" max="6647" width="16.5" style="167" customWidth="1"/>
    <col min="6648" max="6648" width="30.1640625" style="167" customWidth="1"/>
    <col min="6649" max="6649" width="81.5" style="167" customWidth="1"/>
    <col min="6650" max="6897" width="14.83203125" style="167"/>
    <col min="6898" max="6898" width="28" style="167" customWidth="1"/>
    <col min="6899" max="6899" width="50.5" style="167" bestFit="1" customWidth="1"/>
    <col min="6900" max="6900" width="114.1640625" style="167" bestFit="1" customWidth="1"/>
    <col min="6901" max="6901" width="8.1640625" style="167" bestFit="1" customWidth="1"/>
    <col min="6902" max="6902" width="12.83203125" style="167" customWidth="1"/>
    <col min="6903" max="6903" width="16.5" style="167" customWidth="1"/>
    <col min="6904" max="6904" width="30.1640625" style="167" customWidth="1"/>
    <col min="6905" max="6905" width="81.5" style="167" customWidth="1"/>
    <col min="6906" max="7153" width="14.83203125" style="167"/>
    <col min="7154" max="7154" width="28" style="167" customWidth="1"/>
    <col min="7155" max="7155" width="50.5" style="167" bestFit="1" customWidth="1"/>
    <col min="7156" max="7156" width="114.1640625" style="167" bestFit="1" customWidth="1"/>
    <col min="7157" max="7157" width="8.1640625" style="167" bestFit="1" customWidth="1"/>
    <col min="7158" max="7158" width="12.83203125" style="167" customWidth="1"/>
    <col min="7159" max="7159" width="16.5" style="167" customWidth="1"/>
    <col min="7160" max="7160" width="30.1640625" style="167" customWidth="1"/>
    <col min="7161" max="7161" width="81.5" style="167" customWidth="1"/>
    <col min="7162" max="7409" width="14.83203125" style="167"/>
    <col min="7410" max="7410" width="28" style="167" customWidth="1"/>
    <col min="7411" max="7411" width="50.5" style="167" bestFit="1" customWidth="1"/>
    <col min="7412" max="7412" width="114.1640625" style="167" bestFit="1" customWidth="1"/>
    <col min="7413" max="7413" width="8.1640625" style="167" bestFit="1" customWidth="1"/>
    <col min="7414" max="7414" width="12.83203125" style="167" customWidth="1"/>
    <col min="7415" max="7415" width="16.5" style="167" customWidth="1"/>
    <col min="7416" max="7416" width="30.1640625" style="167" customWidth="1"/>
    <col min="7417" max="7417" width="81.5" style="167" customWidth="1"/>
    <col min="7418" max="7665" width="14.83203125" style="167"/>
    <col min="7666" max="7666" width="28" style="167" customWidth="1"/>
    <col min="7667" max="7667" width="50.5" style="167" bestFit="1" customWidth="1"/>
    <col min="7668" max="7668" width="114.1640625" style="167" bestFit="1" customWidth="1"/>
    <col min="7669" max="7669" width="8.1640625" style="167" bestFit="1" customWidth="1"/>
    <col min="7670" max="7670" width="12.83203125" style="167" customWidth="1"/>
    <col min="7671" max="7671" width="16.5" style="167" customWidth="1"/>
    <col min="7672" max="7672" width="30.1640625" style="167" customWidth="1"/>
    <col min="7673" max="7673" width="81.5" style="167" customWidth="1"/>
    <col min="7674" max="7921" width="14.83203125" style="167"/>
    <col min="7922" max="7922" width="28" style="167" customWidth="1"/>
    <col min="7923" max="7923" width="50.5" style="167" bestFit="1" customWidth="1"/>
    <col min="7924" max="7924" width="114.1640625" style="167" bestFit="1" customWidth="1"/>
    <col min="7925" max="7925" width="8.1640625" style="167" bestFit="1" customWidth="1"/>
    <col min="7926" max="7926" width="12.83203125" style="167" customWidth="1"/>
    <col min="7927" max="7927" width="16.5" style="167" customWidth="1"/>
    <col min="7928" max="7928" width="30.1640625" style="167" customWidth="1"/>
    <col min="7929" max="7929" width="81.5" style="167" customWidth="1"/>
    <col min="7930" max="8177" width="14.83203125" style="167"/>
    <col min="8178" max="8178" width="28" style="167" customWidth="1"/>
    <col min="8179" max="8179" width="50.5" style="167" bestFit="1" customWidth="1"/>
    <col min="8180" max="8180" width="114.1640625" style="167" bestFit="1" customWidth="1"/>
    <col min="8181" max="8181" width="8.1640625" style="167" bestFit="1" customWidth="1"/>
    <col min="8182" max="8182" width="12.83203125" style="167" customWidth="1"/>
    <col min="8183" max="8183" width="16.5" style="167" customWidth="1"/>
    <col min="8184" max="8184" width="30.1640625" style="167" customWidth="1"/>
    <col min="8185" max="8185" width="81.5" style="167" customWidth="1"/>
    <col min="8186" max="8433" width="14.83203125" style="167"/>
    <col min="8434" max="8434" width="28" style="167" customWidth="1"/>
    <col min="8435" max="8435" width="50.5" style="167" bestFit="1" customWidth="1"/>
    <col min="8436" max="8436" width="114.1640625" style="167" bestFit="1" customWidth="1"/>
    <col min="8437" max="8437" width="8.1640625" style="167" bestFit="1" customWidth="1"/>
    <col min="8438" max="8438" width="12.83203125" style="167" customWidth="1"/>
    <col min="8439" max="8439" width="16.5" style="167" customWidth="1"/>
    <col min="8440" max="8440" width="30.1640625" style="167" customWidth="1"/>
    <col min="8441" max="8441" width="81.5" style="167" customWidth="1"/>
    <col min="8442" max="8689" width="14.83203125" style="167"/>
    <col min="8690" max="8690" width="28" style="167" customWidth="1"/>
    <col min="8691" max="8691" width="50.5" style="167" bestFit="1" customWidth="1"/>
    <col min="8692" max="8692" width="114.1640625" style="167" bestFit="1" customWidth="1"/>
    <col min="8693" max="8693" width="8.1640625" style="167" bestFit="1" customWidth="1"/>
    <col min="8694" max="8694" width="12.83203125" style="167" customWidth="1"/>
    <col min="8695" max="8695" width="16.5" style="167" customWidth="1"/>
    <col min="8696" max="8696" width="30.1640625" style="167" customWidth="1"/>
    <col min="8697" max="8697" width="81.5" style="167" customWidth="1"/>
    <col min="8698" max="8945" width="14.83203125" style="167"/>
    <col min="8946" max="8946" width="28" style="167" customWidth="1"/>
    <col min="8947" max="8947" width="50.5" style="167" bestFit="1" customWidth="1"/>
    <col min="8948" max="8948" width="114.1640625" style="167" bestFit="1" customWidth="1"/>
    <col min="8949" max="8949" width="8.1640625" style="167" bestFit="1" customWidth="1"/>
    <col min="8950" max="8950" width="12.83203125" style="167" customWidth="1"/>
    <col min="8951" max="8951" width="16.5" style="167" customWidth="1"/>
    <col min="8952" max="8952" width="30.1640625" style="167" customWidth="1"/>
    <col min="8953" max="8953" width="81.5" style="167" customWidth="1"/>
    <col min="8954" max="9201" width="14.83203125" style="167"/>
    <col min="9202" max="9202" width="28" style="167" customWidth="1"/>
    <col min="9203" max="9203" width="50.5" style="167" bestFit="1" customWidth="1"/>
    <col min="9204" max="9204" width="114.1640625" style="167" bestFit="1" customWidth="1"/>
    <col min="9205" max="9205" width="8.1640625" style="167" bestFit="1" customWidth="1"/>
    <col min="9206" max="9206" width="12.83203125" style="167" customWidth="1"/>
    <col min="9207" max="9207" width="16.5" style="167" customWidth="1"/>
    <col min="9208" max="9208" width="30.1640625" style="167" customWidth="1"/>
    <col min="9209" max="9209" width="81.5" style="167" customWidth="1"/>
    <col min="9210" max="9457" width="14.83203125" style="167"/>
    <col min="9458" max="9458" width="28" style="167" customWidth="1"/>
    <col min="9459" max="9459" width="50.5" style="167" bestFit="1" customWidth="1"/>
    <col min="9460" max="9460" width="114.1640625" style="167" bestFit="1" customWidth="1"/>
    <col min="9461" max="9461" width="8.1640625" style="167" bestFit="1" customWidth="1"/>
    <col min="9462" max="9462" width="12.83203125" style="167" customWidth="1"/>
    <col min="9463" max="9463" width="16.5" style="167" customWidth="1"/>
    <col min="9464" max="9464" width="30.1640625" style="167" customWidth="1"/>
    <col min="9465" max="9465" width="81.5" style="167" customWidth="1"/>
    <col min="9466" max="9713" width="14.83203125" style="167"/>
    <col min="9714" max="9714" width="28" style="167" customWidth="1"/>
    <col min="9715" max="9715" width="50.5" style="167" bestFit="1" customWidth="1"/>
    <col min="9716" max="9716" width="114.1640625" style="167" bestFit="1" customWidth="1"/>
    <col min="9717" max="9717" width="8.1640625" style="167" bestFit="1" customWidth="1"/>
    <col min="9718" max="9718" width="12.83203125" style="167" customWidth="1"/>
    <col min="9719" max="9719" width="16.5" style="167" customWidth="1"/>
    <col min="9720" max="9720" width="30.1640625" style="167" customWidth="1"/>
    <col min="9721" max="9721" width="81.5" style="167" customWidth="1"/>
    <col min="9722" max="9969" width="14.83203125" style="167"/>
    <col min="9970" max="9970" width="28" style="167" customWidth="1"/>
    <col min="9971" max="9971" width="50.5" style="167" bestFit="1" customWidth="1"/>
    <col min="9972" max="9972" width="114.1640625" style="167" bestFit="1" customWidth="1"/>
    <col min="9973" max="9973" width="8.1640625" style="167" bestFit="1" customWidth="1"/>
    <col min="9974" max="9974" width="12.83203125" style="167" customWidth="1"/>
    <col min="9975" max="9975" width="16.5" style="167" customWidth="1"/>
    <col min="9976" max="9976" width="30.1640625" style="167" customWidth="1"/>
    <col min="9977" max="9977" width="81.5" style="167" customWidth="1"/>
    <col min="9978" max="10225" width="14.83203125" style="167"/>
    <col min="10226" max="10226" width="28" style="167" customWidth="1"/>
    <col min="10227" max="10227" width="50.5" style="167" bestFit="1" customWidth="1"/>
    <col min="10228" max="10228" width="114.1640625" style="167" bestFit="1" customWidth="1"/>
    <col min="10229" max="10229" width="8.1640625" style="167" bestFit="1" customWidth="1"/>
    <col min="10230" max="10230" width="12.83203125" style="167" customWidth="1"/>
    <col min="10231" max="10231" width="16.5" style="167" customWidth="1"/>
    <col min="10232" max="10232" width="30.1640625" style="167" customWidth="1"/>
    <col min="10233" max="10233" width="81.5" style="167" customWidth="1"/>
    <col min="10234" max="10481" width="14.83203125" style="167"/>
    <col min="10482" max="10482" width="28" style="167" customWidth="1"/>
    <col min="10483" max="10483" width="50.5" style="167" bestFit="1" customWidth="1"/>
    <col min="10484" max="10484" width="114.1640625" style="167" bestFit="1" customWidth="1"/>
    <col min="10485" max="10485" width="8.1640625" style="167" bestFit="1" customWidth="1"/>
    <col min="10486" max="10486" width="12.83203125" style="167" customWidth="1"/>
    <col min="10487" max="10487" width="16.5" style="167" customWidth="1"/>
    <col min="10488" max="10488" width="30.1640625" style="167" customWidth="1"/>
    <col min="10489" max="10489" width="81.5" style="167" customWidth="1"/>
    <col min="10490" max="10737" width="14.83203125" style="167"/>
    <col min="10738" max="10738" width="28" style="167" customWidth="1"/>
    <col min="10739" max="10739" width="50.5" style="167" bestFit="1" customWidth="1"/>
    <col min="10740" max="10740" width="114.1640625" style="167" bestFit="1" customWidth="1"/>
    <col min="10741" max="10741" width="8.1640625" style="167" bestFit="1" customWidth="1"/>
    <col min="10742" max="10742" width="12.83203125" style="167" customWidth="1"/>
    <col min="10743" max="10743" width="16.5" style="167" customWidth="1"/>
    <col min="10744" max="10744" width="30.1640625" style="167" customWidth="1"/>
    <col min="10745" max="10745" width="81.5" style="167" customWidth="1"/>
    <col min="10746" max="10993" width="14.83203125" style="167"/>
    <col min="10994" max="10994" width="28" style="167" customWidth="1"/>
    <col min="10995" max="10995" width="50.5" style="167" bestFit="1" customWidth="1"/>
    <col min="10996" max="10996" width="114.1640625" style="167" bestFit="1" customWidth="1"/>
    <col min="10997" max="10997" width="8.1640625" style="167" bestFit="1" customWidth="1"/>
    <col min="10998" max="10998" width="12.83203125" style="167" customWidth="1"/>
    <col min="10999" max="10999" width="16.5" style="167" customWidth="1"/>
    <col min="11000" max="11000" width="30.1640625" style="167" customWidth="1"/>
    <col min="11001" max="11001" width="81.5" style="167" customWidth="1"/>
    <col min="11002" max="11249" width="14.83203125" style="167"/>
    <col min="11250" max="11250" width="28" style="167" customWidth="1"/>
    <col min="11251" max="11251" width="50.5" style="167" bestFit="1" customWidth="1"/>
    <col min="11252" max="11252" width="114.1640625" style="167" bestFit="1" customWidth="1"/>
    <col min="11253" max="11253" width="8.1640625" style="167" bestFit="1" customWidth="1"/>
    <col min="11254" max="11254" width="12.83203125" style="167" customWidth="1"/>
    <col min="11255" max="11255" width="16.5" style="167" customWidth="1"/>
    <col min="11256" max="11256" width="30.1640625" style="167" customWidth="1"/>
    <col min="11257" max="11257" width="81.5" style="167" customWidth="1"/>
    <col min="11258" max="11505" width="14.83203125" style="167"/>
    <col min="11506" max="11506" width="28" style="167" customWidth="1"/>
    <col min="11507" max="11507" width="50.5" style="167" bestFit="1" customWidth="1"/>
    <col min="11508" max="11508" width="114.1640625" style="167" bestFit="1" customWidth="1"/>
    <col min="11509" max="11509" width="8.1640625" style="167" bestFit="1" customWidth="1"/>
    <col min="11510" max="11510" width="12.83203125" style="167" customWidth="1"/>
    <col min="11511" max="11511" width="16.5" style="167" customWidth="1"/>
    <col min="11512" max="11512" width="30.1640625" style="167" customWidth="1"/>
    <col min="11513" max="11513" width="81.5" style="167" customWidth="1"/>
    <col min="11514" max="11761" width="14.83203125" style="167"/>
    <col min="11762" max="11762" width="28" style="167" customWidth="1"/>
    <col min="11763" max="11763" width="50.5" style="167" bestFit="1" customWidth="1"/>
    <col min="11764" max="11764" width="114.1640625" style="167" bestFit="1" customWidth="1"/>
    <col min="11765" max="11765" width="8.1640625" style="167" bestFit="1" customWidth="1"/>
    <col min="11766" max="11766" width="12.83203125" style="167" customWidth="1"/>
    <col min="11767" max="11767" width="16.5" style="167" customWidth="1"/>
    <col min="11768" max="11768" width="30.1640625" style="167" customWidth="1"/>
    <col min="11769" max="11769" width="81.5" style="167" customWidth="1"/>
    <col min="11770" max="12017" width="14.83203125" style="167"/>
    <col min="12018" max="12018" width="28" style="167" customWidth="1"/>
    <col min="12019" max="12019" width="50.5" style="167" bestFit="1" customWidth="1"/>
    <col min="12020" max="12020" width="114.1640625" style="167" bestFit="1" customWidth="1"/>
    <col min="12021" max="12021" width="8.1640625" style="167" bestFit="1" customWidth="1"/>
    <col min="12022" max="12022" width="12.83203125" style="167" customWidth="1"/>
    <col min="12023" max="12023" width="16.5" style="167" customWidth="1"/>
    <col min="12024" max="12024" width="30.1640625" style="167" customWidth="1"/>
    <col min="12025" max="12025" width="81.5" style="167" customWidth="1"/>
    <col min="12026" max="12273" width="14.83203125" style="167"/>
    <col min="12274" max="12274" width="28" style="167" customWidth="1"/>
    <col min="12275" max="12275" width="50.5" style="167" bestFit="1" customWidth="1"/>
    <col min="12276" max="12276" width="114.1640625" style="167" bestFit="1" customWidth="1"/>
    <col min="12277" max="12277" width="8.1640625" style="167" bestFit="1" customWidth="1"/>
    <col min="12278" max="12278" width="12.83203125" style="167" customWidth="1"/>
    <col min="12279" max="12279" width="16.5" style="167" customWidth="1"/>
    <col min="12280" max="12280" width="30.1640625" style="167" customWidth="1"/>
    <col min="12281" max="12281" width="81.5" style="167" customWidth="1"/>
    <col min="12282" max="12529" width="14.83203125" style="167"/>
    <col min="12530" max="12530" width="28" style="167" customWidth="1"/>
    <col min="12531" max="12531" width="50.5" style="167" bestFit="1" customWidth="1"/>
    <col min="12532" max="12532" width="114.1640625" style="167" bestFit="1" customWidth="1"/>
    <col min="12533" max="12533" width="8.1640625" style="167" bestFit="1" customWidth="1"/>
    <col min="12534" max="12534" width="12.83203125" style="167" customWidth="1"/>
    <col min="12535" max="12535" width="16.5" style="167" customWidth="1"/>
    <col min="12536" max="12536" width="30.1640625" style="167" customWidth="1"/>
    <col min="12537" max="12537" width="81.5" style="167" customWidth="1"/>
    <col min="12538" max="12785" width="14.83203125" style="167"/>
    <col min="12786" max="12786" width="28" style="167" customWidth="1"/>
    <col min="12787" max="12787" width="50.5" style="167" bestFit="1" customWidth="1"/>
    <col min="12788" max="12788" width="114.1640625" style="167" bestFit="1" customWidth="1"/>
    <col min="12789" max="12789" width="8.1640625" style="167" bestFit="1" customWidth="1"/>
    <col min="12790" max="12790" width="12.83203125" style="167" customWidth="1"/>
    <col min="12791" max="12791" width="16.5" style="167" customWidth="1"/>
    <col min="12792" max="12792" width="30.1640625" style="167" customWidth="1"/>
    <col min="12793" max="12793" width="81.5" style="167" customWidth="1"/>
    <col min="12794" max="13041" width="14.83203125" style="167"/>
    <col min="13042" max="13042" width="28" style="167" customWidth="1"/>
    <col min="13043" max="13043" width="50.5" style="167" bestFit="1" customWidth="1"/>
    <col min="13044" max="13044" width="114.1640625" style="167" bestFit="1" customWidth="1"/>
    <col min="13045" max="13045" width="8.1640625" style="167" bestFit="1" customWidth="1"/>
    <col min="13046" max="13046" width="12.83203125" style="167" customWidth="1"/>
    <col min="13047" max="13047" width="16.5" style="167" customWidth="1"/>
    <col min="13048" max="13048" width="30.1640625" style="167" customWidth="1"/>
    <col min="13049" max="13049" width="81.5" style="167" customWidth="1"/>
    <col min="13050" max="13297" width="14.83203125" style="167"/>
    <col min="13298" max="13298" width="28" style="167" customWidth="1"/>
    <col min="13299" max="13299" width="50.5" style="167" bestFit="1" customWidth="1"/>
    <col min="13300" max="13300" width="114.1640625" style="167" bestFit="1" customWidth="1"/>
    <col min="13301" max="13301" width="8.1640625" style="167" bestFit="1" customWidth="1"/>
    <col min="13302" max="13302" width="12.83203125" style="167" customWidth="1"/>
    <col min="13303" max="13303" width="16.5" style="167" customWidth="1"/>
    <col min="13304" max="13304" width="30.1640625" style="167" customWidth="1"/>
    <col min="13305" max="13305" width="81.5" style="167" customWidth="1"/>
    <col min="13306" max="13553" width="14.83203125" style="167"/>
    <col min="13554" max="13554" width="28" style="167" customWidth="1"/>
    <col min="13555" max="13555" width="50.5" style="167" bestFit="1" customWidth="1"/>
    <col min="13556" max="13556" width="114.1640625" style="167" bestFit="1" customWidth="1"/>
    <col min="13557" max="13557" width="8.1640625" style="167" bestFit="1" customWidth="1"/>
    <col min="13558" max="13558" width="12.83203125" style="167" customWidth="1"/>
    <col min="13559" max="13559" width="16.5" style="167" customWidth="1"/>
    <col min="13560" max="13560" width="30.1640625" style="167" customWidth="1"/>
    <col min="13561" max="13561" width="81.5" style="167" customWidth="1"/>
    <col min="13562" max="13809" width="14.83203125" style="167"/>
    <col min="13810" max="13810" width="28" style="167" customWidth="1"/>
    <col min="13811" max="13811" width="50.5" style="167" bestFit="1" customWidth="1"/>
    <col min="13812" max="13812" width="114.1640625" style="167" bestFit="1" customWidth="1"/>
    <col min="13813" max="13813" width="8.1640625" style="167" bestFit="1" customWidth="1"/>
    <col min="13814" max="13814" width="12.83203125" style="167" customWidth="1"/>
    <col min="13815" max="13815" width="16.5" style="167" customWidth="1"/>
    <col min="13816" max="13816" width="30.1640625" style="167" customWidth="1"/>
    <col min="13817" max="13817" width="81.5" style="167" customWidth="1"/>
    <col min="13818" max="14065" width="14.83203125" style="167"/>
    <col min="14066" max="14066" width="28" style="167" customWidth="1"/>
    <col min="14067" max="14067" width="50.5" style="167" bestFit="1" customWidth="1"/>
    <col min="14068" max="14068" width="114.1640625" style="167" bestFit="1" customWidth="1"/>
    <col min="14069" max="14069" width="8.1640625" style="167" bestFit="1" customWidth="1"/>
    <col min="14070" max="14070" width="12.83203125" style="167" customWidth="1"/>
    <col min="14071" max="14071" width="16.5" style="167" customWidth="1"/>
    <col min="14072" max="14072" width="30.1640625" style="167" customWidth="1"/>
    <col min="14073" max="14073" width="81.5" style="167" customWidth="1"/>
    <col min="14074" max="14321" width="14.83203125" style="167"/>
    <col min="14322" max="14322" width="28" style="167" customWidth="1"/>
    <col min="14323" max="14323" width="50.5" style="167" bestFit="1" customWidth="1"/>
    <col min="14324" max="14324" width="114.1640625" style="167" bestFit="1" customWidth="1"/>
    <col min="14325" max="14325" width="8.1640625" style="167" bestFit="1" customWidth="1"/>
    <col min="14326" max="14326" width="12.83203125" style="167" customWidth="1"/>
    <col min="14327" max="14327" width="16.5" style="167" customWidth="1"/>
    <col min="14328" max="14328" width="30.1640625" style="167" customWidth="1"/>
    <col min="14329" max="14329" width="81.5" style="167" customWidth="1"/>
    <col min="14330" max="14577" width="14.83203125" style="167"/>
    <col min="14578" max="14578" width="28" style="167" customWidth="1"/>
    <col min="14579" max="14579" width="50.5" style="167" bestFit="1" customWidth="1"/>
    <col min="14580" max="14580" width="114.1640625" style="167" bestFit="1" customWidth="1"/>
    <col min="14581" max="14581" width="8.1640625" style="167" bestFit="1" customWidth="1"/>
    <col min="14582" max="14582" width="12.83203125" style="167" customWidth="1"/>
    <col min="14583" max="14583" width="16.5" style="167" customWidth="1"/>
    <col min="14584" max="14584" width="30.1640625" style="167" customWidth="1"/>
    <col min="14585" max="14585" width="81.5" style="167" customWidth="1"/>
    <col min="14586" max="14833" width="14.83203125" style="167"/>
    <col min="14834" max="14834" width="28" style="167" customWidth="1"/>
    <col min="14835" max="14835" width="50.5" style="167" bestFit="1" customWidth="1"/>
    <col min="14836" max="14836" width="114.1640625" style="167" bestFit="1" customWidth="1"/>
    <col min="14837" max="14837" width="8.1640625" style="167" bestFit="1" customWidth="1"/>
    <col min="14838" max="14838" width="12.83203125" style="167" customWidth="1"/>
    <col min="14839" max="14839" width="16.5" style="167" customWidth="1"/>
    <col min="14840" max="14840" width="30.1640625" style="167" customWidth="1"/>
    <col min="14841" max="14841" width="81.5" style="167" customWidth="1"/>
    <col min="14842" max="15089" width="14.83203125" style="167"/>
    <col min="15090" max="15090" width="28" style="167" customWidth="1"/>
    <col min="15091" max="15091" width="50.5" style="167" bestFit="1" customWidth="1"/>
    <col min="15092" max="15092" width="114.1640625" style="167" bestFit="1" customWidth="1"/>
    <col min="15093" max="15093" width="8.1640625" style="167" bestFit="1" customWidth="1"/>
    <col min="15094" max="15094" width="12.83203125" style="167" customWidth="1"/>
    <col min="15095" max="15095" width="16.5" style="167" customWidth="1"/>
    <col min="15096" max="15096" width="30.1640625" style="167" customWidth="1"/>
    <col min="15097" max="15097" width="81.5" style="167" customWidth="1"/>
    <col min="15098" max="15345" width="14.83203125" style="167"/>
    <col min="15346" max="15346" width="28" style="167" customWidth="1"/>
    <col min="15347" max="15347" width="50.5" style="167" bestFit="1" customWidth="1"/>
    <col min="15348" max="15348" width="114.1640625" style="167" bestFit="1" customWidth="1"/>
    <col min="15349" max="15349" width="8.1640625" style="167" bestFit="1" customWidth="1"/>
    <col min="15350" max="15350" width="12.83203125" style="167" customWidth="1"/>
    <col min="15351" max="15351" width="16.5" style="167" customWidth="1"/>
    <col min="15352" max="15352" width="30.1640625" style="167" customWidth="1"/>
    <col min="15353" max="15353" width="81.5" style="167" customWidth="1"/>
    <col min="15354" max="15601" width="14.83203125" style="167"/>
    <col min="15602" max="15602" width="28" style="167" customWidth="1"/>
    <col min="15603" max="15603" width="50.5" style="167" bestFit="1" customWidth="1"/>
    <col min="15604" max="15604" width="114.1640625" style="167" bestFit="1" customWidth="1"/>
    <col min="15605" max="15605" width="8.1640625" style="167" bestFit="1" customWidth="1"/>
    <col min="15606" max="15606" width="12.83203125" style="167" customWidth="1"/>
    <col min="15607" max="15607" width="16.5" style="167" customWidth="1"/>
    <col min="15608" max="15608" width="30.1640625" style="167" customWidth="1"/>
    <col min="15609" max="15609" width="81.5" style="167" customWidth="1"/>
    <col min="15610" max="15857" width="14.83203125" style="167"/>
    <col min="15858" max="15858" width="28" style="167" customWidth="1"/>
    <col min="15859" max="15859" width="50.5" style="167" bestFit="1" customWidth="1"/>
    <col min="15860" max="15860" width="114.1640625" style="167" bestFit="1" customWidth="1"/>
    <col min="15861" max="15861" width="8.1640625" style="167" bestFit="1" customWidth="1"/>
    <col min="15862" max="15862" width="12.83203125" style="167" customWidth="1"/>
    <col min="15863" max="15863" width="16.5" style="167" customWidth="1"/>
    <col min="15864" max="15864" width="30.1640625" style="167" customWidth="1"/>
    <col min="15865" max="15865" width="81.5" style="167" customWidth="1"/>
    <col min="15866" max="16113" width="14.83203125" style="167"/>
    <col min="16114" max="16114" width="28" style="167" customWidth="1"/>
    <col min="16115" max="16115" width="50.5" style="167" bestFit="1" customWidth="1"/>
    <col min="16116" max="16116" width="114.1640625" style="167" bestFit="1" customWidth="1"/>
    <col min="16117" max="16117" width="8.1640625" style="167" bestFit="1" customWidth="1"/>
    <col min="16118" max="16118" width="12.83203125" style="167" customWidth="1"/>
    <col min="16119" max="16119" width="16.5" style="167" customWidth="1"/>
    <col min="16120" max="16120" width="30.1640625" style="167" customWidth="1"/>
    <col min="16121" max="16121" width="81.5" style="167" customWidth="1"/>
    <col min="16122" max="16384" width="14.83203125" style="167"/>
  </cols>
  <sheetData>
    <row r="2" spans="1:9" ht="16" thickBot="1">
      <c r="A2" s="168"/>
      <c r="B2" s="169"/>
      <c r="I2" s="15"/>
    </row>
    <row r="3" spans="1:9" s="171" customFormat="1">
      <c r="A3" s="172" t="s">
        <v>235</v>
      </c>
      <c r="B3" s="173" t="s">
        <v>236</v>
      </c>
      <c r="C3" s="174"/>
      <c r="D3" s="175" t="s">
        <v>237</v>
      </c>
      <c r="E3" s="176" t="s">
        <v>238</v>
      </c>
      <c r="F3" s="175" t="s">
        <v>239</v>
      </c>
      <c r="G3" s="177" t="s">
        <v>240</v>
      </c>
      <c r="I3" s="22"/>
    </row>
    <row r="4" spans="1:9">
      <c r="A4" s="178"/>
      <c r="B4" s="179"/>
      <c r="C4" s="180"/>
      <c r="D4" s="181"/>
      <c r="E4" s="182"/>
      <c r="F4" s="181"/>
      <c r="G4" s="183"/>
    </row>
    <row r="5" spans="1:9">
      <c r="A5" s="184" t="s">
        <v>241</v>
      </c>
      <c r="B5" s="185"/>
      <c r="C5" s="186"/>
      <c r="D5" s="187"/>
      <c r="E5" s="188"/>
      <c r="F5" s="187"/>
      <c r="G5" s="189"/>
    </row>
    <row r="6" spans="1:9">
      <c r="A6" s="190"/>
      <c r="B6" s="191"/>
      <c r="C6" s="192"/>
      <c r="D6" s="193"/>
      <c r="E6" s="194"/>
      <c r="F6" s="195"/>
      <c r="G6" s="196"/>
    </row>
    <row r="7" spans="1:9">
      <c r="A7" s="190">
        <v>1</v>
      </c>
      <c r="B7" s="191" t="s">
        <v>242</v>
      </c>
      <c r="C7" s="192"/>
      <c r="D7" s="193" t="s">
        <v>243</v>
      </c>
      <c r="E7" s="194">
        <v>8</v>
      </c>
      <c r="F7" s="195">
        <v>9250</v>
      </c>
      <c r="G7" s="196">
        <f>F7*E7</f>
        <v>74000</v>
      </c>
    </row>
    <row r="8" spans="1:9">
      <c r="A8" s="190"/>
      <c r="B8" s="191"/>
      <c r="C8" s="197"/>
      <c r="D8" s="193"/>
      <c r="E8" s="194"/>
      <c r="F8" s="195"/>
      <c r="G8" s="196"/>
    </row>
    <row r="9" spans="1:9">
      <c r="A9" s="190">
        <v>2</v>
      </c>
      <c r="B9" s="191" t="s">
        <v>244</v>
      </c>
      <c r="C9" s="197"/>
      <c r="D9" s="193" t="s">
        <v>243</v>
      </c>
      <c r="E9" s="194">
        <v>32</v>
      </c>
      <c r="F9" s="195">
        <v>2920</v>
      </c>
      <c r="G9" s="196">
        <f>F9*E9</f>
        <v>93440</v>
      </c>
    </row>
    <row r="10" spans="1:9" s="201" customFormat="1">
      <c r="A10" s="190"/>
      <c r="B10" s="198"/>
      <c r="C10" s="186"/>
      <c r="D10" s="188"/>
      <c r="E10" s="187"/>
      <c r="F10" s="199"/>
      <c r="G10" s="200">
        <f>E10*F10</f>
        <v>0</v>
      </c>
    </row>
    <row r="11" spans="1:9">
      <c r="A11" s="202"/>
      <c r="B11" s="203" t="s">
        <v>245</v>
      </c>
      <c r="C11" s="204"/>
      <c r="D11" s="205"/>
      <c r="E11" s="205"/>
      <c r="F11" s="206"/>
      <c r="G11" s="207">
        <f>SUM(G6:G10)</f>
        <v>167440</v>
      </c>
    </row>
    <row r="12" spans="1:9">
      <c r="A12" s="184"/>
      <c r="B12" s="208"/>
      <c r="C12" s="209"/>
      <c r="D12" s="210"/>
      <c r="E12" s="211"/>
      <c r="F12" s="187"/>
      <c r="G12" s="212"/>
    </row>
    <row r="13" spans="1:9" ht="16" thickBot="1">
      <c r="A13" s="213"/>
      <c r="B13" s="214" t="s">
        <v>246</v>
      </c>
      <c r="C13" s="215"/>
      <c r="D13" s="216"/>
      <c r="E13" s="217"/>
      <c r="F13" s="218"/>
      <c r="G13" s="219">
        <f>SUM(G11:G12)</f>
        <v>167440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workbookViewId="0">
      <selection activeCell="C22" sqref="C22"/>
    </sheetView>
  </sheetViews>
  <sheetFormatPr defaultColWidth="8.83203125" defaultRowHeight="14"/>
  <cols>
    <col min="1" max="1" width="6.1640625" customWidth="1"/>
    <col min="2" max="2" width="36.83203125" customWidth="1"/>
    <col min="3" max="3" width="27.83203125" customWidth="1"/>
  </cols>
  <sheetData>
    <row r="1" spans="1:3" s="15" customFormat="1" ht="16" thickBot="1">
      <c r="A1" s="413" t="s">
        <v>494</v>
      </c>
      <c r="B1" s="413"/>
      <c r="C1" s="413"/>
    </row>
    <row r="2" spans="1:3" s="22" customFormat="1" ht="13.5" thickBot="1">
      <c r="A2" s="77" t="s">
        <v>1</v>
      </c>
      <c r="B2" s="77" t="s">
        <v>3</v>
      </c>
      <c r="C2" s="77" t="s">
        <v>7</v>
      </c>
    </row>
    <row r="3" spans="1:3">
      <c r="A3" s="79"/>
      <c r="B3" s="80"/>
      <c r="C3" s="120"/>
    </row>
    <row r="4" spans="1:3">
      <c r="A4" s="353" t="s">
        <v>8</v>
      </c>
      <c r="B4" s="59" t="s">
        <v>477</v>
      </c>
      <c r="C4" s="354">
        <f>Structural!M37</f>
        <v>1563507.8785250003</v>
      </c>
    </row>
    <row r="5" spans="1:3" s="42" customFormat="1">
      <c r="A5" s="88"/>
      <c r="B5" s="39"/>
      <c r="C5" s="134"/>
    </row>
    <row r="6" spans="1:3">
      <c r="A6" s="355" t="s">
        <v>25</v>
      </c>
      <c r="B6" s="97" t="s">
        <v>478</v>
      </c>
      <c r="C6" s="356">
        <f>Structural!M59</f>
        <v>348423.19537500001</v>
      </c>
    </row>
    <row r="7" spans="1:3">
      <c r="A7" s="357"/>
      <c r="B7" s="97"/>
      <c r="C7" s="358"/>
    </row>
    <row r="8" spans="1:3">
      <c r="A8" s="357" t="s">
        <v>44</v>
      </c>
      <c r="B8" s="97" t="s">
        <v>479</v>
      </c>
      <c r="C8" s="358">
        <f>Structural!M92</f>
        <v>1013672.922825</v>
      </c>
    </row>
    <row r="9" spans="1:3">
      <c r="A9" s="357"/>
      <c r="B9" s="97"/>
      <c r="C9" s="358"/>
    </row>
    <row r="10" spans="1:3">
      <c r="A10" s="357" t="s">
        <v>55</v>
      </c>
      <c r="B10" s="97" t="s">
        <v>480</v>
      </c>
      <c r="C10" s="358">
        <f>Structural!M104</f>
        <v>1186108.06</v>
      </c>
    </row>
    <row r="11" spans="1:3">
      <c r="A11" s="357"/>
      <c r="B11" s="97"/>
      <c r="C11" s="358"/>
    </row>
    <row r="12" spans="1:3">
      <c r="A12" s="357" t="s">
        <v>73</v>
      </c>
      <c r="B12" s="97" t="s">
        <v>481</v>
      </c>
      <c r="C12" s="358">
        <f>Structural!M116</f>
        <v>2195498.5237500002</v>
      </c>
    </row>
    <row r="13" spans="1:3">
      <c r="A13" s="357"/>
      <c r="B13" s="97"/>
      <c r="C13" s="358"/>
    </row>
    <row r="14" spans="1:3">
      <c r="A14" s="357" t="s">
        <v>82</v>
      </c>
      <c r="B14" s="97" t="s">
        <v>482</v>
      </c>
      <c r="C14" s="358">
        <f>Structural!M125</f>
        <v>122973.79499999998</v>
      </c>
    </row>
    <row r="15" spans="1:3">
      <c r="A15" s="357"/>
      <c r="B15" s="97"/>
      <c r="C15" s="358"/>
    </row>
    <row r="16" spans="1:3">
      <c r="A16" s="357" t="s">
        <v>108</v>
      </c>
      <c r="B16" s="97" t="s">
        <v>483</v>
      </c>
      <c r="C16" s="358">
        <f>Structural!M134</f>
        <v>141037.48759999999</v>
      </c>
    </row>
    <row r="17" spans="1:3">
      <c r="A17" s="357"/>
      <c r="B17" s="97"/>
      <c r="C17" s="358"/>
    </row>
    <row r="18" spans="1:3">
      <c r="A18" s="357" t="s">
        <v>173</v>
      </c>
      <c r="B18" s="97" t="s">
        <v>484</v>
      </c>
      <c r="C18" s="358">
        <f>Structural!M144</f>
        <v>1014010.431</v>
      </c>
    </row>
    <row r="19" spans="1:3">
      <c r="A19" s="357"/>
      <c r="B19" s="97"/>
      <c r="C19" s="358"/>
    </row>
    <row r="20" spans="1:3">
      <c r="A20" s="357" t="s">
        <v>323</v>
      </c>
      <c r="B20" s="97" t="s">
        <v>485</v>
      </c>
      <c r="C20" s="358">
        <f>Structural!M152</f>
        <v>147030.91769999999</v>
      </c>
    </row>
    <row r="21" spans="1:3" s="42" customFormat="1">
      <c r="A21" s="95"/>
      <c r="B21" s="97"/>
      <c r="C21" s="135"/>
    </row>
    <row r="22" spans="1:3" ht="14.5" thickBot="1">
      <c r="A22" s="109"/>
      <c r="B22" s="111" t="s">
        <v>81</v>
      </c>
      <c r="C22" s="156">
        <f>SUM(C4:C20)</f>
        <v>7732263.2117750002</v>
      </c>
    </row>
    <row r="24" spans="1:3">
      <c r="B24" s="72"/>
      <c r="C24" s="166"/>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7"/>
  <sheetViews>
    <sheetView tabSelected="1" zoomScale="70" zoomScaleNormal="70" workbookViewId="0">
      <selection activeCell="H7" sqref="H7"/>
    </sheetView>
  </sheetViews>
  <sheetFormatPr defaultColWidth="9.1640625" defaultRowHeight="14"/>
  <cols>
    <col min="1" max="1" width="7.33203125" style="223" customWidth="1"/>
    <col min="2" max="2" width="57.1640625" style="223" bestFit="1" customWidth="1"/>
    <col min="3" max="3" width="31.1640625" style="223" customWidth="1"/>
    <col min="4" max="4" width="5.83203125" style="223" bestFit="1" customWidth="1"/>
    <col min="5" max="5" width="8" style="223" bestFit="1" customWidth="1"/>
    <col min="6" max="6" width="9" style="223" bestFit="1" customWidth="1"/>
    <col min="7" max="7" width="7.33203125" style="223" bestFit="1" customWidth="1"/>
    <col min="8" max="8" width="8.5" style="223" bestFit="1" customWidth="1"/>
    <col min="9" max="9" width="13.83203125" style="222" bestFit="1" customWidth="1"/>
    <col min="10" max="10" width="6.83203125" style="258" customWidth="1"/>
    <col min="11" max="11" width="10.33203125" style="261" bestFit="1" customWidth="1"/>
    <col min="12" max="12" width="20.5" style="251" customWidth="1"/>
    <col min="13" max="13" width="22.83203125" style="251" bestFit="1" customWidth="1"/>
    <col min="14" max="14" width="5.1640625" style="223" bestFit="1" customWidth="1"/>
    <col min="15" max="15" width="20.6640625" style="222" customWidth="1"/>
    <col min="16" max="16" width="22.83203125" style="222" bestFit="1" customWidth="1"/>
    <col min="17" max="17" width="16.1640625" style="222" bestFit="1" customWidth="1"/>
    <col min="18" max="18" width="9.5" style="251" customWidth="1"/>
    <col min="19" max="19" width="12.1640625" style="222" customWidth="1"/>
    <col min="20" max="21" width="9.1640625" style="222"/>
    <col min="22" max="16384" width="9.1640625" style="223"/>
  </cols>
  <sheetData>
    <row r="1" spans="1:21" ht="15.5">
      <c r="A1" s="417" t="s">
        <v>495</v>
      </c>
      <c r="B1" s="418"/>
      <c r="C1" s="418"/>
      <c r="D1" s="418"/>
      <c r="E1" s="418"/>
      <c r="F1" s="418"/>
      <c r="G1" s="418"/>
      <c r="H1" s="418"/>
      <c r="I1" s="418"/>
      <c r="J1" s="418"/>
      <c r="K1" s="418"/>
      <c r="L1" s="418"/>
      <c r="M1" s="418"/>
      <c r="N1" s="418"/>
      <c r="O1" s="418"/>
      <c r="P1" s="418"/>
      <c r="Q1" s="418"/>
      <c r="R1" s="418"/>
      <c r="S1" s="418"/>
      <c r="T1" s="419"/>
    </row>
    <row r="2" spans="1:21">
      <c r="A2" s="3"/>
      <c r="B2" s="4"/>
      <c r="C2" s="4"/>
      <c r="D2" s="116"/>
      <c r="E2" s="116"/>
      <c r="F2" s="116"/>
      <c r="G2"/>
      <c r="H2"/>
      <c r="I2" s="160"/>
      <c r="J2"/>
      <c r="K2"/>
      <c r="L2" s="160"/>
      <c r="M2" s="160"/>
      <c r="N2"/>
      <c r="O2" s="160"/>
      <c r="P2" s="160"/>
      <c r="Q2" s="160"/>
      <c r="R2" s="361"/>
      <c r="S2" s="160"/>
      <c r="T2" s="160"/>
    </row>
    <row r="3" spans="1:21">
      <c r="A3" s="224"/>
      <c r="B3" s="224"/>
      <c r="C3" s="224"/>
      <c r="D3" s="224"/>
      <c r="E3" s="224"/>
      <c r="F3" s="224"/>
      <c r="G3" s="224"/>
      <c r="H3" s="224"/>
      <c r="I3" s="225"/>
      <c r="J3" s="226"/>
      <c r="K3" s="136"/>
      <c r="L3" s="227"/>
      <c r="M3" s="228"/>
      <c r="N3" s="229"/>
      <c r="O3" s="221"/>
      <c r="P3" s="221"/>
      <c r="Q3" s="221"/>
      <c r="R3" s="361"/>
      <c r="S3" s="221"/>
      <c r="T3" s="221"/>
    </row>
    <row r="4" spans="1:21" ht="14.5" thickBot="1">
      <c r="A4" s="224"/>
      <c r="B4" s="224"/>
      <c r="C4" s="224"/>
      <c r="D4" s="224"/>
      <c r="E4" s="224"/>
      <c r="F4" s="224"/>
      <c r="G4" s="224"/>
      <c r="H4" s="224"/>
      <c r="I4" s="225"/>
      <c r="J4" s="226"/>
      <c r="K4" s="136"/>
      <c r="L4" s="227"/>
      <c r="M4" s="228"/>
      <c r="N4" s="229"/>
      <c r="O4" s="221"/>
      <c r="P4" s="221"/>
      <c r="Q4" s="221"/>
      <c r="R4" s="361"/>
      <c r="S4" s="221"/>
      <c r="T4" s="221"/>
    </row>
    <row r="5" spans="1:21" ht="39" customHeight="1">
      <c r="A5" s="420" t="s">
        <v>247</v>
      </c>
      <c r="B5" s="421"/>
      <c r="C5" s="421"/>
      <c r="D5" s="421"/>
      <c r="E5" s="421"/>
      <c r="F5" s="421"/>
      <c r="G5" s="421"/>
      <c r="H5" s="421"/>
      <c r="I5" s="421"/>
      <c r="J5" s="421"/>
      <c r="K5" s="421"/>
      <c r="L5" s="421"/>
      <c r="M5" s="422"/>
      <c r="N5" s="229"/>
      <c r="P5" s="223"/>
      <c r="Q5" s="223"/>
      <c r="R5" s="223"/>
      <c r="S5" s="223"/>
      <c r="T5" s="223"/>
      <c r="U5" s="223"/>
    </row>
    <row r="6" spans="1:21" ht="54" customHeight="1">
      <c r="A6" s="230" t="s">
        <v>248</v>
      </c>
      <c r="B6" s="231" t="s">
        <v>249</v>
      </c>
      <c r="C6" s="231"/>
      <c r="D6" s="231" t="s">
        <v>250</v>
      </c>
      <c r="E6" s="231" t="s">
        <v>251</v>
      </c>
      <c r="F6" s="231" t="s">
        <v>252</v>
      </c>
      <c r="G6" s="231" t="s">
        <v>253</v>
      </c>
      <c r="H6" s="232" t="s">
        <v>254</v>
      </c>
      <c r="I6" s="233" t="s">
        <v>255</v>
      </c>
      <c r="J6" s="234"/>
      <c r="K6" s="231" t="s">
        <v>256</v>
      </c>
      <c r="L6" s="233" t="s">
        <v>6</v>
      </c>
      <c r="M6" s="235" t="s">
        <v>257</v>
      </c>
      <c r="N6" s="229"/>
      <c r="P6" s="223"/>
      <c r="Q6" s="223"/>
      <c r="R6" s="223"/>
      <c r="S6" s="223"/>
      <c r="T6" s="223"/>
      <c r="U6" s="223"/>
    </row>
    <row r="7" spans="1:21" ht="246" customHeight="1">
      <c r="A7" s="230"/>
      <c r="B7" s="236" t="s">
        <v>258</v>
      </c>
      <c r="C7" s="231"/>
      <c r="D7" s="231"/>
      <c r="E7" s="231"/>
      <c r="F7" s="231"/>
      <c r="G7" s="231"/>
      <c r="H7" s="232"/>
      <c r="I7" s="233"/>
      <c r="J7" s="234"/>
      <c r="K7" s="231"/>
      <c r="L7" s="233"/>
      <c r="M7" s="235"/>
      <c r="N7" s="229"/>
      <c r="P7" s="223"/>
      <c r="Q7" s="223"/>
      <c r="R7" s="223"/>
      <c r="S7" s="223"/>
      <c r="T7" s="223"/>
      <c r="U7" s="223"/>
    </row>
    <row r="8" spans="1:21" ht="18">
      <c r="A8" s="237">
        <v>1</v>
      </c>
      <c r="B8" s="238" t="s">
        <v>259</v>
      </c>
      <c r="C8" s="231"/>
      <c r="D8" s="231">
        <v>2</v>
      </c>
      <c r="E8" s="231"/>
      <c r="F8" s="231"/>
      <c r="G8" s="231">
        <v>3.6</v>
      </c>
      <c r="H8" s="231">
        <v>45.24</v>
      </c>
      <c r="I8" s="233">
        <f t="shared" ref="I8:I15" si="0">+PRODUCT(D8,E8,F8,G8,H8)</f>
        <v>325.72800000000001</v>
      </c>
      <c r="J8" s="234"/>
      <c r="K8" s="231" t="s">
        <v>260</v>
      </c>
      <c r="L8" s="233">
        <v>107</v>
      </c>
      <c r="M8" s="235">
        <f>L8*I8</f>
        <v>34852.896000000001</v>
      </c>
      <c r="N8" s="229"/>
      <c r="P8" s="223"/>
      <c r="Q8" s="223"/>
      <c r="R8" s="223"/>
      <c r="S8" s="223"/>
      <c r="T8" s="223"/>
      <c r="U8" s="223"/>
    </row>
    <row r="9" spans="1:21" ht="18">
      <c r="A9" s="237">
        <f>A8+1</f>
        <v>2</v>
      </c>
      <c r="B9" s="238" t="s">
        <v>259</v>
      </c>
      <c r="C9" s="231"/>
      <c r="D9" s="231">
        <v>9</v>
      </c>
      <c r="E9" s="231"/>
      <c r="F9" s="231"/>
      <c r="G9" s="231">
        <v>4.5</v>
      </c>
      <c r="H9" s="231">
        <v>45.24</v>
      </c>
      <c r="I9" s="233">
        <f t="shared" si="0"/>
        <v>1832.22</v>
      </c>
      <c r="J9" s="234"/>
      <c r="K9" s="231" t="s">
        <v>260</v>
      </c>
      <c r="L9" s="233">
        <v>107</v>
      </c>
      <c r="M9" s="235">
        <f t="shared" ref="M9:M36" si="1">L9*I9</f>
        <v>196047.54</v>
      </c>
      <c r="N9" s="229"/>
      <c r="P9" s="223"/>
      <c r="Q9" s="223"/>
      <c r="R9" s="223"/>
      <c r="S9" s="223"/>
      <c r="T9" s="223"/>
      <c r="U9" s="223"/>
    </row>
    <row r="10" spans="1:21" ht="18">
      <c r="A10" s="237">
        <f t="shared" ref="A10:A19" si="2">A9+1</f>
        <v>3</v>
      </c>
      <c r="B10" s="238" t="s">
        <v>261</v>
      </c>
      <c r="C10" s="231"/>
      <c r="D10" s="231">
        <f>(D9+D8)*2</f>
        <v>22</v>
      </c>
      <c r="E10" s="231">
        <v>0.4</v>
      </c>
      <c r="F10" s="231">
        <v>0.5</v>
      </c>
      <c r="G10" s="231">
        <v>1.2E-2</v>
      </c>
      <c r="H10" s="231">
        <v>7850</v>
      </c>
      <c r="I10" s="233">
        <f t="shared" si="0"/>
        <v>414.48000000000008</v>
      </c>
      <c r="J10" s="234"/>
      <c r="K10" s="231" t="s">
        <v>260</v>
      </c>
      <c r="L10" s="233">
        <v>107</v>
      </c>
      <c r="M10" s="235">
        <f t="shared" si="1"/>
        <v>44349.360000000008</v>
      </c>
      <c r="N10" s="229"/>
      <c r="P10" s="223"/>
      <c r="Q10" s="223"/>
      <c r="R10" s="223"/>
      <c r="S10" s="223"/>
      <c r="T10" s="223"/>
      <c r="U10" s="223"/>
    </row>
    <row r="11" spans="1:21" ht="18">
      <c r="A11" s="237">
        <f t="shared" si="2"/>
        <v>4</v>
      </c>
      <c r="B11" s="238" t="s">
        <v>262</v>
      </c>
      <c r="C11" s="231"/>
      <c r="D11" s="231">
        <v>1</v>
      </c>
      <c r="E11" s="231">
        <v>92</v>
      </c>
      <c r="F11" s="231"/>
      <c r="G11" s="231"/>
      <c r="H11" s="231">
        <v>45.24</v>
      </c>
      <c r="I11" s="233">
        <f t="shared" si="0"/>
        <v>4162.08</v>
      </c>
      <c r="J11" s="234"/>
      <c r="K11" s="231" t="s">
        <v>260</v>
      </c>
      <c r="L11" s="233">
        <v>107</v>
      </c>
      <c r="M11" s="235">
        <f t="shared" si="1"/>
        <v>445342.56</v>
      </c>
      <c r="N11" s="229"/>
      <c r="P11" s="223"/>
      <c r="Q11" s="223"/>
      <c r="R11" s="223"/>
      <c r="S11" s="223"/>
      <c r="T11" s="223"/>
      <c r="U11" s="223"/>
    </row>
    <row r="12" spans="1:21" ht="18">
      <c r="A12" s="237">
        <f t="shared" si="2"/>
        <v>5</v>
      </c>
      <c r="B12" s="238" t="s">
        <v>263</v>
      </c>
      <c r="C12" s="231"/>
      <c r="D12" s="231">
        <v>1</v>
      </c>
      <c r="E12" s="231">
        <v>49</v>
      </c>
      <c r="F12" s="231"/>
      <c r="G12" s="231"/>
      <c r="H12" s="231">
        <v>3.73</v>
      </c>
      <c r="I12" s="233">
        <f t="shared" si="0"/>
        <v>182.77</v>
      </c>
      <c r="J12" s="234"/>
      <c r="K12" s="231" t="s">
        <v>260</v>
      </c>
      <c r="L12" s="233">
        <v>107</v>
      </c>
      <c r="M12" s="235">
        <f t="shared" si="1"/>
        <v>19556.39</v>
      </c>
      <c r="N12" s="229"/>
      <c r="P12" s="223"/>
      <c r="Q12" s="223"/>
      <c r="R12" s="223"/>
      <c r="S12" s="223"/>
      <c r="T12" s="223"/>
      <c r="U12" s="223"/>
    </row>
    <row r="13" spans="1:21" ht="18">
      <c r="A13" s="237">
        <f t="shared" si="2"/>
        <v>6</v>
      </c>
      <c r="B13" s="238" t="s">
        <v>264</v>
      </c>
      <c r="C13" s="231"/>
      <c r="D13" s="231">
        <v>1</v>
      </c>
      <c r="E13" s="231">
        <v>57.2</v>
      </c>
      <c r="F13" s="231"/>
      <c r="G13" s="231"/>
      <c r="H13" s="231">
        <v>26.4</v>
      </c>
      <c r="I13" s="233">
        <f t="shared" si="0"/>
        <v>1510.08</v>
      </c>
      <c r="J13" s="234"/>
      <c r="K13" s="231" t="s">
        <v>260</v>
      </c>
      <c r="L13" s="233">
        <v>107</v>
      </c>
      <c r="M13" s="235">
        <f t="shared" si="1"/>
        <v>161578.56</v>
      </c>
      <c r="N13" s="229"/>
      <c r="P13" s="223"/>
      <c r="Q13" s="223"/>
      <c r="R13" s="223"/>
      <c r="S13" s="223"/>
      <c r="T13" s="223"/>
      <c r="U13" s="223"/>
    </row>
    <row r="14" spans="1:21" ht="18">
      <c r="A14" s="237">
        <f t="shared" si="2"/>
        <v>7</v>
      </c>
      <c r="B14" s="238" t="s">
        <v>264</v>
      </c>
      <c r="C14" s="231"/>
      <c r="D14" s="231">
        <v>1</v>
      </c>
      <c r="E14" s="231">
        <v>36</v>
      </c>
      <c r="F14" s="231"/>
      <c r="G14" s="231"/>
      <c r="H14" s="231">
        <v>26.4</v>
      </c>
      <c r="I14" s="233">
        <f t="shared" si="0"/>
        <v>950.4</v>
      </c>
      <c r="J14" s="234"/>
      <c r="K14" s="231" t="s">
        <v>260</v>
      </c>
      <c r="L14" s="233">
        <v>107</v>
      </c>
      <c r="M14" s="235">
        <f t="shared" si="1"/>
        <v>101692.8</v>
      </c>
      <c r="N14" s="229"/>
      <c r="P14" s="223"/>
      <c r="Q14" s="223"/>
      <c r="R14" s="223"/>
      <c r="S14" s="223"/>
      <c r="T14" s="223"/>
      <c r="U14" s="223"/>
    </row>
    <row r="15" spans="1:21" ht="18">
      <c r="A15" s="237">
        <f t="shared" si="2"/>
        <v>8</v>
      </c>
      <c r="B15" s="238" t="s">
        <v>265</v>
      </c>
      <c r="C15" s="231"/>
      <c r="D15" s="231">
        <v>1</v>
      </c>
      <c r="E15" s="231">
        <v>83.6</v>
      </c>
      <c r="F15" s="231"/>
      <c r="G15" s="231"/>
      <c r="H15" s="231">
        <v>6.71</v>
      </c>
      <c r="I15" s="233">
        <f t="shared" si="0"/>
        <v>560.9559999999999</v>
      </c>
      <c r="J15" s="234"/>
      <c r="K15" s="231" t="s">
        <v>260</v>
      </c>
      <c r="L15" s="233">
        <v>107</v>
      </c>
      <c r="M15" s="235">
        <f t="shared" si="1"/>
        <v>60022.291999999987</v>
      </c>
      <c r="N15" s="229"/>
      <c r="P15" s="223"/>
      <c r="Q15" s="223"/>
      <c r="R15" s="223"/>
      <c r="S15" s="223"/>
      <c r="T15" s="223"/>
      <c r="U15" s="223"/>
    </row>
    <row r="16" spans="1:21" ht="18">
      <c r="A16" s="237">
        <f t="shared" si="2"/>
        <v>9</v>
      </c>
      <c r="B16" s="238" t="s">
        <v>266</v>
      </c>
      <c r="C16" s="231"/>
      <c r="D16" s="231"/>
      <c r="E16" s="231"/>
      <c r="F16" s="231"/>
      <c r="G16" s="231"/>
      <c r="H16" s="231"/>
      <c r="I16" s="233">
        <f>+(SUM(I8:I15)*0.05)</f>
        <v>496.9357</v>
      </c>
      <c r="J16" s="234"/>
      <c r="K16" s="231" t="s">
        <v>260</v>
      </c>
      <c r="L16" s="233">
        <v>107</v>
      </c>
      <c r="M16" s="235">
        <f t="shared" si="1"/>
        <v>53172.119899999998</v>
      </c>
      <c r="N16" s="229"/>
      <c r="P16" s="223"/>
      <c r="Q16" s="223"/>
      <c r="R16" s="223"/>
      <c r="S16" s="223"/>
      <c r="T16" s="223"/>
      <c r="U16" s="223"/>
    </row>
    <row r="17" spans="1:21" ht="315.75" customHeight="1">
      <c r="A17" s="237"/>
      <c r="B17" s="239" t="s">
        <v>267</v>
      </c>
      <c r="C17" s="231"/>
      <c r="D17" s="231"/>
      <c r="E17" s="231"/>
      <c r="F17" s="231"/>
      <c r="G17" s="231"/>
      <c r="H17" s="231"/>
      <c r="I17" s="233"/>
      <c r="J17" s="234"/>
      <c r="K17" s="231"/>
      <c r="L17" s="233">
        <v>0</v>
      </c>
      <c r="M17" s="235">
        <f t="shared" si="1"/>
        <v>0</v>
      </c>
      <c r="N17" s="229"/>
      <c r="P17" s="223"/>
      <c r="Q17" s="223"/>
      <c r="R17" s="223"/>
      <c r="S17" s="223"/>
      <c r="T17" s="223"/>
      <c r="U17" s="223"/>
    </row>
    <row r="18" spans="1:21" ht="18">
      <c r="A18" s="237">
        <f>A16+1</f>
        <v>10</v>
      </c>
      <c r="B18" s="238" t="s">
        <v>268</v>
      </c>
      <c r="C18" s="231"/>
      <c r="D18" s="231">
        <f>D9+D8</f>
        <v>11</v>
      </c>
      <c r="E18" s="231">
        <v>0.65</v>
      </c>
      <c r="F18" s="231">
        <v>0.75</v>
      </c>
      <c r="G18" s="231">
        <v>1.05</v>
      </c>
      <c r="H18" s="231"/>
      <c r="I18" s="233">
        <f>+PRODUCT(D18,E18,F18,G18,H18)</f>
        <v>5.6306250000000011</v>
      </c>
      <c r="J18" s="234"/>
      <c r="K18" s="231" t="s">
        <v>15</v>
      </c>
      <c r="L18" s="233">
        <v>14355</v>
      </c>
      <c r="M18" s="235">
        <f t="shared" si="1"/>
        <v>80827.621875000012</v>
      </c>
      <c r="N18" s="229"/>
      <c r="P18" s="223"/>
      <c r="Q18" s="223"/>
      <c r="R18" s="223"/>
      <c r="S18" s="223"/>
      <c r="T18" s="223"/>
      <c r="U18" s="223"/>
    </row>
    <row r="19" spans="1:21" ht="18">
      <c r="A19" s="237">
        <f t="shared" si="2"/>
        <v>11</v>
      </c>
      <c r="B19" s="238" t="s">
        <v>269</v>
      </c>
      <c r="C19" s="231"/>
      <c r="D19" s="231">
        <f>D18</f>
        <v>11</v>
      </c>
      <c r="E19" s="231">
        <v>0.55000000000000004</v>
      </c>
      <c r="F19" s="231">
        <v>0.65</v>
      </c>
      <c r="G19" s="231">
        <v>1</v>
      </c>
      <c r="H19" s="231"/>
      <c r="I19" s="233">
        <f>+PRODUCT(D19,E19,F19,G19,H19)</f>
        <v>3.9325000000000006</v>
      </c>
      <c r="J19" s="234"/>
      <c r="K19" s="231" t="s">
        <v>15</v>
      </c>
      <c r="L19" s="233">
        <v>14355</v>
      </c>
      <c r="M19" s="235">
        <f t="shared" si="1"/>
        <v>56451.037500000006</v>
      </c>
      <c r="N19" s="229"/>
      <c r="P19" s="223"/>
      <c r="Q19" s="223"/>
      <c r="R19" s="223"/>
      <c r="S19" s="223"/>
      <c r="T19" s="223"/>
      <c r="U19" s="223"/>
    </row>
    <row r="20" spans="1:21" ht="192" customHeight="1">
      <c r="A20" s="237"/>
      <c r="B20" s="236" t="s">
        <v>270</v>
      </c>
      <c r="C20" s="231"/>
      <c r="D20" s="231"/>
      <c r="E20" s="231"/>
      <c r="F20" s="231"/>
      <c r="G20" s="231"/>
      <c r="H20" s="231"/>
      <c r="I20" s="233"/>
      <c r="J20" s="234"/>
      <c r="K20" s="231"/>
      <c r="L20" s="233">
        <v>0</v>
      </c>
      <c r="M20" s="235">
        <f t="shared" si="1"/>
        <v>0</v>
      </c>
      <c r="N20" s="229"/>
      <c r="P20" s="223"/>
      <c r="Q20" s="223"/>
      <c r="R20" s="223"/>
      <c r="S20" s="223"/>
      <c r="T20" s="223"/>
      <c r="U20" s="223"/>
    </row>
    <row r="21" spans="1:21" ht="18">
      <c r="A21" s="237">
        <f>A19+1</f>
        <v>12</v>
      </c>
      <c r="B21" s="238" t="s">
        <v>271</v>
      </c>
      <c r="C21" s="231"/>
      <c r="D21" s="231"/>
      <c r="E21" s="231"/>
      <c r="F21" s="231"/>
      <c r="G21" s="231"/>
      <c r="H21" s="231"/>
      <c r="I21" s="233">
        <f>+(I18+I19)*75</f>
        <v>717.23437500000011</v>
      </c>
      <c r="J21" s="234"/>
      <c r="K21" s="231" t="s">
        <v>260</v>
      </c>
      <c r="L21" s="233">
        <v>107</v>
      </c>
      <c r="M21" s="235">
        <f t="shared" si="1"/>
        <v>76744.078125000015</v>
      </c>
      <c r="N21" s="229"/>
      <c r="P21" s="223"/>
      <c r="Q21" s="223"/>
      <c r="R21" s="223"/>
      <c r="S21" s="223"/>
      <c r="T21" s="223"/>
      <c r="U21" s="223"/>
    </row>
    <row r="22" spans="1:21" ht="261.75" customHeight="1">
      <c r="A22" s="237"/>
      <c r="B22" s="236" t="s">
        <v>272</v>
      </c>
      <c r="C22" s="231"/>
      <c r="D22" s="231"/>
      <c r="E22" s="240"/>
      <c r="F22" s="241"/>
      <c r="G22" s="231"/>
      <c r="H22" s="231"/>
      <c r="I22" s="233"/>
      <c r="J22" s="234"/>
      <c r="K22" s="231"/>
      <c r="L22" s="233">
        <v>0</v>
      </c>
      <c r="M22" s="235">
        <f t="shared" si="1"/>
        <v>0</v>
      </c>
      <c r="N22" s="229"/>
      <c r="P22" s="223"/>
      <c r="Q22" s="223"/>
      <c r="R22" s="223"/>
      <c r="S22" s="223"/>
      <c r="T22" s="223"/>
      <c r="U22" s="223"/>
    </row>
    <row r="23" spans="1:21" ht="18">
      <c r="A23" s="237">
        <f>A21+1</f>
        <v>13</v>
      </c>
      <c r="B23" s="238" t="s">
        <v>273</v>
      </c>
      <c r="C23" s="231"/>
      <c r="D23" s="231">
        <v>1</v>
      </c>
      <c r="E23" s="415">
        <v>82.93</v>
      </c>
      <c r="F23" s="416"/>
      <c r="G23" s="231"/>
      <c r="H23" s="231"/>
      <c r="I23" s="233">
        <f>E23*D23</f>
        <v>82.93</v>
      </c>
      <c r="J23" s="234"/>
      <c r="K23" s="231" t="s">
        <v>40</v>
      </c>
      <c r="L23" s="233">
        <v>1127</v>
      </c>
      <c r="M23" s="235">
        <f t="shared" si="1"/>
        <v>93462.11</v>
      </c>
      <c r="N23" s="229"/>
      <c r="P23" s="223"/>
      <c r="Q23" s="223"/>
      <c r="R23" s="223"/>
      <c r="S23" s="223"/>
      <c r="T23" s="223"/>
      <c r="U23" s="223"/>
    </row>
    <row r="24" spans="1:21" ht="131.25" customHeight="1">
      <c r="A24" s="237"/>
      <c r="B24" s="236" t="s">
        <v>274</v>
      </c>
      <c r="C24" s="231"/>
      <c r="D24" s="231"/>
      <c r="E24" s="240"/>
      <c r="F24" s="241"/>
      <c r="G24" s="231"/>
      <c r="H24" s="231"/>
      <c r="I24" s="233"/>
      <c r="J24" s="234"/>
      <c r="K24" s="231"/>
      <c r="L24" s="233">
        <v>0</v>
      </c>
      <c r="M24" s="235">
        <f t="shared" si="1"/>
        <v>0</v>
      </c>
      <c r="N24" s="229"/>
      <c r="P24" s="223"/>
      <c r="Q24" s="223"/>
      <c r="R24" s="223"/>
      <c r="S24" s="223"/>
      <c r="T24" s="223"/>
      <c r="U24" s="223"/>
    </row>
    <row r="25" spans="1:21" ht="18">
      <c r="A25" s="237">
        <f>A23+1</f>
        <v>14</v>
      </c>
      <c r="B25" s="236" t="s">
        <v>275</v>
      </c>
      <c r="C25" s="232"/>
      <c r="D25" s="232">
        <v>1</v>
      </c>
      <c r="E25" s="232">
        <v>12.525</v>
      </c>
      <c r="F25" s="232">
        <v>0.6</v>
      </c>
      <c r="G25" s="232">
        <v>0.3</v>
      </c>
      <c r="H25" s="232"/>
      <c r="I25" s="233">
        <f t="shared" ref="I25:I34" si="3">+PRODUCT(D25,E25,F25,G25,H25)</f>
        <v>2.2544999999999997</v>
      </c>
      <c r="J25" s="234"/>
      <c r="K25" s="231" t="s">
        <v>15</v>
      </c>
      <c r="L25" s="233">
        <v>10740</v>
      </c>
      <c r="M25" s="235">
        <f t="shared" si="1"/>
        <v>24213.329999999998</v>
      </c>
      <c r="N25" s="229"/>
      <c r="P25" s="223"/>
      <c r="Q25" s="223"/>
      <c r="R25" s="223"/>
      <c r="S25" s="223"/>
      <c r="T25" s="223"/>
      <c r="U25" s="223"/>
    </row>
    <row r="26" spans="1:21" ht="18">
      <c r="A26" s="237"/>
      <c r="B26" s="236" t="s">
        <v>276</v>
      </c>
      <c r="C26" s="232"/>
      <c r="D26" s="232">
        <v>1</v>
      </c>
      <c r="E26" s="232">
        <f>E25</f>
        <v>12.525</v>
      </c>
      <c r="F26" s="232">
        <v>0.45</v>
      </c>
      <c r="G26" s="232">
        <v>0.8</v>
      </c>
      <c r="H26" s="232"/>
      <c r="I26" s="233">
        <f t="shared" si="3"/>
        <v>4.5090000000000003</v>
      </c>
      <c r="J26" s="234"/>
      <c r="K26" s="231" t="s">
        <v>15</v>
      </c>
      <c r="L26" s="233">
        <v>10740</v>
      </c>
      <c r="M26" s="235">
        <f t="shared" si="1"/>
        <v>48426.66</v>
      </c>
      <c r="N26" s="229"/>
      <c r="P26" s="223"/>
      <c r="Q26" s="223"/>
      <c r="R26" s="223"/>
      <c r="S26" s="223"/>
      <c r="T26" s="223"/>
      <c r="U26" s="223"/>
    </row>
    <row r="27" spans="1:21" ht="189" customHeight="1">
      <c r="A27" s="237"/>
      <c r="B27" s="236" t="s">
        <v>277</v>
      </c>
      <c r="C27" s="232"/>
      <c r="D27" s="232"/>
      <c r="E27" s="232"/>
      <c r="F27" s="232"/>
      <c r="G27" s="232"/>
      <c r="H27" s="232"/>
      <c r="I27" s="233"/>
      <c r="J27" s="234"/>
      <c r="K27" s="231"/>
      <c r="L27" s="233">
        <v>0</v>
      </c>
      <c r="M27" s="235">
        <f t="shared" si="1"/>
        <v>0</v>
      </c>
      <c r="N27" s="229"/>
      <c r="P27" s="223"/>
      <c r="Q27" s="223"/>
      <c r="R27" s="223"/>
      <c r="S27" s="223"/>
      <c r="T27" s="223"/>
      <c r="U27" s="223"/>
    </row>
    <row r="28" spans="1:21" ht="18">
      <c r="A28" s="237">
        <f>A25+1</f>
        <v>15</v>
      </c>
      <c r="B28" s="236" t="s">
        <v>278</v>
      </c>
      <c r="C28" s="232"/>
      <c r="D28" s="232"/>
      <c r="E28" s="232"/>
      <c r="F28" s="232"/>
      <c r="G28" s="232"/>
      <c r="H28" s="232"/>
      <c r="I28" s="233"/>
      <c r="J28" s="234"/>
      <c r="K28" s="231"/>
      <c r="L28" s="233">
        <v>0</v>
      </c>
      <c r="M28" s="235">
        <f t="shared" si="1"/>
        <v>0</v>
      </c>
      <c r="N28" s="229"/>
      <c r="P28" s="223"/>
      <c r="Q28" s="223"/>
      <c r="R28" s="223"/>
      <c r="S28" s="223"/>
      <c r="T28" s="223"/>
      <c r="U28" s="223"/>
    </row>
    <row r="29" spans="1:21" ht="18">
      <c r="A29" s="242"/>
      <c r="B29" s="236" t="s">
        <v>279</v>
      </c>
      <c r="C29" s="232"/>
      <c r="D29" s="232">
        <v>1</v>
      </c>
      <c r="E29" s="232">
        <f>E26</f>
        <v>12.525</v>
      </c>
      <c r="F29" s="232">
        <v>0.8</v>
      </c>
      <c r="G29" s="232">
        <v>0.15</v>
      </c>
      <c r="H29" s="232"/>
      <c r="I29" s="243">
        <f t="shared" si="3"/>
        <v>1.5030000000000001</v>
      </c>
      <c r="J29" s="234"/>
      <c r="K29" s="231" t="s">
        <v>15</v>
      </c>
      <c r="L29" s="233">
        <v>9135</v>
      </c>
      <c r="M29" s="235">
        <f t="shared" si="1"/>
        <v>13729.905000000001</v>
      </c>
      <c r="N29" s="229"/>
      <c r="P29" s="223"/>
      <c r="Q29" s="223"/>
      <c r="R29" s="223"/>
      <c r="S29" s="223"/>
      <c r="T29" s="223"/>
      <c r="U29" s="223"/>
    </row>
    <row r="30" spans="1:21" ht="18">
      <c r="A30" s="237"/>
      <c r="B30" s="236" t="s">
        <v>280</v>
      </c>
      <c r="C30" s="232"/>
      <c r="D30" s="232">
        <f>D18</f>
        <v>11</v>
      </c>
      <c r="E30" s="232">
        <f>E18+0.3</f>
        <v>0.95</v>
      </c>
      <c r="F30" s="232">
        <f>F18+0.3</f>
        <v>1.05</v>
      </c>
      <c r="G30" s="232">
        <v>0.15</v>
      </c>
      <c r="H30" s="232"/>
      <c r="I30" s="243">
        <f t="shared" si="3"/>
        <v>1.645875</v>
      </c>
      <c r="J30" s="234"/>
      <c r="K30" s="231" t="s">
        <v>15</v>
      </c>
      <c r="L30" s="233">
        <v>9135</v>
      </c>
      <c r="M30" s="235">
        <f t="shared" si="1"/>
        <v>15035.068125</v>
      </c>
      <c r="N30" s="229"/>
      <c r="P30" s="223"/>
      <c r="Q30" s="223"/>
      <c r="R30" s="223"/>
      <c r="S30" s="223"/>
      <c r="T30" s="223"/>
      <c r="U30" s="223"/>
    </row>
    <row r="31" spans="1:21" ht="186.75" customHeight="1">
      <c r="A31" s="237"/>
      <c r="B31" s="236" t="s">
        <v>281</v>
      </c>
      <c r="C31" s="232"/>
      <c r="D31" s="232"/>
      <c r="E31" s="232"/>
      <c r="F31" s="232"/>
      <c r="G31" s="232"/>
      <c r="H31" s="232"/>
      <c r="I31" s="243"/>
      <c r="J31" s="234"/>
      <c r="K31" s="231"/>
      <c r="L31" s="233">
        <v>0</v>
      </c>
      <c r="M31" s="235">
        <f t="shared" si="1"/>
        <v>0</v>
      </c>
      <c r="N31" s="229"/>
      <c r="P31" s="223"/>
      <c r="Q31" s="223"/>
      <c r="R31" s="223"/>
      <c r="S31" s="223"/>
      <c r="T31" s="223"/>
      <c r="U31" s="223"/>
    </row>
    <row r="32" spans="1:21" ht="18">
      <c r="A32" s="237">
        <f>A28+1</f>
        <v>16</v>
      </c>
      <c r="B32" s="236" t="s">
        <v>282</v>
      </c>
      <c r="C32" s="232"/>
      <c r="D32" s="232"/>
      <c r="E32" s="232"/>
      <c r="F32" s="232"/>
      <c r="G32" s="232"/>
      <c r="H32" s="232"/>
      <c r="I32" s="243"/>
      <c r="J32" s="234"/>
      <c r="K32" s="231"/>
      <c r="L32" s="233">
        <v>0</v>
      </c>
      <c r="M32" s="235">
        <f t="shared" si="1"/>
        <v>0</v>
      </c>
      <c r="N32" s="229"/>
      <c r="P32" s="223"/>
      <c r="Q32" s="223"/>
      <c r="R32" s="223"/>
      <c r="S32" s="223"/>
      <c r="T32" s="223"/>
      <c r="U32" s="223"/>
    </row>
    <row r="33" spans="1:21" ht="18">
      <c r="A33" s="237"/>
      <c r="B33" s="236" t="s">
        <v>279</v>
      </c>
      <c r="C33" s="232"/>
      <c r="D33" s="232">
        <v>1</v>
      </c>
      <c r="E33" s="232">
        <f>E29</f>
        <v>12.525</v>
      </c>
      <c r="F33" s="232">
        <v>0.6</v>
      </c>
      <c r="G33" s="232">
        <v>1</v>
      </c>
      <c r="H33" s="232"/>
      <c r="I33" s="243">
        <f t="shared" si="3"/>
        <v>7.5149999999999997</v>
      </c>
      <c r="J33" s="234"/>
      <c r="K33" s="231" t="s">
        <v>15</v>
      </c>
      <c r="L33" s="233">
        <v>1730</v>
      </c>
      <c r="M33" s="235">
        <f t="shared" si="1"/>
        <v>13000.949999999999</v>
      </c>
      <c r="N33" s="229"/>
      <c r="P33" s="223"/>
      <c r="Q33" s="223"/>
      <c r="R33" s="223"/>
      <c r="S33" s="223"/>
      <c r="T33" s="223"/>
      <c r="U33" s="223"/>
    </row>
    <row r="34" spans="1:21" ht="18">
      <c r="A34" s="237"/>
      <c r="B34" s="236" t="s">
        <v>280</v>
      </c>
      <c r="C34" s="232"/>
      <c r="D34" s="232">
        <f>D19</f>
        <v>11</v>
      </c>
      <c r="E34" s="232">
        <f>E19</f>
        <v>0.55000000000000004</v>
      </c>
      <c r="F34" s="232">
        <f>F19</f>
        <v>0.65</v>
      </c>
      <c r="G34" s="232">
        <f>G19</f>
        <v>1</v>
      </c>
      <c r="H34" s="232"/>
      <c r="I34" s="243">
        <f t="shared" si="3"/>
        <v>3.9325000000000006</v>
      </c>
      <c r="J34" s="234"/>
      <c r="K34" s="231" t="s">
        <v>15</v>
      </c>
      <c r="L34" s="233">
        <v>1730</v>
      </c>
      <c r="M34" s="235">
        <f t="shared" si="1"/>
        <v>6803.2250000000013</v>
      </c>
      <c r="N34" s="229"/>
      <c r="P34" s="223"/>
      <c r="Q34" s="223"/>
      <c r="R34" s="223"/>
      <c r="S34" s="223"/>
      <c r="T34" s="223"/>
      <c r="U34" s="223"/>
    </row>
    <row r="35" spans="1:21" ht="263.25" customHeight="1">
      <c r="A35" s="237"/>
      <c r="B35" s="236" t="s">
        <v>283</v>
      </c>
      <c r="C35" s="232"/>
      <c r="D35" s="232"/>
      <c r="E35" s="232"/>
      <c r="F35" s="232"/>
      <c r="G35" s="232"/>
      <c r="H35" s="232"/>
      <c r="I35" s="243"/>
      <c r="J35" s="234"/>
      <c r="K35" s="231"/>
      <c r="L35" s="233">
        <v>0</v>
      </c>
      <c r="M35" s="235">
        <f t="shared" si="1"/>
        <v>0</v>
      </c>
      <c r="N35" s="229"/>
      <c r="P35" s="223"/>
      <c r="Q35" s="223"/>
      <c r="R35" s="223"/>
      <c r="S35" s="223"/>
      <c r="T35" s="223"/>
      <c r="U35" s="223"/>
    </row>
    <row r="36" spans="1:21" ht="18">
      <c r="A36" s="237">
        <f>A32+1</f>
        <v>17</v>
      </c>
      <c r="B36" s="236" t="s">
        <v>284</v>
      </c>
      <c r="C36" s="232"/>
      <c r="D36" s="232">
        <v>1</v>
      </c>
      <c r="E36" s="232">
        <v>9.25</v>
      </c>
      <c r="F36" s="232">
        <v>1.25</v>
      </c>
      <c r="G36" s="232"/>
      <c r="H36" s="232"/>
      <c r="I36" s="243">
        <f>+PRODUCT(D36,E36,F36,G36,H36)</f>
        <v>11.5625</v>
      </c>
      <c r="J36" s="234"/>
      <c r="K36" s="231" t="s">
        <v>40</v>
      </c>
      <c r="L36" s="233">
        <v>1574</v>
      </c>
      <c r="M36" s="235">
        <f t="shared" si="1"/>
        <v>18199.375</v>
      </c>
      <c r="N36" s="229"/>
      <c r="P36" s="223"/>
      <c r="Q36" s="223"/>
      <c r="R36" s="223"/>
      <c r="S36" s="223"/>
      <c r="T36" s="223"/>
      <c r="U36" s="223"/>
    </row>
    <row r="37" spans="1:21" ht="18">
      <c r="A37" s="230"/>
      <c r="B37" s="244"/>
      <c r="C37" s="244"/>
      <c r="D37" s="244"/>
      <c r="E37" s="244"/>
      <c r="F37" s="244"/>
      <c r="G37" s="244"/>
      <c r="H37" s="244"/>
      <c r="I37" s="245"/>
      <c r="J37" s="246"/>
      <c r="K37" s="231"/>
      <c r="L37" s="233">
        <v>0</v>
      </c>
      <c r="M37" s="247">
        <f>SUM(M8:M36)</f>
        <v>1563507.8785250003</v>
      </c>
      <c r="N37" s="229"/>
      <c r="P37" s="223"/>
      <c r="Q37" s="223"/>
      <c r="R37" s="223"/>
      <c r="S37" s="223"/>
      <c r="T37" s="223"/>
      <c r="U37" s="223"/>
    </row>
    <row r="38" spans="1:21" ht="18">
      <c r="A38" s="423" t="s">
        <v>285</v>
      </c>
      <c r="B38" s="424"/>
      <c r="C38" s="424"/>
      <c r="D38" s="424"/>
      <c r="E38" s="424"/>
      <c r="F38" s="424"/>
      <c r="G38" s="424"/>
      <c r="H38" s="424"/>
      <c r="I38" s="424"/>
      <c r="J38" s="424"/>
      <c r="K38" s="425"/>
      <c r="L38" s="233">
        <v>0</v>
      </c>
      <c r="M38" s="388"/>
      <c r="N38" s="229"/>
      <c r="P38" s="223"/>
      <c r="Q38" s="223"/>
      <c r="R38" s="223"/>
      <c r="S38" s="223"/>
      <c r="T38" s="223"/>
      <c r="U38" s="223"/>
    </row>
    <row r="39" spans="1:21" ht="240.75" customHeight="1">
      <c r="A39" s="237"/>
      <c r="B39" s="236" t="s">
        <v>258</v>
      </c>
      <c r="C39" s="231"/>
      <c r="D39" s="231"/>
      <c r="E39" s="231"/>
      <c r="F39" s="231"/>
      <c r="G39" s="231"/>
      <c r="H39" s="231"/>
      <c r="I39" s="233"/>
      <c r="J39" s="234"/>
      <c r="K39" s="231"/>
      <c r="L39" s="233">
        <v>0</v>
      </c>
      <c r="M39" s="235"/>
      <c r="N39" s="229"/>
      <c r="P39" s="223"/>
      <c r="Q39" s="223"/>
      <c r="R39" s="223"/>
      <c r="S39" s="223"/>
      <c r="T39" s="223"/>
      <c r="U39" s="223"/>
    </row>
    <row r="40" spans="1:21" ht="18">
      <c r="A40" s="237">
        <v>1</v>
      </c>
      <c r="B40" s="238" t="s">
        <v>286</v>
      </c>
      <c r="C40" s="231"/>
      <c r="D40" s="231">
        <v>5</v>
      </c>
      <c r="E40" s="231"/>
      <c r="F40" s="231"/>
      <c r="G40" s="231">
        <v>4.5</v>
      </c>
      <c r="H40" s="231">
        <v>18.71</v>
      </c>
      <c r="I40" s="233">
        <f t="shared" ref="I40:I45" si="4">+PRODUCT(D40,E40,F40,G40,H40)</f>
        <v>420.97500000000002</v>
      </c>
      <c r="J40" s="234"/>
      <c r="K40" s="231" t="s">
        <v>260</v>
      </c>
      <c r="L40" s="233">
        <v>107</v>
      </c>
      <c r="M40" s="235">
        <f t="shared" ref="M40:M46" si="5">L40*I40</f>
        <v>45044.325000000004</v>
      </c>
      <c r="N40" s="229"/>
      <c r="P40" s="223"/>
      <c r="Q40" s="223"/>
      <c r="R40" s="223"/>
      <c r="S40" s="223"/>
      <c r="T40" s="223"/>
      <c r="U40" s="223"/>
    </row>
    <row r="41" spans="1:21" ht="18">
      <c r="A41" s="237">
        <f>A40+1</f>
        <v>2</v>
      </c>
      <c r="B41" s="238" t="s">
        <v>261</v>
      </c>
      <c r="C41" s="231"/>
      <c r="D41" s="231">
        <f>(D40)*2</f>
        <v>10</v>
      </c>
      <c r="E41" s="231">
        <v>0.3</v>
      </c>
      <c r="F41" s="231">
        <v>0.4</v>
      </c>
      <c r="G41" s="231">
        <v>1.2E-2</v>
      </c>
      <c r="H41" s="231">
        <v>7850</v>
      </c>
      <c r="I41" s="233">
        <f t="shared" si="4"/>
        <v>113.04000000000002</v>
      </c>
      <c r="J41" s="234"/>
      <c r="K41" s="231" t="s">
        <v>260</v>
      </c>
      <c r="L41" s="233">
        <v>107</v>
      </c>
      <c r="M41" s="235">
        <f t="shared" si="5"/>
        <v>12095.280000000002</v>
      </c>
      <c r="N41" s="229"/>
      <c r="P41" s="223"/>
      <c r="Q41" s="223"/>
      <c r="R41" s="223"/>
      <c r="S41" s="223"/>
      <c r="T41" s="223"/>
      <c r="U41" s="223"/>
    </row>
    <row r="42" spans="1:21" ht="18">
      <c r="A42" s="237">
        <f t="shared" ref="A42:A49" si="6">A41+1</f>
        <v>3</v>
      </c>
      <c r="B42" s="238" t="s">
        <v>287</v>
      </c>
      <c r="C42" s="231"/>
      <c r="D42" s="231">
        <v>1</v>
      </c>
      <c r="E42" s="231">
        <v>27</v>
      </c>
      <c r="F42" s="231"/>
      <c r="G42" s="231"/>
      <c r="H42" s="231">
        <v>15.92</v>
      </c>
      <c r="I42" s="233">
        <f t="shared" si="4"/>
        <v>429.84</v>
      </c>
      <c r="J42" s="234"/>
      <c r="K42" s="231" t="s">
        <v>260</v>
      </c>
      <c r="L42" s="233">
        <v>107</v>
      </c>
      <c r="M42" s="235">
        <f t="shared" si="5"/>
        <v>45992.88</v>
      </c>
      <c r="N42" s="229"/>
      <c r="P42" s="223"/>
      <c r="Q42" s="223"/>
      <c r="R42" s="223"/>
      <c r="S42" s="223"/>
      <c r="T42" s="223"/>
      <c r="U42" s="223"/>
    </row>
    <row r="43" spans="1:21" ht="18">
      <c r="A43" s="237">
        <f t="shared" si="6"/>
        <v>4</v>
      </c>
      <c r="B43" s="238" t="s">
        <v>263</v>
      </c>
      <c r="C43" s="231"/>
      <c r="D43" s="231">
        <v>1</v>
      </c>
      <c r="E43" s="231">
        <v>18</v>
      </c>
      <c r="F43" s="231"/>
      <c r="G43" s="231"/>
      <c r="H43" s="231">
        <v>3.73</v>
      </c>
      <c r="I43" s="233">
        <f t="shared" si="4"/>
        <v>67.14</v>
      </c>
      <c r="J43" s="234"/>
      <c r="K43" s="231" t="s">
        <v>260</v>
      </c>
      <c r="L43" s="233">
        <v>107</v>
      </c>
      <c r="M43" s="235">
        <f t="shared" si="5"/>
        <v>7183.9800000000005</v>
      </c>
      <c r="N43" s="229"/>
      <c r="P43" s="223"/>
      <c r="Q43" s="223"/>
      <c r="R43" s="223"/>
      <c r="S43" s="223"/>
      <c r="T43" s="223"/>
      <c r="U43" s="223"/>
    </row>
    <row r="44" spans="1:21" ht="18">
      <c r="A44" s="237">
        <f t="shared" si="6"/>
        <v>5</v>
      </c>
      <c r="B44" s="238" t="s">
        <v>288</v>
      </c>
      <c r="C44" s="231"/>
      <c r="D44" s="231">
        <v>1</v>
      </c>
      <c r="E44" s="231">
        <v>38.5</v>
      </c>
      <c r="F44" s="231"/>
      <c r="G44" s="231"/>
      <c r="H44" s="231">
        <v>15.92</v>
      </c>
      <c r="I44" s="233">
        <f t="shared" si="4"/>
        <v>612.91999999999996</v>
      </c>
      <c r="J44" s="234"/>
      <c r="K44" s="231" t="s">
        <v>260</v>
      </c>
      <c r="L44" s="233">
        <v>107</v>
      </c>
      <c r="M44" s="235">
        <f t="shared" si="5"/>
        <v>65582.44</v>
      </c>
      <c r="N44" s="229"/>
      <c r="P44" s="223"/>
      <c r="Q44" s="223"/>
      <c r="R44" s="223"/>
      <c r="S44" s="223"/>
      <c r="T44" s="223"/>
      <c r="U44" s="223"/>
    </row>
    <row r="45" spans="1:21" ht="18">
      <c r="A45" s="237">
        <f t="shared" si="6"/>
        <v>6</v>
      </c>
      <c r="B45" s="238" t="s">
        <v>265</v>
      </c>
      <c r="C45" s="231"/>
      <c r="D45" s="231">
        <v>1</v>
      </c>
      <c r="E45" s="231">
        <v>42</v>
      </c>
      <c r="F45" s="231"/>
      <c r="G45" s="231"/>
      <c r="H45" s="231">
        <v>6.71</v>
      </c>
      <c r="I45" s="233">
        <f t="shared" si="4"/>
        <v>281.82</v>
      </c>
      <c r="J45" s="234"/>
      <c r="K45" s="231" t="s">
        <v>260</v>
      </c>
      <c r="L45" s="233">
        <v>107</v>
      </c>
      <c r="M45" s="235">
        <f t="shared" si="5"/>
        <v>30154.739999999998</v>
      </c>
      <c r="N45" s="229"/>
      <c r="P45" s="223"/>
      <c r="Q45" s="223"/>
      <c r="R45" s="223"/>
      <c r="S45" s="223"/>
      <c r="T45" s="223"/>
      <c r="U45" s="223"/>
    </row>
    <row r="46" spans="1:21" ht="18">
      <c r="A46" s="237">
        <f t="shared" si="6"/>
        <v>7</v>
      </c>
      <c r="B46" s="238" t="s">
        <v>266</v>
      </c>
      <c r="C46" s="231"/>
      <c r="D46" s="231"/>
      <c r="E46" s="231"/>
      <c r="F46" s="231"/>
      <c r="G46" s="231"/>
      <c r="H46" s="231"/>
      <c r="I46" s="233">
        <f>+(SUM(I40:I45)*0.05)</f>
        <v>96.286749999999998</v>
      </c>
      <c r="J46" s="234"/>
      <c r="K46" s="231" t="s">
        <v>260</v>
      </c>
      <c r="L46" s="233">
        <v>107</v>
      </c>
      <c r="M46" s="235">
        <f t="shared" si="5"/>
        <v>10302.68225</v>
      </c>
      <c r="N46" s="229"/>
      <c r="P46" s="223"/>
      <c r="Q46" s="223"/>
      <c r="R46" s="223"/>
      <c r="S46" s="223"/>
      <c r="T46" s="223"/>
      <c r="U46" s="223"/>
    </row>
    <row r="47" spans="1:21" ht="320.25" customHeight="1">
      <c r="A47" s="237"/>
      <c r="B47" s="239" t="s">
        <v>267</v>
      </c>
      <c r="C47" s="231"/>
      <c r="D47" s="231"/>
      <c r="E47" s="231"/>
      <c r="F47" s="231"/>
      <c r="G47" s="231"/>
      <c r="H47" s="231"/>
      <c r="I47" s="233"/>
      <c r="J47" s="234"/>
      <c r="K47" s="231"/>
      <c r="L47" s="233">
        <v>0</v>
      </c>
      <c r="M47" s="235"/>
      <c r="N47" s="229"/>
      <c r="P47" s="223"/>
      <c r="Q47" s="223"/>
      <c r="R47" s="223"/>
      <c r="S47" s="223"/>
      <c r="T47" s="223"/>
      <c r="U47" s="223"/>
    </row>
    <row r="48" spans="1:21" ht="18">
      <c r="A48" s="237">
        <f>A46+1</f>
        <v>8</v>
      </c>
      <c r="B48" s="238" t="s">
        <v>268</v>
      </c>
      <c r="C48" s="231"/>
      <c r="D48" s="231">
        <f>D40</f>
        <v>5</v>
      </c>
      <c r="E48" s="231">
        <v>0.55000000000000004</v>
      </c>
      <c r="F48" s="231">
        <v>0.65</v>
      </c>
      <c r="G48" s="231">
        <v>1.05</v>
      </c>
      <c r="H48" s="231"/>
      <c r="I48" s="233">
        <f>+PRODUCT(D48,E48,F48,G48,H48)</f>
        <v>1.8768750000000001</v>
      </c>
      <c r="J48" s="234"/>
      <c r="K48" s="231" t="s">
        <v>15</v>
      </c>
      <c r="L48" s="233">
        <v>14355</v>
      </c>
      <c r="M48" s="235">
        <f t="shared" ref="M48:M49" si="7">L48*I48</f>
        <v>26942.540625000001</v>
      </c>
      <c r="N48" s="229"/>
      <c r="P48" s="223"/>
      <c r="Q48" s="223"/>
      <c r="R48" s="223"/>
      <c r="S48" s="223"/>
      <c r="T48" s="223"/>
      <c r="U48" s="223"/>
    </row>
    <row r="49" spans="1:21" ht="18">
      <c r="A49" s="237">
        <f t="shared" si="6"/>
        <v>9</v>
      </c>
      <c r="B49" s="238" t="s">
        <v>269</v>
      </c>
      <c r="C49" s="231"/>
      <c r="D49" s="231">
        <f>D48</f>
        <v>5</v>
      </c>
      <c r="E49" s="231">
        <v>0.45</v>
      </c>
      <c r="F49" s="231">
        <v>0.55000000000000004</v>
      </c>
      <c r="G49" s="231">
        <v>1</v>
      </c>
      <c r="H49" s="231"/>
      <c r="I49" s="233">
        <f>+PRODUCT(D49,E49,F49,G49,H49)</f>
        <v>1.2375</v>
      </c>
      <c r="J49" s="234"/>
      <c r="K49" s="231" t="s">
        <v>15</v>
      </c>
      <c r="L49" s="233">
        <v>14355</v>
      </c>
      <c r="M49" s="235">
        <f t="shared" si="7"/>
        <v>17764.3125</v>
      </c>
      <c r="N49" s="229"/>
      <c r="P49" s="223"/>
      <c r="Q49" s="223"/>
      <c r="R49" s="223"/>
      <c r="S49" s="223"/>
      <c r="T49" s="223"/>
      <c r="U49" s="223"/>
    </row>
    <row r="50" spans="1:21" ht="187.5" customHeight="1">
      <c r="A50" s="237"/>
      <c r="B50" s="236" t="s">
        <v>270</v>
      </c>
      <c r="C50" s="231"/>
      <c r="D50" s="231"/>
      <c r="E50" s="231"/>
      <c r="F50" s="231"/>
      <c r="G50" s="231"/>
      <c r="H50" s="231"/>
      <c r="I50" s="233"/>
      <c r="J50" s="234"/>
      <c r="K50" s="231"/>
      <c r="L50" s="233">
        <v>0</v>
      </c>
      <c r="M50" s="235"/>
      <c r="N50" s="229"/>
      <c r="P50" s="223"/>
      <c r="Q50" s="223"/>
      <c r="R50" s="223"/>
      <c r="S50" s="223"/>
      <c r="T50" s="223"/>
      <c r="U50" s="223"/>
    </row>
    <row r="51" spans="1:21" ht="18">
      <c r="A51" s="237">
        <f>A49+1</f>
        <v>10</v>
      </c>
      <c r="B51" s="238" t="s">
        <v>271</v>
      </c>
      <c r="C51" s="231"/>
      <c r="D51" s="231"/>
      <c r="E51" s="231"/>
      <c r="F51" s="231"/>
      <c r="G51" s="231"/>
      <c r="H51" s="231"/>
      <c r="I51" s="233">
        <f>+(I48+I49)*75</f>
        <v>233.578125</v>
      </c>
      <c r="J51" s="234"/>
      <c r="K51" s="231" t="s">
        <v>260</v>
      </c>
      <c r="L51" s="233">
        <v>107</v>
      </c>
      <c r="M51" s="235">
        <f t="shared" ref="M51" si="8">L51*I51</f>
        <v>24992.859375</v>
      </c>
      <c r="N51" s="229"/>
      <c r="P51" s="223"/>
      <c r="Q51" s="223"/>
      <c r="R51" s="223"/>
      <c r="S51" s="223"/>
      <c r="T51" s="223"/>
      <c r="U51" s="223"/>
    </row>
    <row r="52" spans="1:21" ht="262.5" customHeight="1">
      <c r="A52" s="237"/>
      <c r="B52" s="236" t="s">
        <v>272</v>
      </c>
      <c r="C52" s="231"/>
      <c r="D52" s="231"/>
      <c r="E52" s="240"/>
      <c r="F52" s="241"/>
      <c r="G52" s="231"/>
      <c r="H52" s="231"/>
      <c r="I52" s="233"/>
      <c r="J52" s="234"/>
      <c r="K52" s="231"/>
      <c r="L52" s="233">
        <v>0</v>
      </c>
      <c r="M52" s="235"/>
      <c r="N52" s="229"/>
      <c r="P52" s="223"/>
      <c r="Q52" s="223"/>
      <c r="R52" s="223"/>
      <c r="S52" s="223"/>
      <c r="T52" s="223"/>
      <c r="U52" s="223"/>
    </row>
    <row r="53" spans="1:21" ht="18">
      <c r="A53" s="237">
        <f>A51+1</f>
        <v>11</v>
      </c>
      <c r="B53" s="238" t="s">
        <v>273</v>
      </c>
      <c r="C53" s="231"/>
      <c r="D53" s="231">
        <v>1</v>
      </c>
      <c r="E53" s="415">
        <v>33.64</v>
      </c>
      <c r="F53" s="416"/>
      <c r="G53" s="231"/>
      <c r="H53" s="231"/>
      <c r="I53" s="233">
        <f>E53*D53</f>
        <v>33.64</v>
      </c>
      <c r="J53" s="234"/>
      <c r="K53" s="231" t="s">
        <v>40</v>
      </c>
      <c r="L53" s="233">
        <v>1127</v>
      </c>
      <c r="M53" s="235">
        <f t="shared" ref="M53" si="9">L53*I53</f>
        <v>37912.28</v>
      </c>
      <c r="N53" s="229"/>
      <c r="P53" s="223"/>
      <c r="Q53" s="223"/>
      <c r="R53" s="223"/>
      <c r="S53" s="223"/>
      <c r="T53" s="223"/>
      <c r="U53" s="223"/>
    </row>
    <row r="54" spans="1:21" ht="180" customHeight="1">
      <c r="A54" s="237"/>
      <c r="B54" s="236" t="s">
        <v>277</v>
      </c>
      <c r="C54" s="231"/>
      <c r="D54" s="231"/>
      <c r="E54" s="240"/>
      <c r="F54" s="241"/>
      <c r="G54" s="231"/>
      <c r="H54" s="231"/>
      <c r="I54" s="233"/>
      <c r="J54" s="234"/>
      <c r="K54" s="231"/>
      <c r="L54" s="233">
        <v>0</v>
      </c>
      <c r="M54" s="235"/>
      <c r="N54" s="229"/>
      <c r="P54" s="223"/>
      <c r="Q54" s="223"/>
      <c r="R54" s="223"/>
      <c r="S54" s="223"/>
      <c r="T54" s="223"/>
      <c r="U54" s="223"/>
    </row>
    <row r="55" spans="1:21" ht="18">
      <c r="A55" s="237">
        <f>A53+1</f>
        <v>12</v>
      </c>
      <c r="B55" s="236" t="s">
        <v>278</v>
      </c>
      <c r="C55" s="232"/>
      <c r="D55" s="232"/>
      <c r="E55" s="232"/>
      <c r="F55" s="232"/>
      <c r="G55" s="232"/>
      <c r="H55" s="232"/>
      <c r="I55" s="233"/>
      <c r="J55" s="234"/>
      <c r="K55" s="231"/>
      <c r="L55" s="233">
        <v>0</v>
      </c>
      <c r="M55" s="235"/>
      <c r="N55" s="229"/>
      <c r="P55" s="223"/>
      <c r="Q55" s="223"/>
      <c r="R55" s="223"/>
      <c r="S55" s="223"/>
      <c r="T55" s="223"/>
      <c r="U55" s="223"/>
    </row>
    <row r="56" spans="1:21" ht="18">
      <c r="A56" s="237"/>
      <c r="B56" s="236" t="s">
        <v>280</v>
      </c>
      <c r="C56" s="232"/>
      <c r="D56" s="232">
        <f>D48</f>
        <v>5</v>
      </c>
      <c r="E56" s="232">
        <f>E48+0.3</f>
        <v>0.85000000000000009</v>
      </c>
      <c r="F56" s="232">
        <f>F48+0.3</f>
        <v>0.95</v>
      </c>
      <c r="G56" s="232">
        <v>0.15</v>
      </c>
      <c r="H56" s="232"/>
      <c r="I56" s="243">
        <f t="shared" ref="I56" si="10">+PRODUCT(D56,E56,F56,G56,H56)</f>
        <v>0.60562499999999997</v>
      </c>
      <c r="J56" s="234"/>
      <c r="K56" s="231" t="s">
        <v>15</v>
      </c>
      <c r="L56" s="233">
        <v>10329</v>
      </c>
      <c r="M56" s="235">
        <f t="shared" ref="M56" si="11">L56*I56</f>
        <v>6255.5006249999997</v>
      </c>
      <c r="N56" s="229"/>
      <c r="P56" s="223"/>
      <c r="Q56" s="223"/>
      <c r="R56" s="223"/>
      <c r="S56" s="223"/>
      <c r="T56" s="223"/>
      <c r="U56" s="223"/>
    </row>
    <row r="57" spans="1:21" ht="262.5" customHeight="1">
      <c r="A57" s="237"/>
      <c r="B57" s="236" t="s">
        <v>283</v>
      </c>
      <c r="C57" s="232"/>
      <c r="D57" s="232"/>
      <c r="E57" s="232"/>
      <c r="F57" s="232"/>
      <c r="G57" s="232"/>
      <c r="H57" s="232"/>
      <c r="I57" s="243"/>
      <c r="J57" s="234"/>
      <c r="K57" s="231"/>
      <c r="L57" s="233">
        <v>0</v>
      </c>
      <c r="M57" s="235"/>
      <c r="N57" s="229"/>
      <c r="P57" s="223"/>
      <c r="Q57" s="223"/>
      <c r="R57" s="223"/>
      <c r="S57" s="223"/>
      <c r="T57" s="223"/>
      <c r="U57" s="223"/>
    </row>
    <row r="58" spans="1:21" ht="18">
      <c r="A58" s="237">
        <f>A55+1</f>
        <v>13</v>
      </c>
      <c r="B58" s="236" t="s">
        <v>284</v>
      </c>
      <c r="C58" s="232"/>
      <c r="D58" s="232">
        <v>1</v>
      </c>
      <c r="E58" s="232">
        <v>9.25</v>
      </c>
      <c r="F58" s="232">
        <v>1.25</v>
      </c>
      <c r="G58" s="232"/>
      <c r="H58" s="232"/>
      <c r="I58" s="243">
        <f>+PRODUCT(D58,E58,F58,G58,H58)</f>
        <v>11.5625</v>
      </c>
      <c r="J58" s="234"/>
      <c r="K58" s="231" t="s">
        <v>40</v>
      </c>
      <c r="L58" s="233">
        <v>1574</v>
      </c>
      <c r="M58" s="235">
        <f t="shared" ref="M58" si="12">L58*I58</f>
        <v>18199.375</v>
      </c>
      <c r="N58" s="229"/>
      <c r="P58" s="223"/>
      <c r="Q58" s="223"/>
      <c r="R58" s="223"/>
      <c r="S58" s="223"/>
      <c r="T58" s="223"/>
      <c r="U58" s="223"/>
    </row>
    <row r="59" spans="1:21" ht="18">
      <c r="A59" s="230"/>
      <c r="B59" s="244"/>
      <c r="C59" s="244"/>
      <c r="D59" s="244"/>
      <c r="E59" s="244"/>
      <c r="F59" s="244"/>
      <c r="G59" s="244"/>
      <c r="H59" s="244"/>
      <c r="I59" s="245"/>
      <c r="J59" s="246"/>
      <c r="K59" s="231"/>
      <c r="L59" s="233">
        <v>0</v>
      </c>
      <c r="M59" s="247">
        <f>SUM(M40:M58)</f>
        <v>348423.19537500001</v>
      </c>
      <c r="N59" s="229"/>
      <c r="P59" s="223"/>
      <c r="Q59" s="223"/>
      <c r="R59" s="223"/>
      <c r="S59" s="223"/>
      <c r="T59" s="223"/>
      <c r="U59" s="223"/>
    </row>
    <row r="60" spans="1:21" ht="18">
      <c r="A60" s="385" t="s">
        <v>289</v>
      </c>
      <c r="B60" s="386"/>
      <c r="C60" s="386"/>
      <c r="D60" s="386"/>
      <c r="E60" s="386"/>
      <c r="F60" s="386"/>
      <c r="G60" s="386"/>
      <c r="H60" s="386"/>
      <c r="I60" s="386"/>
      <c r="J60" s="386"/>
      <c r="K60" s="386"/>
      <c r="L60" s="233">
        <v>0</v>
      </c>
      <c r="M60" s="387"/>
      <c r="N60" s="229"/>
      <c r="P60" s="223"/>
      <c r="Q60" s="223"/>
      <c r="R60" s="223"/>
      <c r="S60" s="223"/>
      <c r="T60" s="223"/>
      <c r="U60" s="223"/>
    </row>
    <row r="61" spans="1:21" ht="18">
      <c r="A61" s="230" t="s">
        <v>248</v>
      </c>
      <c r="B61" s="244" t="s">
        <v>249</v>
      </c>
      <c r="C61" s="244"/>
      <c r="D61" s="244"/>
      <c r="E61" s="244"/>
      <c r="F61" s="244"/>
      <c r="G61" s="244"/>
      <c r="H61" s="244"/>
      <c r="I61" s="245"/>
      <c r="J61" s="246"/>
      <c r="K61" s="231" t="s">
        <v>256</v>
      </c>
      <c r="L61" s="233">
        <v>0</v>
      </c>
      <c r="M61" s="235"/>
      <c r="N61" s="249"/>
      <c r="P61" s="223"/>
      <c r="Q61" s="223"/>
      <c r="R61" s="223"/>
      <c r="S61" s="223"/>
      <c r="T61" s="223"/>
      <c r="U61" s="223"/>
    </row>
    <row r="62" spans="1:21" ht="244.5" customHeight="1">
      <c r="A62" s="230"/>
      <c r="B62" s="236" t="s">
        <v>258</v>
      </c>
      <c r="C62" s="244"/>
      <c r="D62" s="244"/>
      <c r="E62" s="244"/>
      <c r="F62" s="244"/>
      <c r="G62" s="244"/>
      <c r="H62" s="244"/>
      <c r="I62" s="245"/>
      <c r="J62" s="246"/>
      <c r="K62" s="231"/>
      <c r="L62" s="233">
        <v>0</v>
      </c>
      <c r="M62" s="235"/>
      <c r="N62" s="249"/>
      <c r="P62" s="223"/>
      <c r="Q62" s="223"/>
      <c r="R62" s="223"/>
      <c r="S62" s="223"/>
      <c r="T62" s="223"/>
      <c r="U62" s="223"/>
    </row>
    <row r="63" spans="1:21" ht="18">
      <c r="A63" s="237">
        <v>1</v>
      </c>
      <c r="B63" s="238" t="s">
        <v>286</v>
      </c>
      <c r="C63" s="231"/>
      <c r="D63" s="231">
        <v>4</v>
      </c>
      <c r="E63" s="231"/>
      <c r="F63" s="231"/>
      <c r="G63" s="231">
        <v>3.6</v>
      </c>
      <c r="H63" s="231">
        <v>18.71</v>
      </c>
      <c r="I63" s="233">
        <f t="shared" ref="I63:I69" si="13">+PRODUCT(D63,E63,F63,G63,H63)</f>
        <v>269.42400000000004</v>
      </c>
      <c r="J63" s="234"/>
      <c r="K63" s="231" t="s">
        <v>260</v>
      </c>
      <c r="L63" s="233">
        <v>107</v>
      </c>
      <c r="M63" s="235">
        <f t="shared" ref="M63:M70" si="14">L63*I63</f>
        <v>28828.368000000002</v>
      </c>
      <c r="N63" s="229"/>
      <c r="P63" s="223"/>
      <c r="Q63" s="223"/>
      <c r="R63" s="223"/>
      <c r="S63" s="223"/>
      <c r="T63" s="223"/>
      <c r="U63" s="223"/>
    </row>
    <row r="64" spans="1:21" ht="18">
      <c r="A64" s="237">
        <f>A63+1</f>
        <v>2</v>
      </c>
      <c r="B64" s="238" t="s">
        <v>286</v>
      </c>
      <c r="C64" s="231"/>
      <c r="D64" s="231">
        <v>9</v>
      </c>
      <c r="E64" s="231"/>
      <c r="F64" s="231"/>
      <c r="G64" s="231">
        <v>4.5</v>
      </c>
      <c r="H64" s="231">
        <v>18.71</v>
      </c>
      <c r="I64" s="233">
        <f t="shared" si="13"/>
        <v>757.755</v>
      </c>
      <c r="J64" s="234"/>
      <c r="K64" s="231" t="s">
        <v>260</v>
      </c>
      <c r="L64" s="233">
        <v>107</v>
      </c>
      <c r="M64" s="235">
        <f t="shared" si="14"/>
        <v>81079.785000000003</v>
      </c>
      <c r="N64" s="229"/>
      <c r="P64" s="223"/>
      <c r="Q64" s="223"/>
      <c r="R64" s="223"/>
      <c r="S64" s="223"/>
      <c r="T64" s="223"/>
      <c r="U64" s="223"/>
    </row>
    <row r="65" spans="1:21" ht="18">
      <c r="A65" s="237">
        <f>A64+1</f>
        <v>3</v>
      </c>
      <c r="B65" s="238" t="s">
        <v>261</v>
      </c>
      <c r="C65" s="231"/>
      <c r="D65" s="231">
        <f>(D64+D63)*2</f>
        <v>26</v>
      </c>
      <c r="E65" s="231">
        <v>0.3</v>
      </c>
      <c r="F65" s="231">
        <v>0.4</v>
      </c>
      <c r="G65" s="231">
        <v>1.2E-2</v>
      </c>
      <c r="H65" s="231">
        <v>7850</v>
      </c>
      <c r="I65" s="233">
        <f t="shared" si="13"/>
        <v>293.904</v>
      </c>
      <c r="J65" s="234"/>
      <c r="K65" s="231" t="s">
        <v>260</v>
      </c>
      <c r="L65" s="233">
        <v>107</v>
      </c>
      <c r="M65" s="235">
        <f t="shared" si="14"/>
        <v>31447.727999999999</v>
      </c>
      <c r="N65" s="229"/>
      <c r="P65" s="223"/>
      <c r="Q65" s="223"/>
      <c r="R65" s="223"/>
      <c r="S65" s="223"/>
      <c r="T65" s="223"/>
      <c r="U65" s="223"/>
    </row>
    <row r="66" spans="1:21" ht="18">
      <c r="A66" s="237">
        <f t="shared" ref="A66:A73" si="15">A65+1</f>
        <v>4</v>
      </c>
      <c r="B66" s="238" t="s">
        <v>287</v>
      </c>
      <c r="C66" s="231"/>
      <c r="D66" s="231">
        <v>1</v>
      </c>
      <c r="E66" s="231">
        <f>44+17</f>
        <v>61</v>
      </c>
      <c r="F66" s="231"/>
      <c r="G66" s="231"/>
      <c r="H66" s="231">
        <v>15.92</v>
      </c>
      <c r="I66" s="233">
        <f t="shared" si="13"/>
        <v>971.12</v>
      </c>
      <c r="J66" s="234"/>
      <c r="K66" s="231" t="s">
        <v>260</v>
      </c>
      <c r="L66" s="233">
        <v>107</v>
      </c>
      <c r="M66" s="235">
        <f t="shared" si="14"/>
        <v>103909.84</v>
      </c>
      <c r="N66" s="229"/>
      <c r="P66" s="223"/>
      <c r="Q66" s="223"/>
      <c r="R66" s="223"/>
      <c r="S66" s="223"/>
      <c r="T66" s="223"/>
      <c r="U66" s="223"/>
    </row>
    <row r="67" spans="1:21" ht="18">
      <c r="A67" s="237">
        <f t="shared" si="15"/>
        <v>5</v>
      </c>
      <c r="B67" s="238" t="s">
        <v>263</v>
      </c>
      <c r="C67" s="231"/>
      <c r="D67" s="231">
        <v>1</v>
      </c>
      <c r="E67" s="231">
        <v>43</v>
      </c>
      <c r="F67" s="231"/>
      <c r="G67" s="231"/>
      <c r="H67" s="231">
        <v>3.73</v>
      </c>
      <c r="I67" s="233">
        <f t="shared" si="13"/>
        <v>160.38999999999999</v>
      </c>
      <c r="J67" s="234"/>
      <c r="K67" s="231" t="s">
        <v>260</v>
      </c>
      <c r="L67" s="233">
        <v>107</v>
      </c>
      <c r="M67" s="235">
        <f t="shared" si="14"/>
        <v>17161.73</v>
      </c>
      <c r="N67" s="229"/>
      <c r="P67" s="223"/>
      <c r="Q67" s="223"/>
      <c r="R67" s="223"/>
      <c r="S67" s="223"/>
      <c r="T67" s="223"/>
      <c r="U67" s="223"/>
    </row>
    <row r="68" spans="1:21" ht="18">
      <c r="A68" s="237">
        <f t="shared" si="15"/>
        <v>6</v>
      </c>
      <c r="B68" s="238" t="s">
        <v>288</v>
      </c>
      <c r="C68" s="231"/>
      <c r="D68" s="231">
        <v>1</v>
      </c>
      <c r="E68" s="231">
        <v>57.2</v>
      </c>
      <c r="F68" s="231"/>
      <c r="G68" s="231"/>
      <c r="H68" s="231">
        <v>15.92</v>
      </c>
      <c r="I68" s="233">
        <f t="shared" si="13"/>
        <v>910.62400000000002</v>
      </c>
      <c r="J68" s="234"/>
      <c r="K68" s="231" t="s">
        <v>260</v>
      </c>
      <c r="L68" s="233">
        <v>107</v>
      </c>
      <c r="M68" s="235">
        <f t="shared" si="14"/>
        <v>97436.767999999996</v>
      </c>
      <c r="N68" s="229"/>
      <c r="P68" s="223"/>
      <c r="Q68" s="223"/>
      <c r="R68" s="223"/>
      <c r="S68" s="223"/>
      <c r="T68" s="223"/>
      <c r="U68" s="223"/>
    </row>
    <row r="69" spans="1:21" ht="18">
      <c r="A69" s="237">
        <f t="shared" si="15"/>
        <v>7</v>
      </c>
      <c r="B69" s="238" t="s">
        <v>265</v>
      </c>
      <c r="C69" s="231"/>
      <c r="D69" s="231">
        <v>1</v>
      </c>
      <c r="E69" s="231">
        <v>36</v>
      </c>
      <c r="F69" s="231"/>
      <c r="G69" s="231"/>
      <c r="H69" s="231">
        <v>6.71</v>
      </c>
      <c r="I69" s="233">
        <f t="shared" si="13"/>
        <v>241.56</v>
      </c>
      <c r="J69" s="234"/>
      <c r="K69" s="231" t="s">
        <v>260</v>
      </c>
      <c r="L69" s="233">
        <v>107</v>
      </c>
      <c r="M69" s="235">
        <f t="shared" si="14"/>
        <v>25846.920000000002</v>
      </c>
      <c r="N69" s="229"/>
      <c r="P69" s="223"/>
      <c r="Q69" s="223"/>
      <c r="R69" s="223"/>
      <c r="S69" s="223"/>
      <c r="T69" s="223"/>
      <c r="U69" s="223"/>
    </row>
    <row r="70" spans="1:21" ht="18">
      <c r="A70" s="237">
        <f t="shared" si="15"/>
        <v>8</v>
      </c>
      <c r="B70" s="238" t="s">
        <v>266</v>
      </c>
      <c r="C70" s="231"/>
      <c r="D70" s="231"/>
      <c r="E70" s="231"/>
      <c r="F70" s="231"/>
      <c r="G70" s="231"/>
      <c r="H70" s="231"/>
      <c r="I70" s="233">
        <f>+(SUM(I63:I69)*0.05)</f>
        <v>180.23884999999999</v>
      </c>
      <c r="J70" s="234"/>
      <c r="K70" s="231" t="s">
        <v>260</v>
      </c>
      <c r="L70" s="233">
        <v>107</v>
      </c>
      <c r="M70" s="235">
        <f t="shared" si="14"/>
        <v>19285.556949999998</v>
      </c>
      <c r="N70" s="229"/>
      <c r="P70" s="223"/>
      <c r="Q70" s="223"/>
      <c r="R70" s="223"/>
      <c r="S70" s="223"/>
      <c r="T70" s="223"/>
      <c r="U70" s="223"/>
    </row>
    <row r="71" spans="1:21" ht="315.75" customHeight="1">
      <c r="A71" s="237"/>
      <c r="B71" s="239" t="s">
        <v>267</v>
      </c>
      <c r="C71" s="231"/>
      <c r="D71" s="231"/>
      <c r="E71" s="231"/>
      <c r="F71" s="231"/>
      <c r="G71" s="231"/>
      <c r="H71" s="231"/>
      <c r="I71" s="233"/>
      <c r="J71" s="234"/>
      <c r="K71" s="231"/>
      <c r="L71" s="233">
        <v>0</v>
      </c>
      <c r="M71" s="235"/>
      <c r="N71" s="229"/>
      <c r="P71" s="223"/>
      <c r="Q71" s="223"/>
      <c r="R71" s="223"/>
      <c r="S71" s="223"/>
      <c r="T71" s="223"/>
      <c r="U71" s="223"/>
    </row>
    <row r="72" spans="1:21" ht="18">
      <c r="A72" s="237">
        <f>A70+1</f>
        <v>9</v>
      </c>
      <c r="B72" s="238" t="s">
        <v>268</v>
      </c>
      <c r="C72" s="231"/>
      <c r="D72" s="231">
        <f>D64+D63</f>
        <v>13</v>
      </c>
      <c r="E72" s="231">
        <v>0.55000000000000004</v>
      </c>
      <c r="F72" s="231">
        <v>0.65</v>
      </c>
      <c r="G72" s="231">
        <v>1.05</v>
      </c>
      <c r="H72" s="231"/>
      <c r="I72" s="233">
        <f>+PRODUCT(D72,E72,F72,G72,H72)</f>
        <v>4.8798750000000002</v>
      </c>
      <c r="J72" s="234"/>
      <c r="K72" s="231" t="s">
        <v>15</v>
      </c>
      <c r="L72" s="233">
        <v>14355</v>
      </c>
      <c r="M72" s="235">
        <f t="shared" ref="M72:M73" si="16">L72*I72</f>
        <v>70050.605624999997</v>
      </c>
      <c r="N72" s="229"/>
      <c r="P72" s="223"/>
      <c r="Q72" s="223"/>
      <c r="R72" s="223"/>
      <c r="S72" s="223"/>
      <c r="T72" s="223"/>
      <c r="U72" s="223"/>
    </row>
    <row r="73" spans="1:21" ht="18">
      <c r="A73" s="237">
        <f t="shared" si="15"/>
        <v>10</v>
      </c>
      <c r="B73" s="238" t="s">
        <v>269</v>
      </c>
      <c r="C73" s="231"/>
      <c r="D73" s="231">
        <f>D72</f>
        <v>13</v>
      </c>
      <c r="E73" s="231">
        <v>0.45</v>
      </c>
      <c r="F73" s="231">
        <v>0.55000000000000004</v>
      </c>
      <c r="G73" s="231">
        <v>1</v>
      </c>
      <c r="H73" s="231"/>
      <c r="I73" s="233">
        <f>+PRODUCT(D73,E73,F73,G73,H73)</f>
        <v>3.2175000000000007</v>
      </c>
      <c r="J73" s="234"/>
      <c r="K73" s="231" t="s">
        <v>15</v>
      </c>
      <c r="L73" s="233">
        <v>14355</v>
      </c>
      <c r="M73" s="235">
        <f t="shared" si="16"/>
        <v>46187.212500000009</v>
      </c>
      <c r="N73" s="229"/>
      <c r="P73" s="223"/>
      <c r="Q73" s="223"/>
      <c r="R73" s="223"/>
      <c r="S73" s="223"/>
      <c r="T73" s="223"/>
      <c r="U73" s="223"/>
    </row>
    <row r="74" spans="1:21" ht="183.75" customHeight="1">
      <c r="A74" s="237"/>
      <c r="B74" s="236" t="s">
        <v>270</v>
      </c>
      <c r="C74" s="231"/>
      <c r="D74" s="231"/>
      <c r="E74" s="231"/>
      <c r="F74" s="231"/>
      <c r="G74" s="231"/>
      <c r="H74" s="231"/>
      <c r="I74" s="233"/>
      <c r="J74" s="234"/>
      <c r="K74" s="231"/>
      <c r="L74" s="233">
        <v>0</v>
      </c>
      <c r="M74" s="235"/>
      <c r="N74" s="229"/>
      <c r="P74" s="223"/>
      <c r="Q74" s="223"/>
      <c r="R74" s="223"/>
      <c r="S74" s="223"/>
      <c r="T74" s="223"/>
      <c r="U74" s="223"/>
    </row>
    <row r="75" spans="1:21" ht="18">
      <c r="A75" s="237">
        <f>A73+1</f>
        <v>11</v>
      </c>
      <c r="B75" s="238" t="s">
        <v>271</v>
      </c>
      <c r="C75" s="231"/>
      <c r="D75" s="231"/>
      <c r="E75" s="231"/>
      <c r="F75" s="231"/>
      <c r="G75" s="231"/>
      <c r="H75" s="231"/>
      <c r="I75" s="233">
        <f>+(I72+I73)*75</f>
        <v>607.30312500000014</v>
      </c>
      <c r="J75" s="234"/>
      <c r="K75" s="231" t="s">
        <v>260</v>
      </c>
      <c r="L75" s="233">
        <v>107</v>
      </c>
      <c r="M75" s="235">
        <f t="shared" ref="M75" si="17">L75*I75</f>
        <v>64981.434375000012</v>
      </c>
      <c r="N75" s="229"/>
      <c r="P75" s="223"/>
      <c r="Q75" s="223"/>
      <c r="R75" s="223"/>
      <c r="S75" s="223"/>
      <c r="T75" s="223"/>
      <c r="U75" s="223"/>
    </row>
    <row r="76" spans="1:21" ht="261.75" customHeight="1">
      <c r="A76" s="237"/>
      <c r="B76" s="236" t="s">
        <v>272</v>
      </c>
      <c r="C76" s="231"/>
      <c r="D76" s="231"/>
      <c r="E76" s="240"/>
      <c r="F76" s="241"/>
      <c r="G76" s="231"/>
      <c r="H76" s="231"/>
      <c r="I76" s="233"/>
      <c r="J76" s="234"/>
      <c r="K76" s="231"/>
      <c r="L76" s="233">
        <v>0</v>
      </c>
      <c r="M76" s="235"/>
      <c r="N76" s="229"/>
      <c r="P76" s="223"/>
      <c r="Q76" s="223"/>
      <c r="R76" s="223"/>
      <c r="S76" s="223"/>
      <c r="T76" s="223"/>
      <c r="U76" s="223"/>
    </row>
    <row r="77" spans="1:21" ht="18">
      <c r="A77" s="237">
        <f>A75+1</f>
        <v>12</v>
      </c>
      <c r="B77" s="238" t="s">
        <v>273</v>
      </c>
      <c r="C77" s="231"/>
      <c r="D77" s="231">
        <v>1</v>
      </c>
      <c r="E77" s="415">
        <f>55+50</f>
        <v>105</v>
      </c>
      <c r="F77" s="416"/>
      <c r="G77" s="231"/>
      <c r="H77" s="231"/>
      <c r="I77" s="233">
        <f>E77*D77</f>
        <v>105</v>
      </c>
      <c r="J77" s="234"/>
      <c r="K77" s="231" t="s">
        <v>40</v>
      </c>
      <c r="L77" s="233">
        <v>1127</v>
      </c>
      <c r="M77" s="235">
        <f t="shared" ref="M77" si="18">L77*I77</f>
        <v>118335</v>
      </c>
      <c r="N77" s="229"/>
      <c r="P77" s="223"/>
      <c r="Q77" s="223"/>
      <c r="R77" s="223"/>
      <c r="S77" s="223"/>
      <c r="T77" s="223"/>
      <c r="U77" s="223"/>
    </row>
    <row r="78" spans="1:21" ht="135" customHeight="1">
      <c r="A78" s="237"/>
      <c r="B78" s="236" t="s">
        <v>274</v>
      </c>
      <c r="C78" s="231"/>
      <c r="D78" s="231"/>
      <c r="E78" s="240"/>
      <c r="F78" s="241"/>
      <c r="G78" s="231"/>
      <c r="H78" s="231"/>
      <c r="I78" s="233"/>
      <c r="J78" s="234"/>
      <c r="K78" s="231"/>
      <c r="L78" s="233">
        <v>0</v>
      </c>
      <c r="M78" s="235"/>
      <c r="N78" s="229"/>
      <c r="P78" s="223"/>
      <c r="Q78" s="223"/>
      <c r="R78" s="223"/>
      <c r="S78" s="223"/>
      <c r="T78" s="223"/>
      <c r="U78" s="223"/>
    </row>
    <row r="79" spans="1:21" ht="18">
      <c r="A79" s="237">
        <f>A77+1</f>
        <v>13</v>
      </c>
      <c r="B79" s="236" t="s">
        <v>290</v>
      </c>
      <c r="C79" s="232"/>
      <c r="D79" s="232">
        <v>1</v>
      </c>
      <c r="E79" s="232">
        <v>30</v>
      </c>
      <c r="F79" s="232">
        <v>0.6</v>
      </c>
      <c r="G79" s="232">
        <v>0.3</v>
      </c>
      <c r="H79" s="232"/>
      <c r="I79" s="233">
        <f t="shared" ref="I79:I80" si="19">+PRODUCT(D79,E79,F79,G79,H79)</f>
        <v>5.3999999999999995</v>
      </c>
      <c r="J79" s="234"/>
      <c r="K79" s="231" t="s">
        <v>15</v>
      </c>
      <c r="L79" s="233">
        <v>10740</v>
      </c>
      <c r="M79" s="235">
        <f t="shared" ref="M79:M80" si="20">L79*I79</f>
        <v>57995.999999999993</v>
      </c>
      <c r="N79" s="229"/>
      <c r="P79" s="223"/>
      <c r="Q79" s="223"/>
      <c r="R79" s="223"/>
      <c r="S79" s="223"/>
      <c r="T79" s="223"/>
      <c r="U79" s="223"/>
    </row>
    <row r="80" spans="1:21" ht="18">
      <c r="A80" s="237"/>
      <c r="B80" s="236" t="s">
        <v>276</v>
      </c>
      <c r="C80" s="232"/>
      <c r="D80" s="232">
        <v>1</v>
      </c>
      <c r="E80" s="232">
        <f>E79</f>
        <v>30</v>
      </c>
      <c r="F80" s="232">
        <v>0.45</v>
      </c>
      <c r="G80" s="232">
        <v>0.8</v>
      </c>
      <c r="H80" s="232"/>
      <c r="I80" s="233">
        <f t="shared" si="19"/>
        <v>10.8</v>
      </c>
      <c r="J80" s="234"/>
      <c r="K80" s="231" t="s">
        <v>15</v>
      </c>
      <c r="L80" s="233">
        <v>10740</v>
      </c>
      <c r="M80" s="235">
        <f t="shared" si="20"/>
        <v>115992.00000000001</v>
      </c>
      <c r="N80" s="229"/>
      <c r="P80" s="223"/>
      <c r="Q80" s="223"/>
      <c r="R80" s="223"/>
      <c r="S80" s="223"/>
      <c r="T80" s="223"/>
      <c r="U80" s="223"/>
    </row>
    <row r="81" spans="1:21" ht="186.75" customHeight="1">
      <c r="A81" s="237"/>
      <c r="B81" s="236" t="s">
        <v>277</v>
      </c>
      <c r="C81" s="232"/>
      <c r="D81" s="232"/>
      <c r="E81" s="232"/>
      <c r="F81" s="232"/>
      <c r="G81" s="232"/>
      <c r="H81" s="232"/>
      <c r="I81" s="233"/>
      <c r="J81" s="234"/>
      <c r="K81" s="231"/>
      <c r="L81" s="233">
        <v>0</v>
      </c>
      <c r="M81" s="235"/>
      <c r="N81" s="229"/>
      <c r="P81" s="223"/>
      <c r="Q81" s="223"/>
      <c r="R81" s="223"/>
      <c r="S81" s="223"/>
      <c r="T81" s="223"/>
      <c r="U81" s="223"/>
    </row>
    <row r="82" spans="1:21" ht="18">
      <c r="A82" s="237">
        <f>A79+1</f>
        <v>14</v>
      </c>
      <c r="B82" s="236" t="s">
        <v>278</v>
      </c>
      <c r="C82" s="232"/>
      <c r="D82" s="232"/>
      <c r="E82" s="232"/>
      <c r="F82" s="232"/>
      <c r="G82" s="232"/>
      <c r="H82" s="232"/>
      <c r="I82" s="233"/>
      <c r="J82" s="234"/>
      <c r="K82" s="231"/>
      <c r="L82" s="233">
        <v>0</v>
      </c>
      <c r="M82" s="235"/>
      <c r="N82" s="229"/>
      <c r="P82" s="223"/>
      <c r="Q82" s="223"/>
      <c r="R82" s="223"/>
      <c r="S82" s="223"/>
      <c r="T82" s="223"/>
      <c r="U82" s="223"/>
    </row>
    <row r="83" spans="1:21" ht="18">
      <c r="A83" s="242"/>
      <c r="B83" s="236" t="s">
        <v>279</v>
      </c>
      <c r="C83" s="232"/>
      <c r="D83" s="232">
        <v>1</v>
      </c>
      <c r="E83" s="232">
        <f>E80</f>
        <v>30</v>
      </c>
      <c r="F83" s="232">
        <v>0.8</v>
      </c>
      <c r="G83" s="232">
        <v>0.15</v>
      </c>
      <c r="H83" s="232"/>
      <c r="I83" s="243">
        <f t="shared" ref="I83:I84" si="21">+PRODUCT(D83,E83,F83,G83,H83)</f>
        <v>3.5999999999999996</v>
      </c>
      <c r="J83" s="234"/>
      <c r="K83" s="231" t="s">
        <v>15</v>
      </c>
      <c r="L83" s="233">
        <v>9135</v>
      </c>
      <c r="M83" s="235">
        <f t="shared" ref="M83:M84" si="22">L83*I83</f>
        <v>32886</v>
      </c>
      <c r="N83" s="229"/>
      <c r="P83" s="223"/>
      <c r="Q83" s="223"/>
      <c r="R83" s="223"/>
      <c r="S83" s="223"/>
      <c r="T83" s="223"/>
      <c r="U83" s="223"/>
    </row>
    <row r="84" spans="1:21" ht="18">
      <c r="A84" s="237"/>
      <c r="B84" s="236" t="s">
        <v>280</v>
      </c>
      <c r="C84" s="232"/>
      <c r="D84" s="232">
        <f>D72</f>
        <v>13</v>
      </c>
      <c r="E84" s="232">
        <f>E72+0.3</f>
        <v>0.85000000000000009</v>
      </c>
      <c r="F84" s="232">
        <f>F72+0.3</f>
        <v>0.95</v>
      </c>
      <c r="G84" s="232">
        <v>0.15</v>
      </c>
      <c r="H84" s="232"/>
      <c r="I84" s="243">
        <f t="shared" si="21"/>
        <v>1.5746249999999999</v>
      </c>
      <c r="J84" s="234"/>
      <c r="K84" s="231" t="s">
        <v>15</v>
      </c>
      <c r="L84" s="233">
        <v>9135</v>
      </c>
      <c r="M84" s="235">
        <f t="shared" si="22"/>
        <v>14384.199375</v>
      </c>
      <c r="N84" s="229"/>
      <c r="P84" s="223"/>
      <c r="Q84" s="223"/>
      <c r="R84" s="223"/>
      <c r="S84" s="223"/>
      <c r="T84" s="223"/>
      <c r="U84" s="223"/>
    </row>
    <row r="85" spans="1:21" ht="189" customHeight="1">
      <c r="A85" s="237"/>
      <c r="B85" s="236" t="s">
        <v>281</v>
      </c>
      <c r="C85" s="232"/>
      <c r="D85" s="232"/>
      <c r="E85" s="232"/>
      <c r="F85" s="232"/>
      <c r="G85" s="232"/>
      <c r="H85" s="232"/>
      <c r="I85" s="243"/>
      <c r="J85" s="234"/>
      <c r="K85" s="231"/>
      <c r="L85" s="233">
        <v>0</v>
      </c>
      <c r="M85" s="235"/>
      <c r="N85" s="229"/>
      <c r="P85" s="223"/>
      <c r="Q85" s="223"/>
      <c r="R85" s="223"/>
      <c r="S85" s="223"/>
      <c r="T85" s="223"/>
      <c r="U85" s="223"/>
    </row>
    <row r="86" spans="1:21" ht="18">
      <c r="A86" s="237">
        <f>A82+1</f>
        <v>15</v>
      </c>
      <c r="B86" s="236" t="s">
        <v>282</v>
      </c>
      <c r="C86" s="232"/>
      <c r="D86" s="232"/>
      <c r="E86" s="232"/>
      <c r="F86" s="232"/>
      <c r="G86" s="232"/>
      <c r="H86" s="232"/>
      <c r="I86" s="243"/>
      <c r="J86" s="234"/>
      <c r="K86" s="231"/>
      <c r="L86" s="233">
        <v>0</v>
      </c>
      <c r="M86" s="235"/>
      <c r="N86" s="229"/>
      <c r="P86" s="223"/>
      <c r="Q86" s="223"/>
      <c r="R86" s="223"/>
      <c r="S86" s="223"/>
      <c r="T86" s="223"/>
      <c r="U86" s="223"/>
    </row>
    <row r="87" spans="1:21" ht="18">
      <c r="A87" s="237"/>
      <c r="B87" s="236" t="s">
        <v>279</v>
      </c>
      <c r="C87" s="232"/>
      <c r="D87" s="232">
        <v>1</v>
      </c>
      <c r="E87" s="232">
        <f>E83</f>
        <v>30</v>
      </c>
      <c r="F87" s="232">
        <v>0.6</v>
      </c>
      <c r="G87" s="232">
        <v>1</v>
      </c>
      <c r="H87" s="232"/>
      <c r="I87" s="243">
        <f t="shared" ref="I87:I88" si="23">+PRODUCT(D87,E87,F87,G87,H87)</f>
        <v>18</v>
      </c>
      <c r="J87" s="234"/>
      <c r="K87" s="231" t="s">
        <v>15</v>
      </c>
      <c r="L87" s="233">
        <v>1730</v>
      </c>
      <c r="M87" s="235">
        <f t="shared" ref="M87:M88" si="24">L87*I87</f>
        <v>31140</v>
      </c>
      <c r="N87" s="229"/>
      <c r="P87" s="223"/>
      <c r="Q87" s="223"/>
      <c r="R87" s="223"/>
      <c r="S87" s="223"/>
      <c r="T87" s="223"/>
      <c r="U87" s="223"/>
    </row>
    <row r="88" spans="1:21" ht="18">
      <c r="A88" s="237"/>
      <c r="B88" s="236" t="s">
        <v>280</v>
      </c>
      <c r="C88" s="232"/>
      <c r="D88" s="232">
        <f>D73</f>
        <v>13</v>
      </c>
      <c r="E88" s="232">
        <f>E73</f>
        <v>0.45</v>
      </c>
      <c r="F88" s="232">
        <f>F73</f>
        <v>0.55000000000000004</v>
      </c>
      <c r="G88" s="232">
        <f>G73</f>
        <v>1</v>
      </c>
      <c r="H88" s="232"/>
      <c r="I88" s="243">
        <f t="shared" si="23"/>
        <v>3.2175000000000007</v>
      </c>
      <c r="J88" s="234"/>
      <c r="K88" s="231" t="s">
        <v>15</v>
      </c>
      <c r="L88" s="233">
        <v>1730</v>
      </c>
      <c r="M88" s="235">
        <f t="shared" si="24"/>
        <v>5566.2750000000015</v>
      </c>
      <c r="N88" s="229"/>
      <c r="P88" s="223"/>
      <c r="Q88" s="223"/>
      <c r="R88" s="223"/>
      <c r="S88" s="223"/>
      <c r="T88" s="223"/>
      <c r="U88" s="223"/>
    </row>
    <row r="89" spans="1:21" ht="264" customHeight="1">
      <c r="A89" s="237"/>
      <c r="B89" s="236" t="s">
        <v>283</v>
      </c>
      <c r="C89" s="232"/>
      <c r="D89" s="232"/>
      <c r="E89" s="232"/>
      <c r="F89" s="232"/>
      <c r="G89" s="232"/>
      <c r="H89" s="232"/>
      <c r="I89" s="243"/>
      <c r="J89" s="234"/>
      <c r="K89" s="231"/>
      <c r="L89" s="233">
        <v>0</v>
      </c>
      <c r="M89" s="235"/>
      <c r="N89" s="229"/>
      <c r="P89" s="223"/>
      <c r="Q89" s="223"/>
      <c r="R89" s="223"/>
      <c r="S89" s="223"/>
      <c r="T89" s="223"/>
      <c r="U89" s="223"/>
    </row>
    <row r="90" spans="1:21" ht="18">
      <c r="A90" s="237">
        <f>A86+1</f>
        <v>16</v>
      </c>
      <c r="B90" s="236" t="s">
        <v>284</v>
      </c>
      <c r="C90" s="232"/>
      <c r="D90" s="232">
        <v>1</v>
      </c>
      <c r="E90" s="232">
        <v>28.5</v>
      </c>
      <c r="F90" s="232">
        <v>1.25</v>
      </c>
      <c r="G90" s="232"/>
      <c r="H90" s="232"/>
      <c r="I90" s="243">
        <f>+PRODUCT(D90,E90,F90,G90,H90)</f>
        <v>35.625</v>
      </c>
      <c r="J90" s="234"/>
      <c r="K90" s="231" t="s">
        <v>40</v>
      </c>
      <c r="L90" s="233">
        <v>1436</v>
      </c>
      <c r="M90" s="235">
        <f t="shared" ref="M90" si="25">L90*I90</f>
        <v>51157.5</v>
      </c>
      <c r="N90" s="229"/>
      <c r="P90" s="223"/>
      <c r="Q90" s="223"/>
      <c r="R90" s="223"/>
      <c r="S90" s="223"/>
      <c r="T90" s="223"/>
      <c r="U90" s="223"/>
    </row>
    <row r="91" spans="1:21" ht="18">
      <c r="A91" s="230"/>
      <c r="B91" s="244"/>
      <c r="C91" s="244"/>
      <c r="D91" s="244"/>
      <c r="E91" s="244"/>
      <c r="F91" s="244"/>
      <c r="G91" s="244"/>
      <c r="H91" s="244"/>
      <c r="I91" s="245"/>
      <c r="J91" s="246"/>
      <c r="K91" s="231"/>
      <c r="L91" s="233">
        <v>0</v>
      </c>
      <c r="M91" s="247"/>
      <c r="N91" s="229"/>
      <c r="P91" s="223"/>
      <c r="Q91" s="223"/>
      <c r="R91" s="223"/>
      <c r="S91" s="223"/>
      <c r="T91" s="223"/>
      <c r="U91" s="223"/>
    </row>
    <row r="92" spans="1:21" ht="18">
      <c r="A92" s="237"/>
      <c r="B92" s="244"/>
      <c r="C92" s="231"/>
      <c r="D92" s="231"/>
      <c r="E92" s="231"/>
      <c r="F92" s="231"/>
      <c r="G92" s="231"/>
      <c r="H92" s="231"/>
      <c r="I92" s="233"/>
      <c r="J92" s="234"/>
      <c r="K92" s="231"/>
      <c r="L92" s="233">
        <v>0</v>
      </c>
      <c r="M92" s="235">
        <f>SUM(M63:M91)</f>
        <v>1013672.922825</v>
      </c>
      <c r="N92" s="229"/>
      <c r="P92" s="223"/>
      <c r="Q92" s="223"/>
      <c r="R92" s="223"/>
      <c r="S92" s="223"/>
      <c r="T92" s="223"/>
      <c r="U92" s="223"/>
    </row>
    <row r="93" spans="1:21" ht="18.75" customHeight="1">
      <c r="A93" s="381" t="s">
        <v>291</v>
      </c>
      <c r="B93" s="382"/>
      <c r="C93" s="382"/>
      <c r="D93" s="382"/>
      <c r="E93" s="382"/>
      <c r="F93" s="382"/>
      <c r="G93" s="382"/>
      <c r="H93" s="382"/>
      <c r="I93" s="382"/>
      <c r="J93" s="382"/>
      <c r="K93" s="382"/>
      <c r="L93" s="233">
        <v>0</v>
      </c>
      <c r="M93" s="383"/>
      <c r="N93" s="229"/>
      <c r="P93" s="223"/>
      <c r="Q93" s="223"/>
      <c r="R93" s="223"/>
      <c r="S93" s="223"/>
      <c r="T93" s="223"/>
      <c r="U93" s="223"/>
    </row>
    <row r="94" spans="1:21" ht="18">
      <c r="A94" s="230" t="s">
        <v>248</v>
      </c>
      <c r="B94" s="244" t="s">
        <v>249</v>
      </c>
      <c r="C94" s="244"/>
      <c r="D94" s="244"/>
      <c r="E94" s="244"/>
      <c r="F94" s="244"/>
      <c r="G94" s="244"/>
      <c r="H94" s="244"/>
      <c r="I94" s="245"/>
      <c r="J94" s="246"/>
      <c r="K94" s="250"/>
      <c r="L94" s="233">
        <v>0</v>
      </c>
      <c r="M94" s="252"/>
      <c r="N94" s="229"/>
      <c r="P94" s="223"/>
      <c r="Q94" s="223"/>
      <c r="R94" s="223"/>
      <c r="S94" s="223"/>
      <c r="T94" s="223"/>
      <c r="U94" s="223"/>
    </row>
    <row r="95" spans="1:21" ht="192.75" customHeight="1">
      <c r="A95" s="237"/>
      <c r="B95" s="236" t="s">
        <v>281</v>
      </c>
      <c r="C95" s="238"/>
      <c r="D95" s="238"/>
      <c r="E95" s="238"/>
      <c r="F95" s="238"/>
      <c r="G95" s="238"/>
      <c r="H95" s="238"/>
      <c r="I95" s="233"/>
      <c r="J95" s="234"/>
      <c r="K95" s="231"/>
      <c r="L95" s="233">
        <v>0</v>
      </c>
      <c r="M95" s="235"/>
      <c r="N95" s="229"/>
      <c r="P95" s="223"/>
      <c r="Q95" s="223"/>
      <c r="R95" s="223"/>
      <c r="S95" s="223"/>
      <c r="T95" s="223"/>
      <c r="U95" s="223"/>
    </row>
    <row r="96" spans="1:21" ht="18">
      <c r="A96" s="237">
        <v>1</v>
      </c>
      <c r="B96" s="238" t="s">
        <v>282</v>
      </c>
      <c r="C96" s="238"/>
      <c r="D96" s="238">
        <v>1</v>
      </c>
      <c r="E96" s="238">
        <v>9.1</v>
      </c>
      <c r="F96" s="238">
        <v>9.6</v>
      </c>
      <c r="G96" s="238" t="s">
        <v>292</v>
      </c>
      <c r="H96" s="238"/>
      <c r="I96" s="233">
        <f t="shared" ref="I96:I100" si="26">+PRODUCT(D96,E96,F96,G96,H96)</f>
        <v>87.36</v>
      </c>
      <c r="J96" s="234"/>
      <c r="K96" s="231" t="s">
        <v>15</v>
      </c>
      <c r="L96" s="233">
        <v>1730</v>
      </c>
      <c r="M96" s="235">
        <f t="shared" ref="M96:M97" si="27">L96*I96</f>
        <v>151132.79999999999</v>
      </c>
      <c r="N96" s="229"/>
      <c r="P96" s="223"/>
      <c r="Q96" s="223"/>
      <c r="R96" s="223"/>
      <c r="S96" s="223"/>
      <c r="T96" s="223"/>
      <c r="U96" s="223"/>
    </row>
    <row r="97" spans="1:21" ht="113" customHeight="1">
      <c r="A97" s="237"/>
      <c r="B97" s="236" t="s">
        <v>293</v>
      </c>
      <c r="C97" s="238"/>
      <c r="D97" s="238">
        <v>2</v>
      </c>
      <c r="E97" s="238"/>
      <c r="F97" s="238"/>
      <c r="G97" s="238"/>
      <c r="H97" s="238"/>
      <c r="I97" s="233">
        <v>2</v>
      </c>
      <c r="J97" s="234"/>
      <c r="K97" s="231" t="s">
        <v>18</v>
      </c>
      <c r="L97" s="233">
        <v>456750</v>
      </c>
      <c r="M97" s="235">
        <f t="shared" si="27"/>
        <v>913500</v>
      </c>
      <c r="N97" s="229"/>
      <c r="P97" s="223"/>
      <c r="Q97" s="223"/>
      <c r="R97" s="223"/>
      <c r="S97" s="223"/>
      <c r="T97" s="223"/>
      <c r="U97" s="223"/>
    </row>
    <row r="98" spans="1:21" ht="18">
      <c r="A98" s="237">
        <v>2</v>
      </c>
      <c r="B98" s="236" t="s">
        <v>294</v>
      </c>
      <c r="C98" s="238"/>
      <c r="D98" s="238"/>
      <c r="E98" s="238"/>
      <c r="F98" s="238"/>
      <c r="G98" s="238"/>
      <c r="H98" s="238"/>
      <c r="I98" s="233"/>
      <c r="J98" s="234"/>
      <c r="K98" s="231"/>
      <c r="L98" s="233">
        <v>0</v>
      </c>
      <c r="M98" s="235"/>
      <c r="N98" s="229"/>
      <c r="P98" s="223"/>
      <c r="Q98" s="223"/>
      <c r="R98" s="223"/>
      <c r="S98" s="223"/>
      <c r="T98" s="223"/>
      <c r="U98" s="223"/>
    </row>
    <row r="99" spans="1:21" ht="186" customHeight="1">
      <c r="A99" s="237"/>
      <c r="B99" s="236" t="s">
        <v>277</v>
      </c>
      <c r="C99" s="238"/>
      <c r="D99" s="238"/>
      <c r="E99" s="253"/>
      <c r="F99" s="253"/>
      <c r="G99" s="238"/>
      <c r="H99" s="238"/>
      <c r="I99" s="233"/>
      <c r="J99" s="234"/>
      <c r="K99" s="231"/>
      <c r="L99" s="233">
        <v>0</v>
      </c>
      <c r="M99" s="235"/>
      <c r="N99" s="229"/>
      <c r="P99" s="223"/>
      <c r="Q99" s="223"/>
      <c r="R99" s="223"/>
      <c r="S99" s="223"/>
      <c r="T99" s="223"/>
      <c r="U99" s="223"/>
    </row>
    <row r="100" spans="1:21" ht="18">
      <c r="A100" s="237">
        <v>3</v>
      </c>
      <c r="B100" s="236" t="s">
        <v>295</v>
      </c>
      <c r="C100" s="236"/>
      <c r="D100" s="238">
        <v>1</v>
      </c>
      <c r="E100" s="236">
        <v>8.8000000000000007</v>
      </c>
      <c r="F100" s="236">
        <v>9.3000000000000007</v>
      </c>
      <c r="G100" s="236">
        <v>0.15</v>
      </c>
      <c r="H100" s="236"/>
      <c r="I100" s="233">
        <f t="shared" si="26"/>
        <v>12.276000000000002</v>
      </c>
      <c r="J100" s="234"/>
      <c r="K100" s="231" t="s">
        <v>15</v>
      </c>
      <c r="L100" s="233">
        <v>9135</v>
      </c>
      <c r="M100" s="235">
        <f t="shared" ref="M100" si="28">L100*I100</f>
        <v>112141.26000000001</v>
      </c>
      <c r="N100" s="229"/>
      <c r="P100" s="223"/>
      <c r="Q100" s="223"/>
      <c r="R100" s="223"/>
      <c r="S100" s="223"/>
      <c r="T100" s="223"/>
      <c r="U100" s="223"/>
    </row>
    <row r="101" spans="1:21" ht="260.25" customHeight="1">
      <c r="A101" s="237"/>
      <c r="B101" s="236" t="s">
        <v>283</v>
      </c>
      <c r="C101" s="236"/>
      <c r="D101" s="238"/>
      <c r="E101" s="236"/>
      <c r="F101" s="236"/>
      <c r="G101" s="236"/>
      <c r="H101" s="236"/>
      <c r="I101" s="233"/>
      <c r="J101" s="234"/>
      <c r="K101" s="231"/>
      <c r="L101" s="233">
        <v>0</v>
      </c>
      <c r="M101" s="235"/>
      <c r="N101" s="229"/>
      <c r="P101" s="223"/>
      <c r="Q101" s="223"/>
      <c r="R101" s="223"/>
      <c r="S101" s="223"/>
      <c r="T101" s="223"/>
      <c r="U101" s="223"/>
    </row>
    <row r="102" spans="1:21" ht="18">
      <c r="A102" s="237">
        <f>A100+1</f>
        <v>4</v>
      </c>
      <c r="B102" s="236" t="s">
        <v>284</v>
      </c>
      <c r="C102" s="232"/>
      <c r="D102" s="238">
        <v>1</v>
      </c>
      <c r="E102" s="236">
        <v>5.2</v>
      </c>
      <c r="F102" s="236">
        <v>1.25</v>
      </c>
      <c r="G102" s="236"/>
      <c r="H102" s="232"/>
      <c r="I102" s="243">
        <f>+PRODUCT(D102,E102,F102,G102,H102)</f>
        <v>6.5</v>
      </c>
      <c r="J102" s="234"/>
      <c r="K102" s="231" t="s">
        <v>40</v>
      </c>
      <c r="L102" s="233">
        <v>1436</v>
      </c>
      <c r="M102" s="235">
        <f t="shared" ref="M102" si="29">L102*I102</f>
        <v>9334</v>
      </c>
      <c r="N102" s="229"/>
      <c r="P102" s="223"/>
      <c r="Q102" s="223"/>
      <c r="R102" s="223"/>
      <c r="S102" s="223"/>
      <c r="T102" s="223"/>
      <c r="U102" s="223"/>
    </row>
    <row r="103" spans="1:21" ht="18">
      <c r="A103" s="237"/>
      <c r="B103" s="236"/>
      <c r="C103" s="236"/>
      <c r="D103" s="236"/>
      <c r="E103" s="236"/>
      <c r="F103" s="236"/>
      <c r="G103" s="236"/>
      <c r="H103" s="236"/>
      <c r="I103" s="233"/>
      <c r="J103" s="234"/>
      <c r="K103" s="254"/>
      <c r="L103" s="233">
        <v>0</v>
      </c>
      <c r="M103" s="247"/>
      <c r="N103" s="229"/>
      <c r="P103" s="223"/>
      <c r="Q103" s="223"/>
      <c r="R103" s="223"/>
      <c r="S103" s="223"/>
      <c r="T103" s="223"/>
      <c r="U103" s="223"/>
    </row>
    <row r="104" spans="1:21" ht="18">
      <c r="A104" s="237"/>
      <c r="B104" s="236"/>
      <c r="C104" s="236"/>
      <c r="D104" s="236"/>
      <c r="E104" s="236"/>
      <c r="F104" s="236"/>
      <c r="G104" s="236"/>
      <c r="H104" s="236"/>
      <c r="I104" s="233"/>
      <c r="J104" s="234"/>
      <c r="K104" s="254"/>
      <c r="L104" s="233">
        <v>0</v>
      </c>
      <c r="M104" s="235">
        <f>SUM(M96:M103)</f>
        <v>1186108.06</v>
      </c>
      <c r="N104" s="229"/>
      <c r="P104" s="223"/>
      <c r="Q104" s="223"/>
      <c r="R104" s="223"/>
      <c r="S104" s="223"/>
      <c r="T104" s="223"/>
      <c r="U104" s="223"/>
    </row>
    <row r="105" spans="1:21" ht="18.75" customHeight="1">
      <c r="A105" s="381" t="s">
        <v>296</v>
      </c>
      <c r="B105" s="382"/>
      <c r="C105" s="382"/>
      <c r="D105" s="382"/>
      <c r="E105" s="382"/>
      <c r="F105" s="382"/>
      <c r="G105" s="382"/>
      <c r="H105" s="382"/>
      <c r="I105" s="382"/>
      <c r="J105" s="382"/>
      <c r="K105" s="382"/>
      <c r="L105" s="233">
        <v>0</v>
      </c>
      <c r="M105" s="383"/>
      <c r="N105" s="229"/>
      <c r="P105" s="223"/>
      <c r="Q105" s="223"/>
      <c r="R105" s="223"/>
      <c r="S105" s="223"/>
      <c r="T105" s="223"/>
      <c r="U105" s="223"/>
    </row>
    <row r="106" spans="1:21" ht="18">
      <c r="A106" s="230" t="s">
        <v>248</v>
      </c>
      <c r="B106" s="244" t="s">
        <v>249</v>
      </c>
      <c r="C106" s="244"/>
      <c r="D106" s="244"/>
      <c r="E106" s="244"/>
      <c r="F106" s="244"/>
      <c r="G106" s="244"/>
      <c r="H106" s="244"/>
      <c r="I106" s="245"/>
      <c r="J106" s="246"/>
      <c r="K106" s="250"/>
      <c r="L106" s="233">
        <v>0</v>
      </c>
      <c r="M106" s="252"/>
      <c r="N106" s="229"/>
      <c r="P106" s="223"/>
      <c r="Q106" s="223"/>
      <c r="R106" s="223"/>
      <c r="S106" s="223"/>
      <c r="T106" s="223"/>
      <c r="U106" s="223"/>
    </row>
    <row r="107" spans="1:21" ht="90">
      <c r="A107" s="237"/>
      <c r="B107" s="236" t="s">
        <v>297</v>
      </c>
      <c r="C107" s="231"/>
      <c r="D107" s="231">
        <v>2</v>
      </c>
      <c r="E107" s="231"/>
      <c r="F107" s="231"/>
      <c r="G107" s="231"/>
      <c r="H107" s="231"/>
      <c r="I107" s="233">
        <v>2</v>
      </c>
      <c r="J107" s="234"/>
      <c r="K107" s="255" t="s">
        <v>243</v>
      </c>
      <c r="L107" s="233">
        <v>430650</v>
      </c>
      <c r="M107" s="235">
        <f t="shared" ref="M107" si="30">L107*I107</f>
        <v>861300</v>
      </c>
      <c r="N107" s="229"/>
      <c r="P107" s="223"/>
      <c r="Q107" s="223"/>
      <c r="R107" s="223"/>
      <c r="S107" s="223"/>
      <c r="T107" s="223"/>
      <c r="U107" s="223"/>
    </row>
    <row r="108" spans="1:21" ht="18">
      <c r="A108" s="237">
        <v>1</v>
      </c>
      <c r="B108" s="236" t="s">
        <v>294</v>
      </c>
      <c r="C108" s="238"/>
      <c r="D108" s="238"/>
      <c r="E108" s="238"/>
      <c r="F108" s="238"/>
      <c r="G108" s="238"/>
      <c r="H108" s="238"/>
      <c r="I108" s="233"/>
      <c r="J108" s="256"/>
      <c r="K108" s="231"/>
      <c r="L108" s="233">
        <v>0</v>
      </c>
      <c r="M108" s="235"/>
      <c r="N108" s="229"/>
      <c r="P108" s="223"/>
      <c r="Q108" s="223"/>
      <c r="R108" s="223"/>
      <c r="S108" s="223"/>
      <c r="T108" s="223"/>
      <c r="U108" s="223"/>
    </row>
    <row r="109" spans="1:21" ht="189" customHeight="1">
      <c r="A109" s="237"/>
      <c r="B109" s="236" t="s">
        <v>281</v>
      </c>
      <c r="C109" s="238"/>
      <c r="D109" s="238"/>
      <c r="E109" s="238"/>
      <c r="F109" s="238"/>
      <c r="G109" s="238"/>
      <c r="H109" s="238"/>
      <c r="I109" s="233"/>
      <c r="J109" s="256"/>
      <c r="K109" s="231"/>
      <c r="L109" s="233">
        <v>0</v>
      </c>
      <c r="M109" s="235"/>
      <c r="N109" s="229"/>
      <c r="P109" s="223"/>
      <c r="Q109" s="223"/>
      <c r="R109" s="223"/>
      <c r="S109" s="223"/>
      <c r="T109" s="223"/>
      <c r="U109" s="223"/>
    </row>
    <row r="110" spans="1:21" ht="18">
      <c r="A110" s="237">
        <v>2</v>
      </c>
      <c r="B110" s="238" t="s">
        <v>282</v>
      </c>
      <c r="C110" s="238"/>
      <c r="D110" s="238">
        <v>1</v>
      </c>
      <c r="E110" s="238">
        <v>6.8</v>
      </c>
      <c r="F110" s="238">
        <v>19.149999999999999</v>
      </c>
      <c r="G110" s="238">
        <v>3.75</v>
      </c>
      <c r="H110" s="238"/>
      <c r="I110" s="233">
        <f t="shared" ref="I110:I114" si="31">+PRODUCT(D110,E110,F110,G110,H110)</f>
        <v>488.32499999999999</v>
      </c>
      <c r="J110" s="256"/>
      <c r="K110" s="231" t="s">
        <v>15</v>
      </c>
      <c r="L110" s="233">
        <v>1730</v>
      </c>
      <c r="M110" s="235">
        <f t="shared" ref="M110" si="32">L110*I110</f>
        <v>844802.25</v>
      </c>
      <c r="N110" s="229"/>
      <c r="P110" s="223"/>
      <c r="Q110" s="223"/>
      <c r="R110" s="223"/>
      <c r="S110" s="223"/>
      <c r="T110" s="223"/>
      <c r="U110" s="223"/>
    </row>
    <row r="111" spans="1:21" ht="371.25" customHeight="1">
      <c r="A111" s="237"/>
      <c r="B111" s="236" t="s">
        <v>298</v>
      </c>
      <c r="C111" s="238"/>
      <c r="D111" s="238"/>
      <c r="E111" s="238"/>
      <c r="F111" s="238"/>
      <c r="G111" s="238"/>
      <c r="H111" s="238"/>
      <c r="I111" s="233"/>
      <c r="J111" s="256"/>
      <c r="K111" s="231"/>
      <c r="L111" s="233">
        <v>0</v>
      </c>
      <c r="M111" s="235"/>
      <c r="N111" s="229"/>
      <c r="P111" s="223"/>
      <c r="Q111" s="223"/>
      <c r="R111" s="223"/>
      <c r="S111" s="223"/>
      <c r="T111" s="223"/>
      <c r="U111" s="223"/>
    </row>
    <row r="112" spans="1:21" ht="18">
      <c r="A112" s="237">
        <v>3</v>
      </c>
      <c r="B112" s="236" t="s">
        <v>299</v>
      </c>
      <c r="C112" s="236"/>
      <c r="D112" s="236">
        <v>2</v>
      </c>
      <c r="E112" s="238">
        <v>62.85</v>
      </c>
      <c r="F112" s="236"/>
      <c r="G112" s="236">
        <v>3</v>
      </c>
      <c r="H112" s="236"/>
      <c r="I112" s="233">
        <f t="shared" si="31"/>
        <v>377.1</v>
      </c>
      <c r="J112" s="256"/>
      <c r="K112" s="231" t="s">
        <v>300</v>
      </c>
      <c r="L112" s="233">
        <v>796</v>
      </c>
      <c r="M112" s="235">
        <f t="shared" ref="M112:M114" si="33">L112*I112</f>
        <v>300171.60000000003</v>
      </c>
      <c r="N112" s="229"/>
      <c r="P112" s="223"/>
      <c r="Q112" s="223"/>
      <c r="R112" s="223"/>
      <c r="S112" s="223"/>
      <c r="T112" s="223"/>
      <c r="U112" s="223"/>
    </row>
    <row r="113" spans="1:21" ht="186" customHeight="1">
      <c r="A113" s="237"/>
      <c r="B113" s="236" t="s">
        <v>277</v>
      </c>
      <c r="C113" s="238"/>
      <c r="D113" s="238"/>
      <c r="E113" s="238"/>
      <c r="F113" s="238"/>
      <c r="G113" s="238"/>
      <c r="H113" s="238"/>
      <c r="I113" s="233"/>
      <c r="J113" s="256"/>
      <c r="K113" s="231"/>
      <c r="L113" s="233">
        <v>0</v>
      </c>
      <c r="M113" s="235">
        <f t="shared" si="33"/>
        <v>0</v>
      </c>
      <c r="N113" s="229"/>
      <c r="P113" s="223"/>
      <c r="Q113" s="223"/>
      <c r="R113" s="223"/>
      <c r="S113" s="223"/>
      <c r="T113" s="223"/>
      <c r="U113" s="223"/>
    </row>
    <row r="114" spans="1:21" ht="18">
      <c r="A114" s="237">
        <v>4</v>
      </c>
      <c r="B114" s="236" t="s">
        <v>295</v>
      </c>
      <c r="C114" s="236"/>
      <c r="D114" s="236">
        <v>1</v>
      </c>
      <c r="E114" s="236">
        <v>7.1</v>
      </c>
      <c r="F114" s="236">
        <v>19.45</v>
      </c>
      <c r="G114" s="236">
        <v>0.15</v>
      </c>
      <c r="H114" s="236"/>
      <c r="I114" s="233">
        <f t="shared" si="31"/>
        <v>20.71425</v>
      </c>
      <c r="J114" s="256"/>
      <c r="K114" s="231" t="s">
        <v>15</v>
      </c>
      <c r="L114" s="233">
        <v>9135</v>
      </c>
      <c r="M114" s="235">
        <f t="shared" si="33"/>
        <v>189224.67374999999</v>
      </c>
      <c r="N114" s="229"/>
      <c r="P114" s="223"/>
      <c r="Q114" s="223"/>
      <c r="R114" s="223"/>
      <c r="S114" s="223"/>
      <c r="T114" s="223"/>
      <c r="U114" s="223"/>
    </row>
    <row r="115" spans="1:21" ht="18">
      <c r="A115" s="242"/>
      <c r="J115" s="256"/>
      <c r="K115" s="231"/>
      <c r="L115" s="233">
        <v>0</v>
      </c>
      <c r="M115" s="247"/>
      <c r="N115" s="229"/>
      <c r="P115" s="223"/>
      <c r="Q115" s="223"/>
      <c r="R115" s="223"/>
      <c r="S115" s="223"/>
      <c r="T115" s="223"/>
      <c r="U115" s="223"/>
    </row>
    <row r="116" spans="1:21" ht="18">
      <c r="A116" s="242"/>
      <c r="J116" s="256"/>
      <c r="K116" s="231"/>
      <c r="L116" s="233">
        <v>0</v>
      </c>
      <c r="M116" s="235">
        <f>SUM(M107:M115)</f>
        <v>2195498.5237500002</v>
      </c>
      <c r="N116" s="229"/>
      <c r="P116" s="223"/>
      <c r="Q116" s="223"/>
      <c r="R116" s="223"/>
      <c r="S116" s="223"/>
      <c r="T116" s="223"/>
      <c r="U116" s="223"/>
    </row>
    <row r="117" spans="1:21" ht="18.75" customHeight="1">
      <c r="A117" s="381" t="s">
        <v>301</v>
      </c>
      <c r="B117" s="382"/>
      <c r="C117" s="382"/>
      <c r="D117" s="382"/>
      <c r="E117" s="382"/>
      <c r="F117" s="382"/>
      <c r="G117" s="382"/>
      <c r="H117" s="382"/>
      <c r="I117" s="382"/>
      <c r="J117" s="382"/>
      <c r="K117" s="382"/>
      <c r="L117" s="233">
        <v>0</v>
      </c>
      <c r="M117" s="383"/>
      <c r="N117" s="229"/>
      <c r="P117" s="223"/>
      <c r="Q117" s="223"/>
      <c r="R117" s="223"/>
      <c r="S117" s="223"/>
      <c r="T117" s="223"/>
      <c r="U117" s="223"/>
    </row>
    <row r="118" spans="1:21" ht="18">
      <c r="A118" s="230" t="s">
        <v>248</v>
      </c>
      <c r="B118" s="244" t="s">
        <v>249</v>
      </c>
      <c r="C118" s="244"/>
      <c r="D118" s="244"/>
      <c r="E118" s="244"/>
      <c r="F118" s="244"/>
      <c r="G118" s="244"/>
      <c r="H118" s="244"/>
      <c r="I118" s="245"/>
      <c r="J118" s="257"/>
      <c r="K118" s="238"/>
      <c r="L118" s="233">
        <v>0</v>
      </c>
      <c r="M118" s="252"/>
      <c r="N118" s="229"/>
      <c r="P118" s="223"/>
      <c r="Q118" s="223"/>
      <c r="R118" s="223"/>
      <c r="S118" s="223"/>
      <c r="T118" s="223"/>
      <c r="U118" s="223"/>
    </row>
    <row r="119" spans="1:21" ht="317.25" customHeight="1">
      <c r="A119" s="237">
        <v>1</v>
      </c>
      <c r="B119" s="239" t="s">
        <v>267</v>
      </c>
      <c r="C119" s="238"/>
      <c r="D119" s="238"/>
      <c r="E119" s="238"/>
      <c r="F119" s="238"/>
      <c r="G119" s="238"/>
      <c r="H119" s="238"/>
      <c r="I119" s="233"/>
      <c r="J119" s="257"/>
      <c r="K119" s="238"/>
      <c r="L119" s="233">
        <v>0</v>
      </c>
      <c r="M119" s="252"/>
      <c r="N119" s="229"/>
      <c r="P119" s="223"/>
      <c r="Q119" s="223"/>
      <c r="R119" s="223"/>
      <c r="S119" s="223"/>
      <c r="T119" s="223"/>
      <c r="U119" s="223"/>
    </row>
    <row r="120" spans="1:21" ht="18">
      <c r="A120" s="237" t="s">
        <v>302</v>
      </c>
      <c r="B120" s="238" t="s">
        <v>269</v>
      </c>
      <c r="C120" s="238"/>
      <c r="D120" s="238"/>
      <c r="E120" s="238"/>
      <c r="F120" s="238"/>
      <c r="G120" s="238"/>
      <c r="H120" s="238"/>
      <c r="I120" s="233">
        <f>(3.9*1.4*0.3)+(6*2*0.3)</f>
        <v>5.2379999999999995</v>
      </c>
      <c r="K120" s="238" t="s">
        <v>15</v>
      </c>
      <c r="L120" s="233">
        <v>14355</v>
      </c>
      <c r="M120" s="235">
        <f t="shared" ref="M120" si="34">L120*I120</f>
        <v>75191.489999999991</v>
      </c>
      <c r="N120" s="229"/>
      <c r="P120" s="223"/>
      <c r="Q120" s="223"/>
      <c r="R120" s="223"/>
      <c r="S120" s="223"/>
      <c r="T120" s="223"/>
      <c r="U120" s="223"/>
    </row>
    <row r="121" spans="1:21" ht="188.25" customHeight="1">
      <c r="A121" s="237"/>
      <c r="B121" s="236" t="s">
        <v>270</v>
      </c>
      <c r="C121" s="238"/>
      <c r="D121" s="238"/>
      <c r="E121" s="238"/>
      <c r="F121" s="238"/>
      <c r="G121" s="238"/>
      <c r="H121" s="238"/>
      <c r="I121" s="233"/>
      <c r="K121" s="238"/>
      <c r="L121" s="233">
        <v>0</v>
      </c>
      <c r="M121" s="235"/>
      <c r="N121" s="229"/>
      <c r="P121" s="223"/>
      <c r="Q121" s="223"/>
      <c r="R121" s="223"/>
      <c r="S121" s="223"/>
      <c r="T121" s="223"/>
      <c r="U121" s="223"/>
    </row>
    <row r="122" spans="1:21" ht="18">
      <c r="A122" s="237">
        <v>2</v>
      </c>
      <c r="B122" s="238" t="s">
        <v>271</v>
      </c>
      <c r="C122" s="238"/>
      <c r="D122" s="238"/>
      <c r="E122" s="238"/>
      <c r="F122" s="238"/>
      <c r="G122" s="238"/>
      <c r="H122" s="238"/>
      <c r="I122" s="233">
        <f>+(I120*50)</f>
        <v>261.89999999999998</v>
      </c>
      <c r="K122" s="238" t="s">
        <v>260</v>
      </c>
      <c r="L122" s="233">
        <v>107</v>
      </c>
      <c r="M122" s="235">
        <f t="shared" ref="M122" si="35">L122*I122</f>
        <v>28023.3</v>
      </c>
      <c r="N122" s="229"/>
      <c r="P122" s="223"/>
      <c r="Q122" s="223"/>
      <c r="R122" s="223"/>
      <c r="S122" s="223"/>
      <c r="T122" s="223"/>
      <c r="U122" s="223"/>
    </row>
    <row r="123" spans="1:21" ht="181.5" customHeight="1">
      <c r="A123" s="237"/>
      <c r="B123" s="236" t="s">
        <v>277</v>
      </c>
      <c r="C123" s="238"/>
      <c r="D123" s="238"/>
      <c r="E123" s="238"/>
      <c r="F123" s="238"/>
      <c r="G123" s="238"/>
      <c r="H123" s="238"/>
      <c r="I123" s="233"/>
      <c r="K123" s="238"/>
      <c r="L123" s="233">
        <v>0</v>
      </c>
      <c r="M123" s="235"/>
      <c r="N123" s="229"/>
      <c r="P123" s="223"/>
      <c r="Q123" s="223"/>
      <c r="R123" s="223"/>
      <c r="S123" s="223"/>
      <c r="T123" s="223"/>
      <c r="U123" s="223"/>
    </row>
    <row r="124" spans="1:21" ht="18">
      <c r="A124" s="237">
        <v>3</v>
      </c>
      <c r="B124" s="236" t="s">
        <v>303</v>
      </c>
      <c r="C124" s="236"/>
      <c r="D124" s="236"/>
      <c r="E124" s="236"/>
      <c r="F124" s="236"/>
      <c r="G124" s="236"/>
      <c r="H124" s="236"/>
      <c r="I124" s="233">
        <f>(4.2*1.7*0.1)+(6.3*2.3*0.1)</f>
        <v>2.1629999999999998</v>
      </c>
      <c r="K124" s="238" t="s">
        <v>15</v>
      </c>
      <c r="L124" s="233">
        <v>9135</v>
      </c>
      <c r="M124" s="235">
        <f t="shared" ref="M124" si="36">L124*I124</f>
        <v>19759.004999999997</v>
      </c>
      <c r="N124" s="229"/>
      <c r="P124" s="223"/>
      <c r="Q124" s="223"/>
      <c r="R124" s="223"/>
      <c r="S124" s="223"/>
      <c r="T124" s="223"/>
      <c r="U124" s="223"/>
    </row>
    <row r="125" spans="1:21" ht="18">
      <c r="A125" s="237"/>
      <c r="B125" s="236"/>
      <c r="C125" s="236"/>
      <c r="D125" s="236"/>
      <c r="E125" s="236"/>
      <c r="F125" s="236"/>
      <c r="G125" s="236"/>
      <c r="H125" s="236"/>
      <c r="I125" s="243"/>
      <c r="J125" s="234"/>
      <c r="K125" s="254"/>
      <c r="L125" s="233">
        <v>0</v>
      </c>
      <c r="M125" s="247">
        <f>SUM(M120:M124)</f>
        <v>122973.79499999998</v>
      </c>
      <c r="N125" s="229"/>
      <c r="P125" s="223"/>
      <c r="Q125" s="223"/>
      <c r="R125" s="223"/>
      <c r="S125" s="223"/>
      <c r="T125" s="223"/>
      <c r="U125" s="223"/>
    </row>
    <row r="126" spans="1:21" ht="18.75" customHeight="1">
      <c r="A126" s="381" t="s">
        <v>304</v>
      </c>
      <c r="B126" s="382"/>
      <c r="C126" s="382"/>
      <c r="D126" s="382"/>
      <c r="E126" s="382"/>
      <c r="F126" s="382"/>
      <c r="G126" s="382"/>
      <c r="H126" s="382"/>
      <c r="I126" s="382"/>
      <c r="J126" s="382"/>
      <c r="K126" s="382"/>
      <c r="L126" s="233">
        <v>0</v>
      </c>
      <c r="M126" s="383"/>
      <c r="N126" s="229"/>
      <c r="P126" s="223"/>
      <c r="Q126" s="223"/>
      <c r="R126" s="223"/>
      <c r="S126" s="223"/>
      <c r="T126" s="223"/>
      <c r="U126" s="223"/>
    </row>
    <row r="127" spans="1:21" ht="18">
      <c r="A127" s="230" t="s">
        <v>248</v>
      </c>
      <c r="B127" s="244" t="s">
        <v>249</v>
      </c>
      <c r="C127" s="244"/>
      <c r="J127" s="246"/>
      <c r="K127" s="250"/>
      <c r="L127" s="233">
        <v>0</v>
      </c>
      <c r="M127" s="252"/>
      <c r="N127" s="229"/>
      <c r="P127" s="223"/>
      <c r="Q127" s="223"/>
      <c r="R127" s="223"/>
      <c r="S127" s="223"/>
      <c r="T127" s="223"/>
      <c r="U127" s="223"/>
    </row>
    <row r="128" spans="1:21" ht="243.75" customHeight="1">
      <c r="A128" s="230"/>
      <c r="B128" s="236" t="s">
        <v>258</v>
      </c>
      <c r="C128" s="244"/>
      <c r="J128" s="246"/>
      <c r="K128" s="250"/>
      <c r="L128" s="233">
        <v>0</v>
      </c>
      <c r="M128" s="252"/>
      <c r="N128" s="229"/>
      <c r="P128" s="223"/>
      <c r="Q128" s="223"/>
      <c r="R128" s="223"/>
      <c r="S128" s="223"/>
      <c r="T128" s="223"/>
      <c r="U128" s="223"/>
    </row>
    <row r="129" spans="1:21" ht="18">
      <c r="A129" s="237">
        <v>1</v>
      </c>
      <c r="B129" s="236" t="s">
        <v>305</v>
      </c>
      <c r="C129" s="236"/>
      <c r="D129" s="231">
        <v>1</v>
      </c>
      <c r="E129" s="231">
        <v>15</v>
      </c>
      <c r="F129" s="231"/>
      <c r="G129" s="231"/>
      <c r="H129" s="231">
        <v>45.24</v>
      </c>
      <c r="I129" s="233">
        <f t="shared" ref="I129:I133" si="37">+PRODUCT(D129,E129,F129,G129,H129)</f>
        <v>678.6</v>
      </c>
      <c r="J129" s="234"/>
      <c r="K129" s="231" t="s">
        <v>260</v>
      </c>
      <c r="L129" s="233">
        <v>107</v>
      </c>
      <c r="M129" s="235">
        <f t="shared" ref="M129:M131" si="38">L129*I129</f>
        <v>72610.2</v>
      </c>
      <c r="N129" s="229"/>
      <c r="P129" s="223"/>
      <c r="Q129" s="223"/>
      <c r="R129" s="223"/>
      <c r="S129" s="223"/>
      <c r="T129" s="223"/>
      <c r="U129" s="223"/>
    </row>
    <row r="130" spans="1:21" ht="18">
      <c r="A130" s="237">
        <v>2</v>
      </c>
      <c r="B130" s="236" t="s">
        <v>306</v>
      </c>
      <c r="C130" s="236"/>
      <c r="D130" s="231">
        <v>1</v>
      </c>
      <c r="E130" s="231">
        <v>19.2</v>
      </c>
      <c r="F130" s="231"/>
      <c r="G130" s="231"/>
      <c r="H130" s="231">
        <v>3.73</v>
      </c>
      <c r="I130" s="233">
        <f t="shared" si="37"/>
        <v>71.616</v>
      </c>
      <c r="J130" s="234"/>
      <c r="K130" s="231" t="s">
        <v>260</v>
      </c>
      <c r="L130" s="233">
        <v>107</v>
      </c>
      <c r="M130" s="235">
        <f t="shared" si="38"/>
        <v>7662.9120000000003</v>
      </c>
      <c r="N130" s="229"/>
      <c r="P130" s="223"/>
      <c r="Q130" s="223"/>
      <c r="R130" s="223"/>
      <c r="S130" s="223"/>
      <c r="T130" s="223"/>
      <c r="U130" s="223"/>
    </row>
    <row r="131" spans="1:21" ht="18">
      <c r="A131" s="237">
        <v>3</v>
      </c>
      <c r="B131" s="236" t="s">
        <v>266</v>
      </c>
      <c r="C131" s="236"/>
      <c r="D131" s="231"/>
      <c r="E131" s="231"/>
      <c r="F131" s="231"/>
      <c r="G131" s="231"/>
      <c r="H131" s="231"/>
      <c r="I131" s="233">
        <f>SUM(I129:I130)*0.05</f>
        <v>37.510800000000003</v>
      </c>
      <c r="J131" s="234"/>
      <c r="K131" s="231" t="s">
        <v>260</v>
      </c>
      <c r="L131" s="233">
        <v>107</v>
      </c>
      <c r="M131" s="235">
        <f t="shared" si="38"/>
        <v>4013.6556000000005</v>
      </c>
      <c r="N131" s="229"/>
      <c r="P131" s="223"/>
      <c r="Q131" s="223"/>
      <c r="R131" s="223"/>
      <c r="S131" s="223"/>
      <c r="T131" s="223"/>
      <c r="U131" s="223"/>
    </row>
    <row r="132" spans="1:21" ht="263.25" customHeight="1">
      <c r="A132" s="237"/>
      <c r="B132" s="236" t="s">
        <v>272</v>
      </c>
      <c r="C132" s="236"/>
      <c r="D132" s="231"/>
      <c r="E132" s="231"/>
      <c r="F132" s="231"/>
      <c r="G132" s="231"/>
      <c r="H132" s="231"/>
      <c r="I132" s="233"/>
      <c r="J132" s="234"/>
      <c r="K132" s="231"/>
      <c r="L132" s="233">
        <v>0</v>
      </c>
      <c r="M132" s="235"/>
      <c r="N132" s="229"/>
      <c r="P132" s="223"/>
      <c r="Q132" s="223"/>
      <c r="R132" s="223"/>
      <c r="S132" s="223"/>
      <c r="T132" s="223"/>
      <c r="U132" s="223"/>
    </row>
    <row r="133" spans="1:21" ht="18">
      <c r="A133" s="237">
        <v>4</v>
      </c>
      <c r="B133" s="236" t="s">
        <v>307</v>
      </c>
      <c r="C133" s="236"/>
      <c r="D133" s="231">
        <v>1</v>
      </c>
      <c r="E133" s="231">
        <v>5.2</v>
      </c>
      <c r="F133" s="231">
        <v>7.6</v>
      </c>
      <c r="G133" s="231"/>
      <c r="H133" s="231"/>
      <c r="I133" s="233">
        <f t="shared" si="37"/>
        <v>39.519999999999996</v>
      </c>
      <c r="J133" s="234"/>
      <c r="K133" s="231" t="s">
        <v>40</v>
      </c>
      <c r="L133" s="233">
        <v>1436</v>
      </c>
      <c r="M133" s="235">
        <f t="shared" ref="M133" si="39">L133*I133</f>
        <v>56750.719999999994</v>
      </c>
      <c r="N133" s="229"/>
      <c r="P133" s="223"/>
      <c r="Q133" s="223"/>
      <c r="R133" s="223"/>
      <c r="S133" s="223"/>
      <c r="T133" s="223"/>
      <c r="U133" s="223"/>
    </row>
    <row r="134" spans="1:21" ht="18">
      <c r="A134" s="237"/>
      <c r="B134" s="236"/>
      <c r="C134" s="236"/>
      <c r="D134" s="231"/>
      <c r="E134" s="231"/>
      <c r="F134" s="231"/>
      <c r="G134" s="231"/>
      <c r="H134" s="231"/>
      <c r="I134" s="233"/>
      <c r="J134" s="234"/>
      <c r="K134" s="231"/>
      <c r="L134" s="233">
        <v>0</v>
      </c>
      <c r="M134" s="247">
        <f>SUM(M129:M133)</f>
        <v>141037.48759999999</v>
      </c>
      <c r="N134" s="229"/>
      <c r="P134" s="223"/>
      <c r="Q134" s="223"/>
      <c r="R134" s="223"/>
      <c r="S134" s="223"/>
      <c r="T134" s="223"/>
      <c r="U134" s="223"/>
    </row>
    <row r="135" spans="1:21" ht="18">
      <c r="A135" s="384" t="s">
        <v>308</v>
      </c>
      <c r="B135" s="248"/>
      <c r="C135" s="248"/>
      <c r="D135" s="248"/>
      <c r="E135" s="248"/>
      <c r="F135" s="248"/>
      <c r="G135" s="248"/>
      <c r="H135" s="248"/>
      <c r="I135" s="259"/>
      <c r="J135" s="248"/>
      <c r="K135" s="248"/>
      <c r="L135" s="233">
        <v>0</v>
      </c>
      <c r="M135" s="260"/>
      <c r="N135" s="229"/>
      <c r="P135" s="223"/>
      <c r="Q135" s="223"/>
      <c r="R135" s="223"/>
      <c r="S135" s="223"/>
      <c r="T135" s="223"/>
      <c r="U135" s="223"/>
    </row>
    <row r="136" spans="1:21" ht="18">
      <c r="A136" s="230" t="s">
        <v>248</v>
      </c>
      <c r="B136" s="244" t="s">
        <v>249</v>
      </c>
      <c r="C136" s="244"/>
      <c r="D136" s="244"/>
      <c r="E136" s="244"/>
      <c r="F136" s="244"/>
      <c r="G136" s="244"/>
      <c r="H136" s="244"/>
      <c r="I136" s="245"/>
      <c r="J136" s="246"/>
      <c r="K136" s="231" t="s">
        <v>256</v>
      </c>
      <c r="L136" s="233">
        <v>0</v>
      </c>
      <c r="M136" s="235"/>
      <c r="N136" s="249"/>
      <c r="P136" s="223"/>
      <c r="Q136" s="223"/>
      <c r="R136" s="223"/>
      <c r="S136" s="223"/>
      <c r="T136" s="223"/>
      <c r="U136" s="223"/>
    </row>
    <row r="137" spans="1:21" ht="243.75" customHeight="1">
      <c r="A137" s="230"/>
      <c r="B137" s="236" t="s">
        <v>258</v>
      </c>
      <c r="C137" s="244"/>
      <c r="D137" s="244"/>
      <c r="E137" s="244"/>
      <c r="F137" s="244"/>
      <c r="G137" s="244"/>
      <c r="H137" s="244"/>
      <c r="I137" s="245"/>
      <c r="J137" s="246"/>
      <c r="K137" s="231"/>
      <c r="L137" s="233">
        <v>0</v>
      </c>
      <c r="M137" s="235">
        <f t="shared" ref="M137:M142" si="40">L137*I137</f>
        <v>0</v>
      </c>
      <c r="N137" s="249"/>
      <c r="P137" s="223"/>
      <c r="Q137" s="223"/>
      <c r="R137" s="223"/>
      <c r="S137" s="223"/>
      <c r="T137" s="223"/>
      <c r="U137" s="223"/>
    </row>
    <row r="138" spans="1:21" ht="18">
      <c r="A138" s="237">
        <v>1</v>
      </c>
      <c r="B138" s="238" t="s">
        <v>286</v>
      </c>
      <c r="C138" s="231"/>
      <c r="D138" s="231">
        <v>20</v>
      </c>
      <c r="E138" s="231"/>
      <c r="F138" s="231"/>
      <c r="G138" s="231">
        <v>4.5</v>
      </c>
      <c r="H138" s="231">
        <v>18.71</v>
      </c>
      <c r="I138" s="233">
        <f>+PRODUCT(D138,E138,F138,G138,H138)</f>
        <v>1683.9</v>
      </c>
      <c r="J138" s="234"/>
      <c r="K138" s="231" t="s">
        <v>260</v>
      </c>
      <c r="L138" s="233">
        <v>107</v>
      </c>
      <c r="M138" s="235">
        <f t="shared" si="40"/>
        <v>180177.30000000002</v>
      </c>
      <c r="N138" s="229"/>
      <c r="P138" s="223"/>
      <c r="Q138" s="223"/>
      <c r="R138" s="223"/>
      <c r="S138" s="223"/>
      <c r="T138" s="223"/>
      <c r="U138" s="223"/>
    </row>
    <row r="139" spans="1:21" ht="18">
      <c r="A139" s="237">
        <f>A138+1</f>
        <v>2</v>
      </c>
      <c r="B139" s="238" t="s">
        <v>261</v>
      </c>
      <c r="C139" s="231"/>
      <c r="D139" s="231">
        <f>(D138)*2</f>
        <v>40</v>
      </c>
      <c r="E139" s="231">
        <v>0.3</v>
      </c>
      <c r="F139" s="231">
        <v>0.4</v>
      </c>
      <c r="G139" s="231">
        <v>1.2E-2</v>
      </c>
      <c r="H139" s="231">
        <v>7850</v>
      </c>
      <c r="I139" s="233">
        <f>+PRODUCT(D139,E139,F139,G139,H139)</f>
        <v>452.16000000000008</v>
      </c>
      <c r="J139" s="234"/>
      <c r="K139" s="231" t="s">
        <v>260</v>
      </c>
      <c r="L139" s="233">
        <v>107</v>
      </c>
      <c r="M139" s="235">
        <f t="shared" si="40"/>
        <v>48381.12000000001</v>
      </c>
      <c r="N139" s="229"/>
      <c r="P139" s="223"/>
      <c r="Q139" s="223"/>
      <c r="R139" s="223"/>
      <c r="S139" s="223"/>
      <c r="T139" s="223"/>
      <c r="U139" s="223"/>
    </row>
    <row r="140" spans="1:21" ht="18">
      <c r="A140" s="237">
        <f t="shared" ref="A140:A142" si="41">A139+1</f>
        <v>3</v>
      </c>
      <c r="B140" s="238" t="s">
        <v>287</v>
      </c>
      <c r="C140" s="231"/>
      <c r="D140" s="231">
        <v>1</v>
      </c>
      <c r="E140" s="231">
        <v>250</v>
      </c>
      <c r="F140" s="231"/>
      <c r="G140" s="231"/>
      <c r="H140" s="231">
        <v>15.92</v>
      </c>
      <c r="I140" s="233">
        <f>+PRODUCT(D140,E140,F140,G140,H140)</f>
        <v>3980</v>
      </c>
      <c r="J140" s="234"/>
      <c r="K140" s="231" t="s">
        <v>260</v>
      </c>
      <c r="L140" s="233">
        <v>107</v>
      </c>
      <c r="M140" s="235">
        <f t="shared" si="40"/>
        <v>425860</v>
      </c>
      <c r="N140" s="229"/>
      <c r="P140" s="223"/>
      <c r="Q140" s="223"/>
      <c r="R140" s="223"/>
      <c r="S140" s="223"/>
      <c r="T140" s="223"/>
      <c r="U140" s="223"/>
    </row>
    <row r="141" spans="1:21" ht="18">
      <c r="A141" s="237">
        <f t="shared" si="41"/>
        <v>4</v>
      </c>
      <c r="B141" s="238" t="s">
        <v>263</v>
      </c>
      <c r="C141" s="231"/>
      <c r="D141" s="231">
        <v>1</v>
      </c>
      <c r="E141" s="231">
        <v>780</v>
      </c>
      <c r="F141" s="231"/>
      <c r="G141" s="231"/>
      <c r="H141" s="231">
        <v>3.73</v>
      </c>
      <c r="I141" s="233">
        <f>+PRODUCT(D141,E141,F141,G141,H141)</f>
        <v>2909.4</v>
      </c>
      <c r="J141" s="234"/>
      <c r="K141" s="231" t="s">
        <v>260</v>
      </c>
      <c r="L141" s="233">
        <v>107</v>
      </c>
      <c r="M141" s="235">
        <f t="shared" si="40"/>
        <v>311305.8</v>
      </c>
      <c r="N141" s="229"/>
      <c r="P141" s="223"/>
      <c r="Q141" s="223"/>
      <c r="R141" s="223"/>
      <c r="S141" s="223"/>
      <c r="T141" s="223"/>
      <c r="U141" s="223"/>
    </row>
    <row r="142" spans="1:21" ht="18">
      <c r="A142" s="237">
        <f t="shared" si="41"/>
        <v>5</v>
      </c>
      <c r="B142" s="238" t="s">
        <v>266</v>
      </c>
      <c r="C142" s="231"/>
      <c r="D142" s="231"/>
      <c r="E142" s="231"/>
      <c r="F142" s="231"/>
      <c r="G142" s="231"/>
      <c r="H142" s="231"/>
      <c r="I142" s="233">
        <f>+(SUM(I138:I141)*0.05)</f>
        <v>451.27300000000008</v>
      </c>
      <c r="J142" s="234"/>
      <c r="K142" s="231" t="s">
        <v>260</v>
      </c>
      <c r="L142" s="233">
        <v>107</v>
      </c>
      <c r="M142" s="235">
        <f t="shared" si="40"/>
        <v>48286.21100000001</v>
      </c>
      <c r="N142" s="229"/>
      <c r="P142" s="223"/>
      <c r="Q142" s="223"/>
      <c r="R142" s="223"/>
      <c r="S142" s="223"/>
      <c r="T142" s="223"/>
      <c r="U142" s="223"/>
    </row>
    <row r="143" spans="1:21" ht="18">
      <c r="A143" s="242"/>
      <c r="L143" s="233">
        <v>0</v>
      </c>
      <c r="M143" s="247"/>
      <c r="N143" s="229"/>
      <c r="P143" s="223"/>
      <c r="Q143" s="223"/>
      <c r="R143" s="223"/>
      <c r="S143" s="223"/>
      <c r="T143" s="223"/>
      <c r="U143" s="223"/>
    </row>
    <row r="144" spans="1:21" ht="18">
      <c r="A144" s="237"/>
      <c r="B144" s="236"/>
      <c r="C144" s="236"/>
      <c r="D144" s="236"/>
      <c r="E144" s="236"/>
      <c r="F144" s="236"/>
      <c r="G144" s="236"/>
      <c r="H144" s="236"/>
      <c r="I144" s="233"/>
      <c r="J144" s="257"/>
      <c r="K144" s="238"/>
      <c r="L144" s="233">
        <v>0</v>
      </c>
      <c r="M144" s="247">
        <f>SUM(M137:M143)</f>
        <v>1014010.431</v>
      </c>
      <c r="N144" s="229"/>
      <c r="P144" s="223"/>
      <c r="Q144" s="223"/>
      <c r="R144" s="223"/>
      <c r="S144" s="223"/>
      <c r="T144" s="223"/>
      <c r="U144" s="223"/>
    </row>
    <row r="145" spans="1:21" ht="18.75" customHeight="1">
      <c r="A145" s="381" t="s">
        <v>309</v>
      </c>
      <c r="B145" s="382"/>
      <c r="C145" s="382"/>
      <c r="D145" s="382"/>
      <c r="E145" s="382"/>
      <c r="F145" s="382"/>
      <c r="G145" s="382"/>
      <c r="H145" s="382"/>
      <c r="I145" s="382"/>
      <c r="J145" s="382"/>
      <c r="K145" s="382"/>
      <c r="L145" s="233">
        <v>0</v>
      </c>
      <c r="M145" s="383"/>
      <c r="N145" s="229"/>
      <c r="P145" s="223"/>
      <c r="Q145" s="223"/>
      <c r="R145" s="223"/>
      <c r="S145" s="223"/>
      <c r="T145" s="223"/>
      <c r="U145" s="223"/>
    </row>
    <row r="146" spans="1:21" ht="18">
      <c r="A146" s="230" t="s">
        <v>248</v>
      </c>
      <c r="B146" s="244" t="s">
        <v>249</v>
      </c>
      <c r="C146" s="244"/>
      <c r="D146" s="244"/>
      <c r="E146" s="244"/>
      <c r="F146" s="244"/>
      <c r="G146" s="244"/>
      <c r="H146" s="244"/>
      <c r="I146" s="245"/>
      <c r="J146" s="246"/>
      <c r="K146" s="250"/>
      <c r="L146" s="233">
        <v>0</v>
      </c>
      <c r="M146" s="252"/>
      <c r="N146" s="229"/>
      <c r="P146" s="223"/>
      <c r="Q146" s="223"/>
      <c r="R146" s="223"/>
      <c r="S146" s="223"/>
      <c r="T146" s="223"/>
      <c r="U146" s="223"/>
    </row>
    <row r="147" spans="1:21" ht="132" customHeight="1">
      <c r="A147" s="230"/>
      <c r="B147" s="262" t="s">
        <v>310</v>
      </c>
      <c r="C147" s="244"/>
      <c r="D147" s="244"/>
      <c r="E147" s="244"/>
      <c r="F147" s="244"/>
      <c r="G147" s="244"/>
      <c r="H147" s="244"/>
      <c r="I147" s="245"/>
      <c r="J147" s="246"/>
      <c r="K147" s="250"/>
      <c r="L147" s="233">
        <v>0</v>
      </c>
      <c r="M147" s="252"/>
      <c r="N147" s="229"/>
      <c r="P147" s="223"/>
      <c r="Q147" s="223"/>
      <c r="R147" s="223"/>
      <c r="S147" s="223"/>
      <c r="T147" s="223"/>
      <c r="U147" s="223"/>
    </row>
    <row r="148" spans="1:21" ht="18">
      <c r="A148" s="237">
        <v>1</v>
      </c>
      <c r="B148" s="236" t="s">
        <v>311</v>
      </c>
      <c r="C148" s="236"/>
      <c r="D148" s="236"/>
      <c r="E148" s="236"/>
      <c r="F148" s="236"/>
      <c r="G148" s="236"/>
      <c r="H148" s="236"/>
      <c r="I148" s="233">
        <f>(+I18+I19+I48+I49+I72+I73+I120)*2</f>
        <v>52.025750000000002</v>
      </c>
      <c r="J148" s="257"/>
      <c r="K148" s="238" t="s">
        <v>40</v>
      </c>
      <c r="L148" s="233">
        <v>1436</v>
      </c>
      <c r="M148" s="235">
        <f t="shared" ref="M148" si="42">L148*I148</f>
        <v>74708.976999999999</v>
      </c>
      <c r="N148" s="229"/>
      <c r="P148" s="223"/>
      <c r="Q148" s="223"/>
      <c r="R148" s="223"/>
      <c r="S148" s="223"/>
      <c r="T148" s="223"/>
      <c r="U148" s="223"/>
    </row>
    <row r="149" spans="1:21" ht="153.75" customHeight="1">
      <c r="A149" s="237"/>
      <c r="B149" s="236" t="s">
        <v>312</v>
      </c>
      <c r="C149" s="236"/>
      <c r="D149" s="236"/>
      <c r="E149" s="236"/>
      <c r="F149" s="236"/>
      <c r="G149" s="236"/>
      <c r="H149" s="236"/>
      <c r="I149" s="233"/>
      <c r="J149" s="257"/>
      <c r="K149" s="238"/>
      <c r="L149" s="233">
        <v>0</v>
      </c>
      <c r="M149" s="235"/>
      <c r="N149" s="229"/>
      <c r="P149" s="223"/>
      <c r="Q149" s="223"/>
      <c r="R149" s="223"/>
      <c r="S149" s="223"/>
      <c r="T149" s="223"/>
      <c r="U149" s="223"/>
    </row>
    <row r="150" spans="1:21" ht="18">
      <c r="A150" s="237">
        <v>2</v>
      </c>
      <c r="B150" s="236" t="s">
        <v>313</v>
      </c>
      <c r="C150" s="232"/>
      <c r="D150" s="232"/>
      <c r="E150" s="232"/>
      <c r="F150" s="232"/>
      <c r="G150" s="232"/>
      <c r="H150" s="232"/>
      <c r="I150" s="233">
        <v>41.804589999999997</v>
      </c>
      <c r="J150" s="234"/>
      <c r="K150" s="231" t="s">
        <v>15</v>
      </c>
      <c r="L150" s="233">
        <v>1730</v>
      </c>
      <c r="M150" s="235">
        <f t="shared" ref="M150" si="43">L150*I150</f>
        <v>72321.940699999992</v>
      </c>
      <c r="N150" s="229"/>
      <c r="P150" s="223"/>
      <c r="Q150" s="223"/>
      <c r="R150" s="223"/>
      <c r="S150" s="223"/>
      <c r="T150" s="223"/>
      <c r="U150" s="223"/>
    </row>
    <row r="151" spans="1:21" ht="18">
      <c r="A151" s="237"/>
      <c r="B151" s="236"/>
      <c r="C151" s="236"/>
      <c r="D151" s="236"/>
      <c r="E151" s="236"/>
      <c r="F151" s="236"/>
      <c r="G151" s="236"/>
      <c r="H151" s="236"/>
      <c r="I151" s="233"/>
      <c r="J151" s="257"/>
      <c r="K151" s="238"/>
      <c r="L151" s="233"/>
      <c r="M151" s="247"/>
      <c r="N151" s="229"/>
      <c r="P151" s="223"/>
      <c r="Q151" s="223"/>
      <c r="R151" s="223"/>
      <c r="S151" s="223"/>
      <c r="T151" s="223"/>
      <c r="U151" s="223"/>
    </row>
    <row r="152" spans="1:21" ht="18">
      <c r="A152" s="237"/>
      <c r="B152" s="236"/>
      <c r="C152" s="236"/>
      <c r="D152" s="236"/>
      <c r="E152" s="236"/>
      <c r="F152" s="236"/>
      <c r="G152" s="236"/>
      <c r="H152" s="236"/>
      <c r="I152" s="233"/>
      <c r="J152" s="257"/>
      <c r="K152" s="238"/>
      <c r="L152" s="233"/>
      <c r="M152" s="247">
        <f>SUM(M148:M151)</f>
        <v>147030.91769999999</v>
      </c>
      <c r="N152" s="229"/>
      <c r="P152" s="223"/>
      <c r="Q152" s="223"/>
      <c r="R152" s="223"/>
      <c r="S152" s="223"/>
      <c r="T152" s="223"/>
      <c r="U152" s="223"/>
    </row>
    <row r="153" spans="1:21" ht="18.75" customHeight="1">
      <c r="A153" s="381" t="s">
        <v>314</v>
      </c>
      <c r="B153" s="382"/>
      <c r="C153" s="382"/>
      <c r="D153" s="382"/>
      <c r="E153" s="382"/>
      <c r="F153" s="382"/>
      <c r="G153" s="382"/>
      <c r="H153" s="382"/>
      <c r="I153" s="382"/>
      <c r="J153" s="382"/>
      <c r="K153" s="382"/>
      <c r="L153" s="382"/>
      <c r="M153" s="383"/>
      <c r="N153" s="229"/>
      <c r="P153" s="223"/>
      <c r="Q153" s="223"/>
      <c r="R153" s="223"/>
      <c r="S153" s="223"/>
      <c r="T153" s="223"/>
      <c r="U153" s="223"/>
    </row>
    <row r="154" spans="1:21" ht="18">
      <c r="A154" s="230" t="s">
        <v>248</v>
      </c>
      <c r="B154" s="244" t="s">
        <v>249</v>
      </c>
      <c r="C154" s="244"/>
      <c r="D154" s="244"/>
      <c r="E154" s="244"/>
      <c r="F154" s="244"/>
      <c r="G154" s="244"/>
      <c r="H154" s="244"/>
      <c r="I154" s="245"/>
      <c r="J154" s="246"/>
      <c r="K154" s="250"/>
      <c r="M154" s="252"/>
      <c r="N154" s="229"/>
      <c r="P154" s="223"/>
      <c r="Q154" s="223"/>
      <c r="R154" s="223"/>
      <c r="S154" s="223"/>
      <c r="T154" s="223"/>
      <c r="U154" s="223"/>
    </row>
    <row r="155" spans="1:21" ht="18">
      <c r="A155" s="237">
        <v>1</v>
      </c>
      <c r="B155" s="236" t="s">
        <v>315</v>
      </c>
      <c r="C155" s="236"/>
      <c r="D155" s="236"/>
      <c r="E155" s="236"/>
      <c r="F155" s="236"/>
      <c r="G155" s="236"/>
      <c r="H155" s="236"/>
      <c r="I155" s="233">
        <v>32560.35</v>
      </c>
      <c r="J155" s="257"/>
      <c r="K155" s="238" t="s">
        <v>316</v>
      </c>
      <c r="L155" s="233"/>
      <c r="M155" s="235"/>
      <c r="N155" s="229"/>
      <c r="P155" s="223"/>
      <c r="Q155" s="223"/>
      <c r="R155" s="223"/>
      <c r="S155" s="223"/>
      <c r="T155" s="223"/>
      <c r="U155" s="223"/>
    </row>
    <row r="156" spans="1:21" ht="18">
      <c r="A156" s="237"/>
      <c r="B156" s="236"/>
      <c r="C156" s="236"/>
      <c r="D156" s="236"/>
      <c r="E156" s="236"/>
      <c r="F156" s="236"/>
      <c r="G156" s="236"/>
      <c r="H156" s="236"/>
      <c r="I156" s="233"/>
      <c r="J156" s="257"/>
      <c r="K156" s="238"/>
      <c r="L156" s="233"/>
      <c r="M156" s="247"/>
      <c r="N156" s="229"/>
      <c r="P156" s="223"/>
      <c r="Q156" s="223"/>
      <c r="R156" s="223"/>
      <c r="S156" s="223"/>
      <c r="T156" s="223"/>
      <c r="U156" s="223"/>
    </row>
    <row r="157" spans="1:21" ht="18">
      <c r="A157" s="237"/>
      <c r="B157" s="236"/>
      <c r="C157" s="236"/>
      <c r="D157" s="236"/>
      <c r="E157" s="236"/>
      <c r="F157" s="236"/>
      <c r="G157" s="236"/>
      <c r="H157" s="236"/>
      <c r="I157" s="233"/>
      <c r="J157" s="257"/>
      <c r="K157" s="238"/>
      <c r="L157" s="233"/>
      <c r="M157" s="247"/>
      <c r="N157" s="229"/>
      <c r="P157" s="223"/>
      <c r="Q157" s="223"/>
      <c r="R157" s="223"/>
      <c r="S157" s="223"/>
      <c r="T157" s="223"/>
      <c r="U157" s="223"/>
    </row>
    <row r="158" spans="1:21" ht="18.5" thickBot="1">
      <c r="A158" s="263"/>
      <c r="B158" s="264"/>
      <c r="C158" s="264"/>
      <c r="D158" s="264"/>
      <c r="E158" s="264"/>
      <c r="F158" s="264"/>
      <c r="G158" s="264"/>
      <c r="H158" s="264"/>
      <c r="I158" s="265"/>
      <c r="J158" s="266"/>
      <c r="K158" s="267"/>
      <c r="L158" s="268" t="s">
        <v>81</v>
      </c>
      <c r="M158" s="269">
        <f>M152+M144+M134+M125+M116+M104+M92+M59+M37</f>
        <v>7732263.2117750011</v>
      </c>
      <c r="N158" s="229"/>
      <c r="P158" s="223"/>
      <c r="Q158" s="223"/>
      <c r="R158" s="223"/>
      <c r="S158" s="223"/>
      <c r="T158" s="223"/>
      <c r="U158" s="223"/>
    </row>
    <row r="159" spans="1:21" ht="18">
      <c r="A159" s="270"/>
      <c r="B159" s="271"/>
      <c r="C159" s="271"/>
      <c r="D159" s="271"/>
      <c r="E159" s="271"/>
      <c r="F159" s="271"/>
      <c r="G159" s="271"/>
      <c r="H159" s="271"/>
      <c r="I159" s="272"/>
      <c r="J159" s="273"/>
      <c r="K159" s="274"/>
      <c r="L159" s="272"/>
      <c r="M159" s="275"/>
      <c r="N159" s="229"/>
      <c r="P159" s="223"/>
      <c r="Q159" s="223"/>
      <c r="R159" s="223"/>
      <c r="S159" s="223"/>
      <c r="T159" s="223"/>
      <c r="U159" s="223"/>
    </row>
    <row r="160" spans="1:21">
      <c r="P160" s="223"/>
      <c r="Q160" s="223"/>
      <c r="R160" s="223"/>
      <c r="S160" s="223"/>
      <c r="T160" s="223"/>
      <c r="U160" s="223"/>
    </row>
    <row r="161" spans="16:21">
      <c r="P161" s="223"/>
      <c r="Q161" s="223"/>
      <c r="R161" s="223"/>
      <c r="S161" s="223"/>
      <c r="T161" s="223"/>
      <c r="U161" s="223"/>
    </row>
    <row r="162" spans="16:21">
      <c r="P162" s="223"/>
      <c r="Q162" s="223"/>
      <c r="R162" s="223"/>
      <c r="S162" s="223"/>
      <c r="T162" s="223"/>
      <c r="U162" s="223"/>
    </row>
    <row r="163" spans="16:21">
      <c r="P163" s="223"/>
      <c r="Q163" s="223"/>
      <c r="R163" s="223"/>
      <c r="S163" s="223"/>
      <c r="T163" s="223"/>
      <c r="U163" s="223"/>
    </row>
    <row r="164" spans="16:21">
      <c r="P164" s="223"/>
      <c r="Q164" s="223"/>
      <c r="R164" s="223"/>
      <c r="S164" s="223"/>
      <c r="T164" s="223"/>
      <c r="U164" s="223"/>
    </row>
    <row r="165" spans="16:21">
      <c r="P165" s="223"/>
      <c r="Q165" s="223"/>
      <c r="R165" s="223"/>
      <c r="S165" s="223"/>
      <c r="T165" s="223"/>
      <c r="U165" s="223"/>
    </row>
    <row r="166" spans="16:21">
      <c r="P166" s="223"/>
      <c r="Q166" s="223"/>
      <c r="R166" s="223"/>
      <c r="S166" s="223"/>
      <c r="T166" s="223"/>
      <c r="U166" s="223"/>
    </row>
    <row r="167" spans="16:21">
      <c r="P167" s="223"/>
      <c r="Q167" s="223"/>
      <c r="R167" s="223"/>
      <c r="S167" s="223"/>
      <c r="T167" s="223"/>
      <c r="U167" s="223"/>
    </row>
  </sheetData>
  <mergeCells count="6">
    <mergeCell ref="E53:F53"/>
    <mergeCell ref="E77:F77"/>
    <mergeCell ref="A1:T1"/>
    <mergeCell ref="A5:M5"/>
    <mergeCell ref="E23:F23"/>
    <mergeCell ref="A38:K38"/>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showGridLines="0" zoomScaleNormal="100" zoomScaleSheetLayoutView="100" workbookViewId="0">
      <selection activeCell="B6" sqref="B6"/>
    </sheetView>
  </sheetViews>
  <sheetFormatPr defaultColWidth="9.1640625" defaultRowHeight="14"/>
  <cols>
    <col min="1" max="1" width="11" style="352" customWidth="1"/>
    <col min="2" max="2" width="59.83203125" style="352" customWidth="1"/>
    <col min="3" max="3" width="14.33203125" style="352" customWidth="1"/>
    <col min="4" max="4" width="12.9140625" style="352" bestFit="1" customWidth="1"/>
    <col min="5" max="5" width="12.25" style="332" bestFit="1" customWidth="1"/>
    <col min="6" max="6" width="26.1640625" style="332" customWidth="1"/>
    <col min="7" max="16384" width="9.1640625" style="332"/>
  </cols>
  <sheetData>
    <row r="1" spans="1:6">
      <c r="A1" s="329"/>
      <c r="B1" s="330"/>
      <c r="C1" s="330"/>
      <c r="D1" s="330"/>
      <c r="E1" s="331"/>
    </row>
    <row r="2" spans="1:6" customFormat="1">
      <c r="A2" s="427" t="s">
        <v>474</v>
      </c>
      <c r="B2" s="427"/>
      <c r="C2" s="427"/>
      <c r="D2" s="427"/>
      <c r="E2" s="427"/>
    </row>
    <row r="3" spans="1:6" customFormat="1">
      <c r="A3" s="333"/>
      <c r="B3" s="334"/>
      <c r="C3" s="334"/>
      <c r="D3" s="334"/>
    </row>
    <row r="4" spans="1:6">
      <c r="A4" s="428" t="s">
        <v>475</v>
      </c>
      <c r="B4" s="428" t="s">
        <v>3</v>
      </c>
      <c r="C4" s="428" t="s">
        <v>321</v>
      </c>
      <c r="D4" s="428" t="s">
        <v>322</v>
      </c>
      <c r="E4" s="427" t="s">
        <v>476</v>
      </c>
      <c r="F4" s="426"/>
    </row>
    <row r="5" spans="1:6" ht="14.5" customHeight="1">
      <c r="A5" s="428"/>
      <c r="B5" s="428"/>
      <c r="C5" s="428"/>
      <c r="D5" s="428"/>
      <c r="E5" s="427"/>
      <c r="F5" s="426"/>
    </row>
    <row r="6" spans="1:6">
      <c r="A6" s="335"/>
      <c r="B6" s="336"/>
      <c r="C6" s="337"/>
      <c r="D6" s="337"/>
      <c r="E6" s="338"/>
    </row>
    <row r="7" spans="1:6">
      <c r="A7" s="339" t="s">
        <v>323</v>
      </c>
      <c r="B7" s="340" t="s">
        <v>324</v>
      </c>
      <c r="C7" s="341">
        <f>'PHE WORKS-R1'!G18</f>
        <v>333772</v>
      </c>
      <c r="D7" s="341">
        <f>'PHE WORKS-R1'!H18</f>
        <v>74708</v>
      </c>
      <c r="E7" s="342">
        <f>D7+C7</f>
        <v>408480</v>
      </c>
    </row>
    <row r="8" spans="1:6">
      <c r="A8" s="343"/>
      <c r="B8" s="340"/>
      <c r="C8" s="341"/>
      <c r="D8" s="341"/>
      <c r="E8" s="342"/>
    </row>
    <row r="9" spans="1:6" ht="28">
      <c r="A9" s="339" t="s">
        <v>333</v>
      </c>
      <c r="B9" s="340" t="s">
        <v>334</v>
      </c>
      <c r="C9" s="341">
        <f>'PHE WORKS-R1'!G56</f>
        <v>466276</v>
      </c>
      <c r="D9" s="341">
        <f>'PHE WORKS-R1'!H56</f>
        <v>188238</v>
      </c>
      <c r="E9" s="342">
        <f t="shared" ref="E9:E17" si="0">D9+C9</f>
        <v>654514</v>
      </c>
    </row>
    <row r="10" spans="1:6">
      <c r="A10" s="343"/>
      <c r="B10" s="340"/>
      <c r="C10" s="341"/>
      <c r="D10" s="341"/>
      <c r="E10" s="342"/>
    </row>
    <row r="11" spans="1:6">
      <c r="A11" s="339" t="s">
        <v>363</v>
      </c>
      <c r="B11" s="340" t="s">
        <v>364</v>
      </c>
      <c r="C11" s="341">
        <f>'PHE WORKS-R1'!G112</f>
        <v>305172</v>
      </c>
      <c r="D11" s="341">
        <f>'PHE WORKS-R1'!H112</f>
        <v>84456</v>
      </c>
      <c r="E11" s="342">
        <f t="shared" si="0"/>
        <v>389628</v>
      </c>
    </row>
    <row r="12" spans="1:6">
      <c r="A12" s="343"/>
      <c r="B12" s="340"/>
      <c r="C12" s="341"/>
      <c r="D12" s="341"/>
      <c r="E12" s="342"/>
    </row>
    <row r="13" spans="1:6">
      <c r="A13" s="339" t="s">
        <v>393</v>
      </c>
      <c r="B13" s="340" t="s">
        <v>394</v>
      </c>
      <c r="C13" s="341">
        <f>'PHE WORKS-R1'!G140</f>
        <v>401073</v>
      </c>
      <c r="D13" s="341">
        <f>'PHE WORKS-R1'!H140</f>
        <v>93636</v>
      </c>
      <c r="E13" s="342">
        <f t="shared" si="0"/>
        <v>494709</v>
      </c>
    </row>
    <row r="14" spans="1:6">
      <c r="A14" s="343"/>
      <c r="B14" s="340"/>
      <c r="C14" s="341"/>
      <c r="D14" s="341"/>
      <c r="E14" s="342"/>
    </row>
    <row r="15" spans="1:6" ht="28">
      <c r="A15" s="339" t="s">
        <v>416</v>
      </c>
      <c r="B15" s="340" t="s">
        <v>497</v>
      </c>
      <c r="C15" s="341">
        <f>'PHE WORKS-R1'!G160</f>
        <v>0</v>
      </c>
      <c r="D15" s="341">
        <f>'PHE WORKS-R1'!H160</f>
        <v>0</v>
      </c>
      <c r="E15" s="342">
        <f t="shared" si="0"/>
        <v>0</v>
      </c>
    </row>
    <row r="16" spans="1:6">
      <c r="A16" s="344"/>
      <c r="B16" s="340"/>
      <c r="C16" s="341"/>
      <c r="D16" s="341"/>
      <c r="E16" s="342"/>
    </row>
    <row r="17" spans="1:5">
      <c r="A17" s="339" t="s">
        <v>428</v>
      </c>
      <c r="B17" s="340" t="s">
        <v>429</v>
      </c>
      <c r="C17" s="341">
        <f>'PHE WORKS-R1'!G179</f>
        <v>1019932</v>
      </c>
      <c r="D17" s="341">
        <f>'PHE WORKS-R1'!H179</f>
        <v>352014</v>
      </c>
      <c r="E17" s="342">
        <f t="shared" si="0"/>
        <v>1371946</v>
      </c>
    </row>
    <row r="18" spans="1:5">
      <c r="A18" s="343"/>
      <c r="B18" s="340"/>
      <c r="C18" s="341"/>
      <c r="D18" s="341"/>
      <c r="E18" s="342"/>
    </row>
    <row r="19" spans="1:5">
      <c r="A19" s="339" t="s">
        <v>443</v>
      </c>
      <c r="B19" s="340" t="s">
        <v>444</v>
      </c>
      <c r="C19" s="341">
        <f>'PHE WORKS-R1'!G224</f>
        <v>1575488</v>
      </c>
      <c r="D19" s="341">
        <f>'PHE WORKS-R1'!H224</f>
        <v>221192</v>
      </c>
      <c r="E19" s="342">
        <f>D19+C19</f>
        <v>1796680</v>
      </c>
    </row>
    <row r="20" spans="1:5">
      <c r="A20" s="345"/>
      <c r="B20" s="346"/>
      <c r="C20" s="347"/>
      <c r="D20" s="347"/>
      <c r="E20" s="348"/>
    </row>
    <row r="21" spans="1:5">
      <c r="A21" s="349"/>
      <c r="B21" s="350" t="s">
        <v>246</v>
      </c>
      <c r="C21" s="351">
        <f>SUM(C6:C20)</f>
        <v>4101713</v>
      </c>
      <c r="D21" s="351">
        <f>SUM(D6:D20)</f>
        <v>1014244</v>
      </c>
      <c r="E21" s="351">
        <f>SUM(E6:E20)</f>
        <v>5115957</v>
      </c>
    </row>
  </sheetData>
  <mergeCells count="7">
    <mergeCell ref="F4:F5"/>
    <mergeCell ref="A2:E2"/>
    <mergeCell ref="A4:A5"/>
    <mergeCell ref="B4:B5"/>
    <mergeCell ref="C4:C5"/>
    <mergeCell ref="D4:D5"/>
    <mergeCell ref="E4:E5"/>
  </mergeCells>
  <pageMargins left="0.98" right="0.70866141732283472" top="1.1200000000000001" bottom="0.74803149606299213" header="0.31496062992125984" footer="0.31496062992125984"/>
  <pageSetup scale="65" orientation="portrait" horizontalDpi="1200" verticalDpi="1200" r:id="rId1"/>
  <headerFooter>
    <oddHeader>&amp;LPROJECT - Mr Raju's Residence</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254"/>
  <sheetViews>
    <sheetView zoomScale="90" zoomScaleNormal="90" zoomScaleSheetLayoutView="85" workbookViewId="0">
      <pane ySplit="3" topLeftCell="A211" activePane="bottomLeft" state="frozen"/>
      <selection pane="bottomLeft" activeCell="B88" sqref="B88"/>
    </sheetView>
  </sheetViews>
  <sheetFormatPr defaultColWidth="9.1640625" defaultRowHeight="12.5"/>
  <cols>
    <col min="1" max="1" width="12.6640625" style="277" customWidth="1"/>
    <col min="2" max="2" width="77.1640625" style="277" customWidth="1"/>
    <col min="3" max="3" width="7.83203125" style="277" customWidth="1"/>
    <col min="4" max="4" width="9.5" style="277" customWidth="1"/>
    <col min="5" max="5" width="14.1640625" style="328" customWidth="1"/>
    <col min="6" max="6" width="10.6640625" style="328" customWidth="1"/>
    <col min="7" max="7" width="13.5" style="277" customWidth="1"/>
    <col min="8" max="8" width="14.1640625" style="328" customWidth="1"/>
    <col min="9" max="9" width="26.1640625" style="276" hidden="1" customWidth="1"/>
    <col min="10" max="10" width="10.83203125" style="276" customWidth="1"/>
    <col min="11" max="11" width="10.6640625" style="276" customWidth="1"/>
    <col min="12" max="12" width="11.83203125" style="276" customWidth="1"/>
    <col min="13" max="13" width="12.1640625" style="276" customWidth="1"/>
    <col min="14" max="14" width="10.83203125" style="276" customWidth="1"/>
    <col min="15" max="15" width="9.1640625" style="276" customWidth="1"/>
    <col min="16" max="16" width="15.1640625" style="276" customWidth="1"/>
    <col min="17" max="16384" width="9.1640625" style="276"/>
  </cols>
  <sheetData>
    <row r="1" spans="1:39" ht="13">
      <c r="A1" s="278"/>
      <c r="B1" s="279"/>
      <c r="C1" s="279"/>
      <c r="D1" s="280"/>
      <c r="E1" s="279"/>
      <c r="F1" s="279"/>
      <c r="G1" s="281"/>
      <c r="H1" s="279"/>
    </row>
    <row r="2" spans="1:39" ht="13.75" customHeight="1">
      <c r="A2" s="433" t="s">
        <v>317</v>
      </c>
      <c r="B2" s="433" t="s">
        <v>236</v>
      </c>
      <c r="C2" s="434" t="s">
        <v>4</v>
      </c>
      <c r="D2" s="435" t="s">
        <v>318</v>
      </c>
      <c r="E2" s="429" t="s">
        <v>319</v>
      </c>
      <c r="F2" s="429" t="s">
        <v>320</v>
      </c>
      <c r="G2" s="429" t="s">
        <v>321</v>
      </c>
      <c r="H2" s="429" t="s">
        <v>322</v>
      </c>
      <c r="I2" s="431" t="s">
        <v>498</v>
      </c>
    </row>
    <row r="3" spans="1:39">
      <c r="A3" s="433"/>
      <c r="B3" s="433"/>
      <c r="C3" s="434"/>
      <c r="D3" s="435"/>
      <c r="E3" s="430"/>
      <c r="F3" s="430"/>
      <c r="G3" s="430"/>
      <c r="H3" s="430"/>
      <c r="I3" s="431"/>
    </row>
    <row r="4" spans="1:39" s="284" customFormat="1" ht="13" customHeight="1">
      <c r="A4" s="282"/>
      <c r="B4" s="362"/>
      <c r="C4" s="282"/>
      <c r="D4" s="282"/>
      <c r="E4" s="283"/>
      <c r="F4" s="283"/>
      <c r="G4" s="283"/>
      <c r="H4" s="283"/>
    </row>
    <row r="5" spans="1:39" s="287" customFormat="1" ht="13">
      <c r="A5" s="285" t="s">
        <v>323</v>
      </c>
      <c r="B5" s="432" t="s">
        <v>324</v>
      </c>
      <c r="C5" s="432"/>
      <c r="D5" s="432"/>
      <c r="E5" s="432"/>
      <c r="F5" s="432"/>
      <c r="G5" s="432"/>
      <c r="H5" s="286"/>
      <c r="J5" s="276"/>
      <c r="K5" s="276"/>
      <c r="L5" s="276"/>
      <c r="M5" s="276"/>
      <c r="N5" s="276"/>
      <c r="O5" s="276"/>
      <c r="P5" s="276"/>
      <c r="Q5" s="276"/>
      <c r="R5" s="276"/>
      <c r="S5" s="276"/>
      <c r="T5" s="276"/>
      <c r="U5" s="276"/>
      <c r="V5" s="276"/>
      <c r="W5" s="276"/>
      <c r="X5" s="276"/>
      <c r="Y5" s="276"/>
      <c r="Z5" s="276"/>
      <c r="AA5" s="276"/>
      <c r="AB5" s="276"/>
      <c r="AC5" s="276"/>
      <c r="AD5" s="276"/>
      <c r="AE5" s="276"/>
      <c r="AF5" s="276"/>
      <c r="AG5" s="276"/>
      <c r="AH5" s="276"/>
      <c r="AI5" s="276"/>
      <c r="AJ5" s="276"/>
      <c r="AK5" s="276"/>
      <c r="AL5" s="276"/>
      <c r="AM5" s="276"/>
    </row>
    <row r="6" spans="1:39" s="284" customFormat="1" ht="96" customHeight="1">
      <c r="A6" s="282">
        <v>1</v>
      </c>
      <c r="B6" s="362" t="s">
        <v>325</v>
      </c>
      <c r="C6" s="282" t="s">
        <v>243</v>
      </c>
      <c r="D6" s="282">
        <v>4</v>
      </c>
      <c r="E6" s="283">
        <v>17052</v>
      </c>
      <c r="F6" s="283">
        <v>2436</v>
      </c>
      <c r="G6" s="283">
        <f>E6*D6</f>
        <v>68208</v>
      </c>
      <c r="H6" s="283">
        <f>F6*D6</f>
        <v>9744</v>
      </c>
    </row>
    <row r="7" spans="1:39" s="284" customFormat="1">
      <c r="A7" s="282"/>
      <c r="B7" s="362"/>
      <c r="C7" s="282"/>
      <c r="D7" s="282"/>
      <c r="E7" s="283">
        <v>0</v>
      </c>
      <c r="F7" s="283">
        <v>0</v>
      </c>
      <c r="G7" s="283"/>
      <c r="H7" s="283"/>
    </row>
    <row r="8" spans="1:39" s="284" customFormat="1" ht="39">
      <c r="A8" s="282">
        <f>A6+1</f>
        <v>2</v>
      </c>
      <c r="B8" s="362" t="s">
        <v>326</v>
      </c>
      <c r="C8" s="282" t="s">
        <v>243</v>
      </c>
      <c r="D8" s="282">
        <v>4</v>
      </c>
      <c r="E8" s="283">
        <v>1315</v>
      </c>
      <c r="F8" s="283">
        <v>146</v>
      </c>
      <c r="G8" s="283">
        <f>E8*D8</f>
        <v>5260</v>
      </c>
      <c r="H8" s="283">
        <f>F8*D8</f>
        <v>584</v>
      </c>
    </row>
    <row r="9" spans="1:39" s="284" customFormat="1">
      <c r="A9" s="282"/>
      <c r="B9" s="362"/>
      <c r="C9" s="282"/>
      <c r="D9" s="282"/>
      <c r="E9" s="283">
        <v>0</v>
      </c>
      <c r="F9" s="283">
        <v>0</v>
      </c>
      <c r="G9" s="283"/>
      <c r="H9" s="283"/>
    </row>
    <row r="10" spans="1:39" s="284" customFormat="1" ht="67.25" customHeight="1">
      <c r="A10" s="282">
        <f t="shared" ref="A10" si="0">A8+1</f>
        <v>3</v>
      </c>
      <c r="B10" s="362" t="s">
        <v>327</v>
      </c>
      <c r="C10" s="282" t="s">
        <v>243</v>
      </c>
      <c r="D10" s="282">
        <v>6</v>
      </c>
      <c r="E10" s="283">
        <v>12180</v>
      </c>
      <c r="F10" s="283">
        <v>2436</v>
      </c>
      <c r="G10" s="283">
        <f>E10*D10</f>
        <v>73080</v>
      </c>
      <c r="H10" s="283">
        <f>F10*D10</f>
        <v>14616</v>
      </c>
    </row>
    <row r="11" spans="1:39" s="284" customFormat="1">
      <c r="A11" s="282"/>
      <c r="B11" s="362"/>
      <c r="C11" s="282"/>
      <c r="D11" s="282"/>
      <c r="E11" s="283">
        <v>0</v>
      </c>
      <c r="F11" s="283">
        <v>0</v>
      </c>
      <c r="G11" s="283"/>
      <c r="H11" s="283"/>
    </row>
    <row r="12" spans="1:39" s="284" customFormat="1" ht="115">
      <c r="A12" s="282">
        <f t="shared" ref="A12:A16" si="1">A10+1</f>
        <v>4</v>
      </c>
      <c r="B12" s="362" t="s">
        <v>328</v>
      </c>
      <c r="C12" s="282" t="s">
        <v>243</v>
      </c>
      <c r="D12" s="282">
        <v>2</v>
      </c>
      <c r="E12" s="283">
        <v>17052</v>
      </c>
      <c r="F12" s="283">
        <v>3410</v>
      </c>
      <c r="G12" s="283">
        <f>E12*D12</f>
        <v>34104</v>
      </c>
      <c r="H12" s="283">
        <f>F12*D12</f>
        <v>6820</v>
      </c>
    </row>
    <row r="13" spans="1:39" s="284" customFormat="1">
      <c r="A13" s="282"/>
      <c r="B13" s="362"/>
      <c r="C13" s="282"/>
      <c r="D13" s="282"/>
      <c r="E13" s="283">
        <v>0</v>
      </c>
      <c r="F13" s="283">
        <v>0</v>
      </c>
      <c r="G13" s="283"/>
      <c r="H13" s="283"/>
    </row>
    <row r="14" spans="1:39" s="284" customFormat="1" ht="25.5">
      <c r="A14" s="282">
        <f t="shared" si="1"/>
        <v>5</v>
      </c>
      <c r="B14" s="362" t="s">
        <v>329</v>
      </c>
      <c r="C14" s="282" t="s">
        <v>243</v>
      </c>
      <c r="D14" s="282">
        <v>176</v>
      </c>
      <c r="E14" s="283">
        <v>870</v>
      </c>
      <c r="F14" s="283">
        <v>244</v>
      </c>
      <c r="G14" s="283">
        <f>E14*D14</f>
        <v>153120</v>
      </c>
      <c r="H14" s="283">
        <f>F14*D14</f>
        <v>42944</v>
      </c>
    </row>
    <row r="15" spans="1:39" s="284" customFormat="1">
      <c r="A15" s="282"/>
      <c r="B15" s="362"/>
      <c r="C15" s="282"/>
      <c r="D15" s="282"/>
      <c r="E15" s="283">
        <v>0</v>
      </c>
      <c r="F15" s="283">
        <v>0</v>
      </c>
      <c r="G15" s="283"/>
      <c r="H15" s="283"/>
    </row>
    <row r="16" spans="1:39" s="284" customFormat="1" ht="25">
      <c r="A16" s="282">
        <f t="shared" si="1"/>
        <v>6</v>
      </c>
      <c r="B16" s="362" t="s">
        <v>330</v>
      </c>
      <c r="C16" s="282" t="s">
        <v>243</v>
      </c>
      <c r="D16" s="282" t="s">
        <v>331</v>
      </c>
      <c r="E16" s="283">
        <v>0</v>
      </c>
      <c r="F16" s="283">
        <v>0</v>
      </c>
      <c r="G16" s="283"/>
      <c r="H16" s="283"/>
    </row>
    <row r="17" spans="1:8" s="284" customFormat="1">
      <c r="A17" s="282"/>
      <c r="B17" s="362"/>
      <c r="C17" s="282"/>
      <c r="D17" s="282"/>
      <c r="E17" s="282"/>
      <c r="F17" s="282"/>
      <c r="G17" s="283"/>
      <c r="H17" s="283"/>
    </row>
    <row r="18" spans="1:8" ht="13">
      <c r="A18" s="289"/>
      <c r="B18" s="289" t="s">
        <v>332</v>
      </c>
      <c r="C18" s="289"/>
      <c r="D18" s="290"/>
      <c r="E18" s="290"/>
      <c r="F18" s="290"/>
      <c r="G18" s="292">
        <f>SUM(G6:G17)</f>
        <v>333772</v>
      </c>
      <c r="H18" s="292">
        <f>SUM(H6:H17)</f>
        <v>74708</v>
      </c>
    </row>
    <row r="19" spans="1:8">
      <c r="A19" s="294"/>
      <c r="B19" s="294"/>
      <c r="C19" s="294"/>
      <c r="E19" s="277"/>
      <c r="F19" s="277"/>
      <c r="G19" s="296"/>
      <c r="H19" s="295"/>
    </row>
    <row r="20" spans="1:8" ht="13">
      <c r="A20" s="289" t="s">
        <v>333</v>
      </c>
      <c r="B20" s="289" t="s">
        <v>334</v>
      </c>
      <c r="C20" s="289"/>
      <c r="D20" s="290"/>
      <c r="E20" s="290"/>
      <c r="F20" s="290"/>
      <c r="G20" s="292"/>
      <c r="H20" s="291"/>
    </row>
    <row r="21" spans="1:8" ht="50">
      <c r="A21" s="297">
        <v>1</v>
      </c>
      <c r="B21" s="363" t="s">
        <v>335</v>
      </c>
      <c r="C21" s="297"/>
      <c r="D21" s="297"/>
      <c r="E21" s="297"/>
      <c r="F21" s="297"/>
      <c r="G21" s="283"/>
      <c r="H21" s="283"/>
    </row>
    <row r="22" spans="1:8">
      <c r="A22" s="298"/>
      <c r="B22" s="364" t="s">
        <v>336</v>
      </c>
      <c r="C22" s="298" t="s">
        <v>66</v>
      </c>
      <c r="D22" s="298">
        <v>20</v>
      </c>
      <c r="E22" s="283">
        <v>292</v>
      </c>
      <c r="F22" s="283">
        <v>97</v>
      </c>
      <c r="G22" s="283">
        <f t="shared" ref="G22:G23" si="2">E22*D22</f>
        <v>5840</v>
      </c>
      <c r="H22" s="283">
        <f t="shared" ref="H22:H23" si="3">F22*D22</f>
        <v>1940</v>
      </c>
    </row>
    <row r="23" spans="1:8">
      <c r="A23" s="298"/>
      <c r="B23" s="364" t="s">
        <v>337</v>
      </c>
      <c r="C23" s="298" t="s">
        <v>66</v>
      </c>
      <c r="D23" s="298">
        <v>60</v>
      </c>
      <c r="E23" s="283">
        <v>341</v>
      </c>
      <c r="F23" s="283">
        <v>97</v>
      </c>
      <c r="G23" s="283">
        <f t="shared" si="2"/>
        <v>20460</v>
      </c>
      <c r="H23" s="283">
        <f t="shared" si="3"/>
        <v>5820</v>
      </c>
    </row>
    <row r="24" spans="1:8">
      <c r="A24" s="298"/>
      <c r="B24" s="298"/>
      <c r="C24" s="298"/>
      <c r="D24" s="298"/>
      <c r="E24" s="283">
        <v>0</v>
      </c>
      <c r="F24" s="283">
        <v>0</v>
      </c>
      <c r="G24" s="283"/>
      <c r="H24" s="283"/>
    </row>
    <row r="25" spans="1:8" ht="50">
      <c r="A25" s="298">
        <v>2</v>
      </c>
      <c r="B25" s="320" t="s">
        <v>338</v>
      </c>
      <c r="C25" s="298"/>
      <c r="D25" s="298"/>
      <c r="E25" s="283">
        <v>0</v>
      </c>
      <c r="F25" s="283">
        <v>0</v>
      </c>
      <c r="G25" s="283"/>
      <c r="H25" s="283"/>
    </row>
    <row r="26" spans="1:8">
      <c r="A26" s="298"/>
      <c r="B26" s="320" t="s">
        <v>339</v>
      </c>
      <c r="C26" s="298"/>
      <c r="D26" s="298"/>
      <c r="E26" s="283">
        <v>0</v>
      </c>
      <c r="F26" s="283">
        <v>0</v>
      </c>
      <c r="G26" s="283"/>
      <c r="H26" s="283"/>
    </row>
    <row r="27" spans="1:8">
      <c r="A27" s="298"/>
      <c r="B27" s="364" t="s">
        <v>340</v>
      </c>
      <c r="C27" s="298" t="s">
        <v>66</v>
      </c>
      <c r="D27" s="298">
        <v>20</v>
      </c>
      <c r="E27" s="283">
        <v>487</v>
      </c>
      <c r="F27" s="283">
        <v>97</v>
      </c>
      <c r="G27" s="283">
        <f t="shared" ref="G27:G33" si="4">E27*D27</f>
        <v>9740</v>
      </c>
      <c r="H27" s="283">
        <f t="shared" ref="H27:H33" si="5">F27*D27</f>
        <v>1940</v>
      </c>
    </row>
    <row r="28" spans="1:8">
      <c r="A28" s="298"/>
      <c r="B28" s="364" t="s">
        <v>341</v>
      </c>
      <c r="C28" s="298" t="s">
        <v>66</v>
      </c>
      <c r="D28" s="298">
        <v>30</v>
      </c>
      <c r="E28" s="283">
        <v>468</v>
      </c>
      <c r="F28" s="283">
        <v>97</v>
      </c>
      <c r="G28" s="283">
        <f t="shared" si="4"/>
        <v>14040</v>
      </c>
      <c r="H28" s="283">
        <f t="shared" si="5"/>
        <v>2910</v>
      </c>
    </row>
    <row r="29" spans="1:8">
      <c r="A29" s="298"/>
      <c r="B29" s="364" t="s">
        <v>342</v>
      </c>
      <c r="C29" s="298" t="s">
        <v>66</v>
      </c>
      <c r="D29" s="298">
        <v>80</v>
      </c>
      <c r="E29" s="283">
        <v>682</v>
      </c>
      <c r="F29" s="283">
        <v>97</v>
      </c>
      <c r="G29" s="283">
        <f t="shared" si="4"/>
        <v>54560</v>
      </c>
      <c r="H29" s="283">
        <f t="shared" si="5"/>
        <v>7760</v>
      </c>
    </row>
    <row r="30" spans="1:8">
      <c r="A30" s="298"/>
      <c r="B30" s="364" t="s">
        <v>343</v>
      </c>
      <c r="C30" s="298" t="s">
        <v>66</v>
      </c>
      <c r="D30" s="298">
        <v>90</v>
      </c>
      <c r="E30" s="283">
        <v>780</v>
      </c>
      <c r="F30" s="283">
        <v>97</v>
      </c>
      <c r="G30" s="283">
        <f t="shared" si="4"/>
        <v>70200</v>
      </c>
      <c r="H30" s="283">
        <f t="shared" si="5"/>
        <v>8730</v>
      </c>
    </row>
    <row r="31" spans="1:8">
      <c r="A31" s="298"/>
      <c r="B31" s="364" t="s">
        <v>344</v>
      </c>
      <c r="C31" s="298" t="s">
        <v>66</v>
      </c>
      <c r="D31" s="298">
        <v>200</v>
      </c>
      <c r="E31" s="283">
        <v>682</v>
      </c>
      <c r="F31" s="283">
        <v>97</v>
      </c>
      <c r="G31" s="283">
        <f t="shared" si="4"/>
        <v>136400</v>
      </c>
      <c r="H31" s="283">
        <f t="shared" si="5"/>
        <v>19400</v>
      </c>
    </row>
    <row r="32" spans="1:8">
      <c r="A32" s="298"/>
      <c r="B32" s="364" t="s">
        <v>345</v>
      </c>
      <c r="C32" s="298" t="s">
        <v>66</v>
      </c>
      <c r="D32" s="298">
        <v>120</v>
      </c>
      <c r="E32" s="283">
        <v>487</v>
      </c>
      <c r="F32" s="283">
        <v>97</v>
      </c>
      <c r="G32" s="283">
        <f t="shared" si="4"/>
        <v>58440</v>
      </c>
      <c r="H32" s="283">
        <f t="shared" si="5"/>
        <v>11640</v>
      </c>
    </row>
    <row r="33" spans="1:8">
      <c r="A33" s="298"/>
      <c r="B33" s="364" t="s">
        <v>346</v>
      </c>
      <c r="C33" s="298" t="s">
        <v>66</v>
      </c>
      <c r="D33" s="298">
        <v>40</v>
      </c>
      <c r="E33" s="283">
        <v>468</v>
      </c>
      <c r="F33" s="283">
        <v>97</v>
      </c>
      <c r="G33" s="283">
        <f t="shared" si="4"/>
        <v>18720</v>
      </c>
      <c r="H33" s="283">
        <f t="shared" si="5"/>
        <v>3880</v>
      </c>
    </row>
    <row r="34" spans="1:8">
      <c r="A34" s="276"/>
      <c r="B34" s="276"/>
      <c r="C34" s="276"/>
      <c r="D34" s="276"/>
      <c r="E34" s="283">
        <v>0</v>
      </c>
      <c r="F34" s="283">
        <v>0</v>
      </c>
      <c r="G34" s="276"/>
      <c r="H34" s="276"/>
    </row>
    <row r="35" spans="1:8">
      <c r="A35" s="298"/>
      <c r="B35" s="364"/>
      <c r="C35" s="298"/>
      <c r="D35" s="298"/>
      <c r="E35" s="283">
        <v>0</v>
      </c>
      <c r="F35" s="283">
        <v>0</v>
      </c>
      <c r="G35" s="283"/>
      <c r="H35" s="283"/>
    </row>
    <row r="36" spans="1:8" ht="50">
      <c r="A36" s="298">
        <v>4</v>
      </c>
      <c r="B36" s="320" t="s">
        <v>347</v>
      </c>
      <c r="C36" s="298"/>
      <c r="D36" s="298"/>
      <c r="E36" s="283">
        <v>0</v>
      </c>
      <c r="F36" s="283">
        <v>0</v>
      </c>
      <c r="G36" s="283"/>
      <c r="H36" s="283"/>
    </row>
    <row r="37" spans="1:8" ht="13">
      <c r="A37" s="298"/>
      <c r="B37" s="365" t="s">
        <v>348</v>
      </c>
      <c r="C37" s="298"/>
      <c r="D37" s="298"/>
      <c r="E37" s="283">
        <v>0</v>
      </c>
      <c r="F37" s="283">
        <v>0</v>
      </c>
      <c r="G37" s="283"/>
      <c r="H37" s="283"/>
    </row>
    <row r="38" spans="1:8">
      <c r="A38" s="298"/>
      <c r="B38" s="364" t="s">
        <v>349</v>
      </c>
      <c r="C38" s="298" t="s">
        <v>66</v>
      </c>
      <c r="D38" s="298">
        <v>5</v>
      </c>
      <c r="E38" s="283">
        <v>468</v>
      </c>
      <c r="F38" s="283">
        <v>97</v>
      </c>
      <c r="G38" s="283">
        <f>E38*D38</f>
        <v>2340</v>
      </c>
      <c r="H38" s="283">
        <f>F38*D38</f>
        <v>485</v>
      </c>
    </row>
    <row r="39" spans="1:8">
      <c r="A39" s="298"/>
      <c r="B39" s="364" t="s">
        <v>350</v>
      </c>
      <c r="C39" s="298" t="s">
        <v>66</v>
      </c>
      <c r="D39" s="298" t="s">
        <v>331</v>
      </c>
      <c r="E39" s="283">
        <v>0</v>
      </c>
      <c r="F39" s="283">
        <v>0</v>
      </c>
      <c r="G39" s="283"/>
      <c r="H39" s="283"/>
    </row>
    <row r="40" spans="1:8">
      <c r="A40" s="298"/>
      <c r="B40" s="324"/>
      <c r="C40" s="298"/>
      <c r="D40" s="298"/>
      <c r="E40" s="283">
        <v>0</v>
      </c>
      <c r="F40" s="283">
        <v>0</v>
      </c>
      <c r="G40" s="283"/>
      <c r="H40" s="283"/>
    </row>
    <row r="41" spans="1:8" ht="25.5">
      <c r="A41" s="298">
        <v>6</v>
      </c>
      <c r="B41" s="320" t="s">
        <v>351</v>
      </c>
      <c r="C41" s="298"/>
      <c r="D41" s="298"/>
      <c r="E41" s="283">
        <v>0</v>
      </c>
      <c r="F41" s="283">
        <v>0</v>
      </c>
      <c r="G41" s="283"/>
      <c r="H41" s="283"/>
    </row>
    <row r="42" spans="1:8" ht="13">
      <c r="A42" s="298"/>
      <c r="B42" s="366" t="s">
        <v>352</v>
      </c>
      <c r="C42" s="298"/>
      <c r="D42" s="298"/>
      <c r="E42" s="283">
        <v>0</v>
      </c>
      <c r="F42" s="283">
        <v>0</v>
      </c>
      <c r="G42" s="283"/>
      <c r="H42" s="283"/>
    </row>
    <row r="43" spans="1:8">
      <c r="A43" s="298"/>
      <c r="B43" s="364" t="s">
        <v>353</v>
      </c>
      <c r="C43" s="298" t="s">
        <v>250</v>
      </c>
      <c r="D43" s="298" t="s">
        <v>331</v>
      </c>
      <c r="E43" s="283">
        <v>0</v>
      </c>
      <c r="F43" s="283">
        <v>0</v>
      </c>
      <c r="G43" s="283"/>
      <c r="H43" s="283"/>
    </row>
    <row r="44" spans="1:8">
      <c r="A44" s="298"/>
      <c r="B44" s="364" t="s">
        <v>354</v>
      </c>
      <c r="C44" s="298"/>
      <c r="D44" s="298"/>
      <c r="E44" s="283">
        <v>0</v>
      </c>
      <c r="F44" s="283">
        <v>0</v>
      </c>
      <c r="G44" s="283"/>
      <c r="H44" s="283"/>
    </row>
    <row r="45" spans="1:8">
      <c r="A45" s="298"/>
      <c r="B45" s="364" t="s">
        <v>355</v>
      </c>
      <c r="C45" s="298" t="s">
        <v>250</v>
      </c>
      <c r="D45" s="298">
        <v>1</v>
      </c>
      <c r="E45" s="283">
        <v>2436</v>
      </c>
      <c r="F45" s="283">
        <v>1462</v>
      </c>
      <c r="G45" s="283">
        <f>E45*D45</f>
        <v>2436</v>
      </c>
      <c r="H45" s="283">
        <f>F45*D45</f>
        <v>1462</v>
      </c>
    </row>
    <row r="46" spans="1:8">
      <c r="A46" s="298"/>
      <c r="B46" s="364" t="s">
        <v>353</v>
      </c>
      <c r="C46" s="298" t="s">
        <v>250</v>
      </c>
      <c r="D46" s="298" t="s">
        <v>331</v>
      </c>
      <c r="E46" s="283">
        <v>0</v>
      </c>
      <c r="F46" s="283">
        <v>0</v>
      </c>
      <c r="G46" s="283"/>
      <c r="H46" s="283"/>
    </row>
    <row r="47" spans="1:8" ht="13">
      <c r="A47" s="298"/>
      <c r="B47" s="367"/>
      <c r="C47" s="298"/>
      <c r="D47" s="298"/>
      <c r="E47" s="283">
        <v>0</v>
      </c>
      <c r="F47" s="283">
        <v>0</v>
      </c>
      <c r="G47" s="283"/>
      <c r="H47" s="283"/>
    </row>
    <row r="48" spans="1:8" ht="62.5">
      <c r="A48" s="298">
        <v>7</v>
      </c>
      <c r="B48" s="320" t="s">
        <v>356</v>
      </c>
      <c r="C48" s="298" t="s">
        <v>250</v>
      </c>
      <c r="D48" s="298">
        <v>50</v>
      </c>
      <c r="E48" s="283">
        <v>1462</v>
      </c>
      <c r="F48" s="283">
        <v>487</v>
      </c>
      <c r="G48" s="283">
        <f>E48*D48</f>
        <v>73100</v>
      </c>
      <c r="H48" s="283">
        <f>F48*D48</f>
        <v>24350</v>
      </c>
    </row>
    <row r="49" spans="1:8">
      <c r="A49" s="298"/>
      <c r="B49" s="298"/>
      <c r="C49" s="298"/>
      <c r="D49" s="298"/>
      <c r="E49" s="283">
        <v>0</v>
      </c>
      <c r="F49" s="283">
        <v>0</v>
      </c>
      <c r="G49" s="283"/>
      <c r="H49" s="283"/>
    </row>
    <row r="50" spans="1:8" ht="62.5">
      <c r="A50" s="298">
        <v>8</v>
      </c>
      <c r="B50" s="320" t="s">
        <v>357</v>
      </c>
      <c r="C50" s="298"/>
      <c r="D50" s="298"/>
      <c r="E50" s="283">
        <v>0</v>
      </c>
      <c r="F50" s="283">
        <v>0</v>
      </c>
      <c r="G50" s="283"/>
      <c r="H50" s="283"/>
    </row>
    <row r="51" spans="1:8">
      <c r="A51" s="298"/>
      <c r="B51" s="364" t="s">
        <v>358</v>
      </c>
      <c r="C51" s="298"/>
      <c r="D51" s="298"/>
      <c r="E51" s="283">
        <v>0</v>
      </c>
      <c r="F51" s="283">
        <v>0</v>
      </c>
      <c r="G51" s="283"/>
      <c r="H51" s="283"/>
    </row>
    <row r="52" spans="1:8">
      <c r="A52" s="298"/>
      <c r="B52" s="364" t="s">
        <v>359</v>
      </c>
      <c r="C52" s="298" t="s">
        <v>250</v>
      </c>
      <c r="D52" s="298">
        <v>4</v>
      </c>
      <c r="E52" s="283">
        <v>0</v>
      </c>
      <c r="F52" s="283">
        <v>1949</v>
      </c>
      <c r="G52" s="283">
        <f t="shared" ref="G52:G54" si="6">E52*D52</f>
        <v>0</v>
      </c>
      <c r="H52" s="283">
        <f t="shared" ref="H52:H54" si="7">F52*D52</f>
        <v>7796</v>
      </c>
    </row>
    <row r="53" spans="1:8">
      <c r="A53" s="298"/>
      <c r="B53" s="364" t="s">
        <v>360</v>
      </c>
      <c r="C53" s="298" t="s">
        <v>250</v>
      </c>
      <c r="D53" s="298">
        <v>25</v>
      </c>
      <c r="E53" s="283">
        <v>0</v>
      </c>
      <c r="F53" s="283">
        <v>1949</v>
      </c>
      <c r="G53" s="283">
        <f t="shared" si="6"/>
        <v>0</v>
      </c>
      <c r="H53" s="283">
        <f t="shared" si="7"/>
        <v>48725</v>
      </c>
    </row>
    <row r="54" spans="1:8">
      <c r="A54" s="298"/>
      <c r="B54" s="364" t="s">
        <v>361</v>
      </c>
      <c r="C54" s="298" t="s">
        <v>250</v>
      </c>
      <c r="D54" s="298">
        <v>25</v>
      </c>
      <c r="E54" s="283">
        <v>0</v>
      </c>
      <c r="F54" s="283">
        <v>1656</v>
      </c>
      <c r="G54" s="283">
        <f t="shared" si="6"/>
        <v>0</v>
      </c>
      <c r="H54" s="283">
        <f t="shared" si="7"/>
        <v>41400</v>
      </c>
    </row>
    <row r="55" spans="1:8">
      <c r="A55" s="300"/>
      <c r="B55" s="368"/>
      <c r="C55" s="300"/>
      <c r="D55" s="300"/>
      <c r="E55" s="300"/>
      <c r="F55" s="300"/>
      <c r="G55" s="301"/>
      <c r="H55" s="301"/>
    </row>
    <row r="56" spans="1:8" ht="13">
      <c r="A56" s="289"/>
      <c r="B56" s="289" t="s">
        <v>362</v>
      </c>
      <c r="C56" s="289"/>
      <c r="D56" s="290"/>
      <c r="E56" s="290"/>
      <c r="F56" s="290"/>
      <c r="G56" s="292">
        <f>SUM(G22:G55)</f>
        <v>466276</v>
      </c>
      <c r="H56" s="293">
        <f>SUM(H22:H55)</f>
        <v>188238</v>
      </c>
    </row>
    <row r="57" spans="1:8">
      <c r="A57" s="294"/>
      <c r="B57" s="294"/>
      <c r="C57" s="294"/>
      <c r="E57" s="277"/>
      <c r="F57" s="277"/>
      <c r="G57" s="296"/>
      <c r="H57" s="295"/>
    </row>
    <row r="58" spans="1:8" ht="13">
      <c r="A58" s="289" t="s">
        <v>363</v>
      </c>
      <c r="B58" s="286" t="s">
        <v>364</v>
      </c>
      <c r="C58" s="289"/>
      <c r="D58" s="290"/>
      <c r="E58" s="290"/>
      <c r="F58" s="290"/>
      <c r="G58" s="292"/>
      <c r="H58" s="291"/>
    </row>
    <row r="59" spans="1:8" ht="101">
      <c r="A59" s="302">
        <v>1</v>
      </c>
      <c r="B59" s="369" t="s">
        <v>365</v>
      </c>
      <c r="C59" s="302"/>
      <c r="D59" s="303"/>
      <c r="E59" s="283">
        <v>0</v>
      </c>
      <c r="F59" s="283">
        <v>0</v>
      </c>
      <c r="G59" s="283"/>
      <c r="H59" s="283"/>
    </row>
    <row r="60" spans="1:8" ht="13">
      <c r="A60" s="298"/>
      <c r="B60" s="365" t="s">
        <v>366</v>
      </c>
      <c r="C60" s="298"/>
      <c r="D60" s="304"/>
      <c r="E60" s="283">
        <v>0</v>
      </c>
      <c r="F60" s="283">
        <v>0</v>
      </c>
      <c r="G60" s="283"/>
      <c r="H60" s="283"/>
    </row>
    <row r="61" spans="1:8">
      <c r="A61" s="298"/>
      <c r="B61" s="370" t="s">
        <v>367</v>
      </c>
      <c r="C61" s="298"/>
      <c r="D61" s="305"/>
      <c r="E61" s="283">
        <v>0</v>
      </c>
      <c r="F61" s="283">
        <v>0</v>
      </c>
      <c r="G61" s="283"/>
      <c r="H61" s="283"/>
    </row>
    <row r="62" spans="1:8">
      <c r="A62" s="298"/>
      <c r="B62" s="364" t="s">
        <v>368</v>
      </c>
      <c r="C62" s="298" t="s">
        <v>66</v>
      </c>
      <c r="D62" s="288">
        <v>200</v>
      </c>
      <c r="E62" s="283">
        <v>146</v>
      </c>
      <c r="F62" s="283">
        <v>73</v>
      </c>
      <c r="G62" s="283">
        <f t="shared" ref="G62:G69" si="8">E62*D62</f>
        <v>29200</v>
      </c>
      <c r="H62" s="283">
        <f t="shared" ref="H62:H69" si="9">F62*D62</f>
        <v>14600</v>
      </c>
    </row>
    <row r="63" spans="1:8">
      <c r="A63" s="298"/>
      <c r="B63" s="364" t="s">
        <v>369</v>
      </c>
      <c r="C63" s="298" t="s">
        <v>66</v>
      </c>
      <c r="D63" s="288">
        <v>40</v>
      </c>
      <c r="E63" s="283">
        <v>166</v>
      </c>
      <c r="F63" s="283">
        <v>73</v>
      </c>
      <c r="G63" s="283">
        <f t="shared" si="8"/>
        <v>6640</v>
      </c>
      <c r="H63" s="283">
        <f t="shared" si="9"/>
        <v>2920</v>
      </c>
    </row>
    <row r="64" spans="1:8">
      <c r="A64" s="298"/>
      <c r="B64" s="364" t="s">
        <v>370</v>
      </c>
      <c r="C64" s="298" t="s">
        <v>66</v>
      </c>
      <c r="D64" s="288">
        <v>20</v>
      </c>
      <c r="E64" s="283">
        <v>195</v>
      </c>
      <c r="F64" s="283">
        <v>73</v>
      </c>
      <c r="G64" s="283">
        <f t="shared" si="8"/>
        <v>3900</v>
      </c>
      <c r="H64" s="283">
        <f t="shared" si="9"/>
        <v>1460</v>
      </c>
    </row>
    <row r="65" spans="1:8">
      <c r="A65" s="298"/>
      <c r="B65" s="364" t="s">
        <v>371</v>
      </c>
      <c r="C65" s="298" t="s">
        <v>66</v>
      </c>
      <c r="D65" s="288">
        <v>20</v>
      </c>
      <c r="E65" s="283">
        <v>292</v>
      </c>
      <c r="F65" s="283">
        <v>73</v>
      </c>
      <c r="G65" s="283">
        <f t="shared" si="8"/>
        <v>5840</v>
      </c>
      <c r="H65" s="283">
        <f t="shared" si="9"/>
        <v>1460</v>
      </c>
    </row>
    <row r="66" spans="1:8">
      <c r="A66" s="298"/>
      <c r="B66" s="364" t="s">
        <v>372</v>
      </c>
      <c r="C66" s="298" t="s">
        <v>66</v>
      </c>
      <c r="D66" s="288">
        <v>20</v>
      </c>
      <c r="E66" s="283">
        <v>365</v>
      </c>
      <c r="F66" s="283">
        <v>73</v>
      </c>
      <c r="G66" s="283">
        <f t="shared" si="8"/>
        <v>7300</v>
      </c>
      <c r="H66" s="283">
        <f t="shared" si="9"/>
        <v>1460</v>
      </c>
    </row>
    <row r="67" spans="1:8">
      <c r="A67" s="298"/>
      <c r="B67" s="364" t="s">
        <v>373</v>
      </c>
      <c r="C67" s="298" t="s">
        <v>66</v>
      </c>
      <c r="D67" s="288">
        <v>20</v>
      </c>
      <c r="E67" s="283">
        <v>390</v>
      </c>
      <c r="F67" s="283">
        <v>73</v>
      </c>
      <c r="G67" s="283">
        <f t="shared" si="8"/>
        <v>7800</v>
      </c>
      <c r="H67" s="283">
        <f t="shared" si="9"/>
        <v>1460</v>
      </c>
    </row>
    <row r="68" spans="1:8">
      <c r="A68" s="298"/>
      <c r="B68" s="370" t="s">
        <v>374</v>
      </c>
      <c r="C68" s="298"/>
      <c r="D68" s="288"/>
      <c r="E68" s="283">
        <v>0</v>
      </c>
      <c r="F68" s="283">
        <v>0</v>
      </c>
      <c r="G68" s="283">
        <f t="shared" si="8"/>
        <v>0</v>
      </c>
      <c r="H68" s="283">
        <f t="shared" si="9"/>
        <v>0</v>
      </c>
    </row>
    <row r="69" spans="1:8">
      <c r="A69" s="298"/>
      <c r="B69" s="364" t="s">
        <v>368</v>
      </c>
      <c r="C69" s="298" t="s">
        <v>66</v>
      </c>
      <c r="D69" s="371">
        <v>50</v>
      </c>
      <c r="E69" s="283">
        <v>146</v>
      </c>
      <c r="F69" s="283">
        <v>73</v>
      </c>
      <c r="G69" s="283">
        <f t="shared" si="8"/>
        <v>7300</v>
      </c>
      <c r="H69" s="283">
        <f t="shared" si="9"/>
        <v>3650</v>
      </c>
    </row>
    <row r="70" spans="1:8">
      <c r="A70" s="298"/>
      <c r="B70" s="364" t="s">
        <v>369</v>
      </c>
      <c r="C70" s="298" t="s">
        <v>66</v>
      </c>
      <c r="D70" s="371" t="s">
        <v>331</v>
      </c>
      <c r="E70" s="283">
        <v>166</v>
      </c>
      <c r="F70" s="283">
        <v>73</v>
      </c>
      <c r="G70" s="283"/>
      <c r="H70" s="283"/>
    </row>
    <row r="71" spans="1:8">
      <c r="A71" s="298"/>
      <c r="B71" s="364" t="s">
        <v>370</v>
      </c>
      <c r="C71" s="298" t="s">
        <v>66</v>
      </c>
      <c r="D71" s="371" t="s">
        <v>499</v>
      </c>
      <c r="E71" s="283">
        <v>195</v>
      </c>
      <c r="F71" s="283">
        <v>73</v>
      </c>
      <c r="G71" s="283"/>
      <c r="H71" s="283"/>
    </row>
    <row r="72" spans="1:8">
      <c r="A72" s="298"/>
      <c r="B72" s="364" t="s">
        <v>371</v>
      </c>
      <c r="C72" s="298" t="s">
        <v>66</v>
      </c>
      <c r="D72" s="371" t="s">
        <v>499</v>
      </c>
      <c r="E72" s="283">
        <v>292</v>
      </c>
      <c r="F72" s="283">
        <v>73</v>
      </c>
      <c r="G72" s="283"/>
      <c r="H72" s="283"/>
    </row>
    <row r="73" spans="1:8">
      <c r="A73" s="298"/>
      <c r="B73" s="364" t="s">
        <v>372</v>
      </c>
      <c r="C73" s="298" t="s">
        <v>66</v>
      </c>
      <c r="D73" s="371" t="s">
        <v>331</v>
      </c>
      <c r="E73" s="283">
        <v>365</v>
      </c>
      <c r="F73" s="283">
        <v>73</v>
      </c>
      <c r="G73" s="283"/>
      <c r="H73" s="283"/>
    </row>
    <row r="74" spans="1:8">
      <c r="A74" s="298"/>
      <c r="B74" s="364"/>
      <c r="C74" s="298"/>
      <c r="D74" s="288"/>
      <c r="E74" s="283">
        <v>0</v>
      </c>
      <c r="F74" s="283">
        <v>0</v>
      </c>
      <c r="G74" s="283"/>
      <c r="H74" s="283"/>
    </row>
    <row r="75" spans="1:8">
      <c r="A75" s="298"/>
      <c r="B75" s="370" t="s">
        <v>375</v>
      </c>
      <c r="C75" s="298"/>
      <c r="D75" s="288"/>
      <c r="E75" s="283">
        <v>0</v>
      </c>
      <c r="F75" s="283">
        <v>0</v>
      </c>
      <c r="G75" s="283"/>
      <c r="H75" s="283"/>
    </row>
    <row r="76" spans="1:8">
      <c r="A76" s="298"/>
      <c r="B76" s="364" t="s">
        <v>368</v>
      </c>
      <c r="C76" s="298" t="s">
        <v>66</v>
      </c>
      <c r="D76" s="371" t="s">
        <v>331</v>
      </c>
      <c r="E76" s="283">
        <v>146</v>
      </c>
      <c r="F76" s="283">
        <v>73</v>
      </c>
      <c r="G76" s="283"/>
      <c r="H76" s="283"/>
    </row>
    <row r="77" spans="1:8">
      <c r="A77" s="298"/>
      <c r="B77" s="364" t="s">
        <v>369</v>
      </c>
      <c r="C77" s="298" t="s">
        <v>66</v>
      </c>
      <c r="D77" s="371" t="s">
        <v>331</v>
      </c>
      <c r="E77" s="283">
        <v>166</v>
      </c>
      <c r="F77" s="283">
        <v>73</v>
      </c>
      <c r="G77" s="283"/>
      <c r="H77" s="283"/>
    </row>
    <row r="78" spans="1:8">
      <c r="A78" s="298"/>
      <c r="B78" s="364"/>
      <c r="C78" s="298"/>
      <c r="D78" s="288"/>
      <c r="E78" s="283">
        <v>0</v>
      </c>
      <c r="F78" s="283">
        <v>0</v>
      </c>
      <c r="G78" s="283"/>
      <c r="H78" s="283"/>
    </row>
    <row r="79" spans="1:8">
      <c r="A79" s="298"/>
      <c r="B79" s="370" t="s">
        <v>376</v>
      </c>
      <c r="C79" s="298"/>
      <c r="D79" s="288"/>
      <c r="E79" s="283">
        <v>0</v>
      </c>
      <c r="F79" s="283">
        <v>0</v>
      </c>
      <c r="G79" s="283"/>
      <c r="H79" s="283"/>
    </row>
    <row r="80" spans="1:8">
      <c r="A80" s="298"/>
      <c r="B80" s="364" t="s">
        <v>368</v>
      </c>
      <c r="C80" s="298" t="s">
        <v>66</v>
      </c>
      <c r="D80" s="288">
        <v>250</v>
      </c>
      <c r="E80" s="283">
        <v>146</v>
      </c>
      <c r="F80" s="283">
        <v>73</v>
      </c>
      <c r="G80" s="283">
        <f t="shared" ref="G80:G83" si="10">E80*D80</f>
        <v>36500</v>
      </c>
      <c r="H80" s="283">
        <f t="shared" ref="H80:H83" si="11">F80*D80</f>
        <v>18250</v>
      </c>
    </row>
    <row r="81" spans="1:8">
      <c r="A81" s="298"/>
      <c r="B81" s="364" t="s">
        <v>369</v>
      </c>
      <c r="C81" s="298" t="s">
        <v>66</v>
      </c>
      <c r="D81" s="288">
        <v>100</v>
      </c>
      <c r="E81" s="283">
        <v>166</v>
      </c>
      <c r="F81" s="283">
        <v>73</v>
      </c>
      <c r="G81" s="283">
        <f t="shared" si="10"/>
        <v>16600</v>
      </c>
      <c r="H81" s="283">
        <f t="shared" si="11"/>
        <v>7300</v>
      </c>
    </row>
    <row r="82" spans="1:8">
      <c r="A82" s="298"/>
      <c r="B82" s="364" t="s">
        <v>370</v>
      </c>
      <c r="C82" s="298" t="s">
        <v>66</v>
      </c>
      <c r="D82" s="288">
        <v>40</v>
      </c>
      <c r="E82" s="283">
        <v>195</v>
      </c>
      <c r="F82" s="283">
        <v>73</v>
      </c>
      <c r="G82" s="283">
        <f t="shared" si="10"/>
        <v>7800</v>
      </c>
      <c r="H82" s="283">
        <f t="shared" si="11"/>
        <v>2920</v>
      </c>
    </row>
    <row r="83" spans="1:8">
      <c r="A83" s="298"/>
      <c r="B83" s="364" t="s">
        <v>371</v>
      </c>
      <c r="C83" s="298" t="s">
        <v>66</v>
      </c>
      <c r="D83" s="288">
        <v>40</v>
      </c>
      <c r="E83" s="283">
        <v>292</v>
      </c>
      <c r="F83" s="283">
        <v>73</v>
      </c>
      <c r="G83" s="283">
        <f t="shared" si="10"/>
        <v>11680</v>
      </c>
      <c r="H83" s="283">
        <f t="shared" si="11"/>
        <v>2920</v>
      </c>
    </row>
    <row r="84" spans="1:8">
      <c r="A84" s="298"/>
      <c r="B84" s="364"/>
      <c r="C84" s="298"/>
      <c r="D84" s="288"/>
      <c r="E84" s="283">
        <v>0</v>
      </c>
      <c r="F84" s="283">
        <v>0</v>
      </c>
      <c r="G84" s="283"/>
      <c r="H84" s="283"/>
    </row>
    <row r="85" spans="1:8" ht="13">
      <c r="A85" s="298"/>
      <c r="B85" s="372" t="s">
        <v>377</v>
      </c>
      <c r="C85" s="298"/>
      <c r="D85" s="288"/>
      <c r="E85" s="283">
        <v>0</v>
      </c>
      <c r="F85" s="283">
        <v>0</v>
      </c>
      <c r="G85" s="283"/>
      <c r="H85" s="283"/>
    </row>
    <row r="86" spans="1:8">
      <c r="A86" s="298"/>
      <c r="B86" s="370" t="s">
        <v>367</v>
      </c>
      <c r="C86" s="298"/>
      <c r="D86" s="288"/>
      <c r="E86" s="283">
        <v>0</v>
      </c>
      <c r="F86" s="283">
        <v>0</v>
      </c>
      <c r="G86" s="283"/>
      <c r="H86" s="283"/>
    </row>
    <row r="87" spans="1:8">
      <c r="A87" s="298"/>
      <c r="B87" s="364" t="s">
        <v>378</v>
      </c>
      <c r="C87" s="298" t="s">
        <v>66</v>
      </c>
      <c r="D87" s="288">
        <v>10</v>
      </c>
      <c r="E87" s="283">
        <v>166</v>
      </c>
      <c r="F87" s="283">
        <v>73</v>
      </c>
      <c r="G87" s="283">
        <f t="shared" ref="G87" si="12">E87*D87</f>
        <v>1660</v>
      </c>
      <c r="H87" s="283">
        <f t="shared" ref="H87" si="13">F87*D87</f>
        <v>730</v>
      </c>
    </row>
    <row r="88" spans="1:8">
      <c r="A88" s="298"/>
      <c r="B88" s="364"/>
      <c r="C88" s="298"/>
      <c r="D88" s="288"/>
      <c r="E88" s="283">
        <v>0</v>
      </c>
      <c r="F88" s="283">
        <v>0</v>
      </c>
      <c r="G88" s="283"/>
      <c r="H88" s="283"/>
    </row>
    <row r="89" spans="1:8" ht="25.5">
      <c r="A89" s="298">
        <v>3</v>
      </c>
      <c r="B89" s="320" t="s">
        <v>379</v>
      </c>
      <c r="C89" s="298"/>
      <c r="D89" s="288"/>
      <c r="E89" s="283">
        <v>0</v>
      </c>
      <c r="F89" s="283">
        <v>0</v>
      </c>
      <c r="G89" s="283"/>
      <c r="H89" s="283"/>
    </row>
    <row r="90" spans="1:8">
      <c r="A90" s="298"/>
      <c r="B90" s="364" t="s">
        <v>380</v>
      </c>
      <c r="C90" s="298" t="s">
        <v>66</v>
      </c>
      <c r="D90" s="371" t="s">
        <v>331</v>
      </c>
      <c r="E90" s="283">
        <v>195</v>
      </c>
      <c r="F90" s="283">
        <v>49</v>
      </c>
      <c r="G90" s="283"/>
      <c r="H90" s="283"/>
    </row>
    <row r="91" spans="1:8">
      <c r="A91" s="298"/>
      <c r="B91" s="364" t="s">
        <v>369</v>
      </c>
      <c r="C91" s="298" t="s">
        <v>66</v>
      </c>
      <c r="D91" s="371" t="s">
        <v>331</v>
      </c>
      <c r="E91" s="283">
        <v>195</v>
      </c>
      <c r="F91" s="283">
        <v>49</v>
      </c>
      <c r="G91" s="283"/>
      <c r="H91" s="283"/>
    </row>
    <row r="92" spans="1:8">
      <c r="A92" s="298"/>
      <c r="B92" s="364" t="s">
        <v>370</v>
      </c>
      <c r="C92" s="298" t="s">
        <v>66</v>
      </c>
      <c r="D92" s="371" t="s">
        <v>331</v>
      </c>
      <c r="E92" s="283">
        <v>195</v>
      </c>
      <c r="F92" s="283">
        <v>49</v>
      </c>
      <c r="G92" s="283"/>
      <c r="H92" s="283"/>
    </row>
    <row r="93" spans="1:8">
      <c r="A93" s="298"/>
      <c r="B93" s="364" t="s">
        <v>371</v>
      </c>
      <c r="C93" s="298" t="s">
        <v>66</v>
      </c>
      <c r="D93" s="371" t="s">
        <v>331</v>
      </c>
      <c r="E93" s="283">
        <v>195</v>
      </c>
      <c r="F93" s="283">
        <v>49</v>
      </c>
      <c r="G93" s="283"/>
      <c r="H93" s="283"/>
    </row>
    <row r="94" spans="1:8">
      <c r="A94" s="298"/>
      <c r="B94" s="364" t="s">
        <v>372</v>
      </c>
      <c r="C94" s="298" t="s">
        <v>66</v>
      </c>
      <c r="D94" s="371" t="s">
        <v>331</v>
      </c>
      <c r="E94" s="283">
        <v>195</v>
      </c>
      <c r="F94" s="283">
        <v>49</v>
      </c>
      <c r="G94" s="283"/>
      <c r="H94" s="283"/>
    </row>
    <row r="95" spans="1:8">
      <c r="A95" s="298"/>
      <c r="B95" s="364"/>
      <c r="C95" s="298"/>
      <c r="D95" s="288"/>
      <c r="E95" s="283">
        <v>0</v>
      </c>
      <c r="F95" s="283">
        <v>0</v>
      </c>
      <c r="G95" s="283"/>
      <c r="H95" s="283"/>
    </row>
    <row r="96" spans="1:8" ht="25">
      <c r="A96" s="298">
        <v>6</v>
      </c>
      <c r="B96" s="320" t="s">
        <v>381</v>
      </c>
      <c r="C96" s="298"/>
      <c r="D96" s="288"/>
      <c r="E96" s="283">
        <v>0</v>
      </c>
      <c r="F96" s="283">
        <v>0</v>
      </c>
      <c r="G96" s="283"/>
      <c r="H96" s="283"/>
    </row>
    <row r="97" spans="1:8" ht="13">
      <c r="A97" s="298"/>
      <c r="B97" s="365" t="s">
        <v>382</v>
      </c>
      <c r="C97" s="298"/>
      <c r="D97" s="288"/>
      <c r="E97" s="283">
        <v>0</v>
      </c>
      <c r="F97" s="283">
        <v>0</v>
      </c>
      <c r="G97" s="283"/>
      <c r="H97" s="283"/>
    </row>
    <row r="98" spans="1:8">
      <c r="A98" s="298"/>
      <c r="B98" s="364" t="s">
        <v>383</v>
      </c>
      <c r="C98" s="298" t="s">
        <v>250</v>
      </c>
      <c r="D98" s="371">
        <v>40</v>
      </c>
      <c r="E98" s="283">
        <v>2192</v>
      </c>
      <c r="F98" s="283">
        <v>487</v>
      </c>
      <c r="G98" s="283">
        <f t="shared" ref="G98" si="14">E98*D98</f>
        <v>87680</v>
      </c>
      <c r="H98" s="283">
        <f t="shared" ref="H98" si="15">F98*D98</f>
        <v>19480</v>
      </c>
    </row>
    <row r="99" spans="1:8">
      <c r="A99" s="298"/>
      <c r="B99" s="364" t="s">
        <v>384</v>
      </c>
      <c r="C99" s="298" t="s">
        <v>250</v>
      </c>
      <c r="D99" s="371"/>
      <c r="E99" s="283">
        <v>0</v>
      </c>
      <c r="F99" s="283">
        <v>0</v>
      </c>
      <c r="G99" s="283"/>
      <c r="H99" s="283"/>
    </row>
    <row r="100" spans="1:8">
      <c r="A100" s="298"/>
      <c r="B100" s="364" t="s">
        <v>385</v>
      </c>
      <c r="C100" s="298" t="s">
        <v>250</v>
      </c>
      <c r="D100" s="371"/>
      <c r="E100" s="283">
        <v>0</v>
      </c>
      <c r="F100" s="283">
        <v>0</v>
      </c>
      <c r="G100" s="283"/>
      <c r="H100" s="283"/>
    </row>
    <row r="101" spans="1:8">
      <c r="A101" s="298"/>
      <c r="B101" s="364" t="s">
        <v>386</v>
      </c>
      <c r="C101" s="298" t="s">
        <v>250</v>
      </c>
      <c r="D101" s="371"/>
      <c r="E101" s="283">
        <v>0</v>
      </c>
      <c r="F101" s="283">
        <v>0</v>
      </c>
      <c r="G101" s="283"/>
      <c r="H101" s="283"/>
    </row>
    <row r="102" spans="1:8">
      <c r="A102" s="298"/>
      <c r="B102" s="364"/>
      <c r="C102" s="298"/>
      <c r="D102" s="371"/>
      <c r="E102" s="283">
        <v>0</v>
      </c>
      <c r="F102" s="283">
        <v>0</v>
      </c>
      <c r="G102" s="283"/>
      <c r="H102" s="283"/>
    </row>
    <row r="103" spans="1:8" ht="13">
      <c r="A103" s="298"/>
      <c r="B103" s="365" t="s">
        <v>387</v>
      </c>
      <c r="C103" s="298"/>
      <c r="D103" s="371"/>
      <c r="E103" s="283">
        <v>0</v>
      </c>
      <c r="F103" s="283">
        <v>0</v>
      </c>
      <c r="G103" s="283"/>
      <c r="H103" s="283"/>
    </row>
    <row r="104" spans="1:8">
      <c r="A104" s="298"/>
      <c r="B104" s="364" t="s">
        <v>388</v>
      </c>
      <c r="C104" s="298" t="s">
        <v>250</v>
      </c>
      <c r="D104" s="371">
        <v>1</v>
      </c>
      <c r="E104" s="283">
        <v>2192</v>
      </c>
      <c r="F104" s="283">
        <v>487</v>
      </c>
      <c r="G104" s="283">
        <f t="shared" ref="G104" si="16">E104*D104</f>
        <v>2192</v>
      </c>
      <c r="H104" s="283">
        <f t="shared" ref="H104" si="17">F104*D104</f>
        <v>487</v>
      </c>
    </row>
    <row r="105" spans="1:8">
      <c r="A105" s="298"/>
      <c r="B105" s="364" t="s">
        <v>384</v>
      </c>
      <c r="C105" s="298" t="s">
        <v>250</v>
      </c>
      <c r="D105" s="371" t="s">
        <v>331</v>
      </c>
      <c r="E105" s="283">
        <v>0</v>
      </c>
      <c r="F105" s="283">
        <v>0</v>
      </c>
      <c r="G105" s="283"/>
      <c r="H105" s="283"/>
    </row>
    <row r="106" spans="1:8">
      <c r="A106" s="298"/>
      <c r="B106" s="364" t="s">
        <v>385</v>
      </c>
      <c r="C106" s="298" t="s">
        <v>250</v>
      </c>
      <c r="D106" s="371" t="s">
        <v>331</v>
      </c>
      <c r="E106" s="283">
        <v>0</v>
      </c>
      <c r="F106" s="283">
        <v>0</v>
      </c>
      <c r="G106" s="283"/>
      <c r="H106" s="283"/>
    </row>
    <row r="107" spans="1:8">
      <c r="A107" s="298"/>
      <c r="B107" s="364"/>
      <c r="C107" s="298"/>
      <c r="D107" s="303"/>
      <c r="E107" s="283">
        <v>0</v>
      </c>
      <c r="F107" s="283">
        <v>0</v>
      </c>
      <c r="G107" s="283"/>
      <c r="H107" s="283"/>
    </row>
    <row r="108" spans="1:8" ht="85.25" customHeight="1">
      <c r="A108" s="298">
        <v>10</v>
      </c>
      <c r="B108" s="320" t="s">
        <v>389</v>
      </c>
      <c r="C108" s="298" t="s">
        <v>390</v>
      </c>
      <c r="D108" s="304">
        <v>1</v>
      </c>
      <c r="E108" s="283">
        <v>73080</v>
      </c>
      <c r="F108" s="283">
        <v>5359</v>
      </c>
      <c r="G108" s="283">
        <f t="shared" ref="G108" si="18">E108*D108</f>
        <v>73080</v>
      </c>
      <c r="H108" s="283">
        <f t="shared" ref="H108" si="19">F108*D108</f>
        <v>5359</v>
      </c>
    </row>
    <row r="109" spans="1:8">
      <c r="A109" s="298"/>
      <c r="B109" s="298"/>
      <c r="C109" s="298"/>
      <c r="D109" s="304"/>
      <c r="E109" s="283">
        <v>0</v>
      </c>
      <c r="F109" s="283">
        <v>0</v>
      </c>
      <c r="G109" s="283"/>
      <c r="H109" s="283"/>
    </row>
    <row r="110" spans="1:8" ht="76">
      <c r="A110" s="298">
        <v>11</v>
      </c>
      <c r="B110" s="320" t="s">
        <v>391</v>
      </c>
      <c r="C110" s="298" t="s">
        <v>390</v>
      </c>
      <c r="D110" s="304" t="s">
        <v>51</v>
      </c>
      <c r="E110" s="283">
        <v>0</v>
      </c>
      <c r="F110" s="283">
        <v>0</v>
      </c>
      <c r="G110" s="283"/>
      <c r="H110" s="283"/>
    </row>
    <row r="111" spans="1:8">
      <c r="A111" s="306"/>
      <c r="B111" s="373"/>
      <c r="C111" s="306"/>
      <c r="D111" s="307"/>
      <c r="E111" s="307"/>
      <c r="F111" s="307"/>
      <c r="G111" s="283"/>
      <c r="H111" s="283"/>
    </row>
    <row r="112" spans="1:8" ht="13">
      <c r="A112" s="289"/>
      <c r="B112" s="289" t="s">
        <v>392</v>
      </c>
      <c r="C112" s="289"/>
      <c r="D112" s="290"/>
      <c r="E112" s="290"/>
      <c r="F112" s="290"/>
      <c r="G112" s="292">
        <f>SUM(G62:G111)</f>
        <v>305172</v>
      </c>
      <c r="H112" s="291">
        <f>SUM(H62:H111)</f>
        <v>84456</v>
      </c>
    </row>
    <row r="113" spans="1:8">
      <c r="A113" s="294"/>
      <c r="B113" s="294"/>
      <c r="C113" s="294"/>
      <c r="E113" s="277"/>
      <c r="F113" s="277"/>
      <c r="G113" s="296"/>
      <c r="H113" s="295"/>
    </row>
    <row r="114" spans="1:8" ht="13">
      <c r="A114" s="289" t="s">
        <v>393</v>
      </c>
      <c r="B114" s="286" t="s">
        <v>394</v>
      </c>
      <c r="C114" s="289"/>
      <c r="D114" s="290"/>
      <c r="E114" s="290"/>
      <c r="F114" s="290"/>
      <c r="G114" s="292"/>
      <c r="H114" s="291"/>
    </row>
    <row r="115" spans="1:8" ht="50">
      <c r="A115" s="302">
        <v>1</v>
      </c>
      <c r="B115" s="369" t="s">
        <v>395</v>
      </c>
      <c r="C115" s="302"/>
      <c r="D115" s="308"/>
      <c r="E115" s="308"/>
      <c r="F115" s="308"/>
      <c r="G115" s="283"/>
      <c r="H115" s="283"/>
    </row>
    <row r="116" spans="1:8">
      <c r="A116" s="298"/>
      <c r="B116" s="362" t="s">
        <v>396</v>
      </c>
      <c r="C116" s="298" t="s">
        <v>15</v>
      </c>
      <c r="D116" s="309">
        <v>30</v>
      </c>
      <c r="E116" s="283">
        <v>0</v>
      </c>
      <c r="F116" s="283">
        <v>1725</v>
      </c>
      <c r="G116" s="283">
        <f t="shared" ref="G116" si="20">E116*D116</f>
        <v>0</v>
      </c>
      <c r="H116" s="283">
        <f t="shared" ref="H116" si="21">F116*D116</f>
        <v>51750</v>
      </c>
    </row>
    <row r="117" spans="1:8">
      <c r="A117" s="298"/>
      <c r="B117" s="362"/>
      <c r="C117" s="298"/>
      <c r="D117" s="309"/>
      <c r="E117" s="283">
        <v>0</v>
      </c>
      <c r="F117" s="283">
        <v>0</v>
      </c>
      <c r="G117" s="283"/>
      <c r="H117" s="283"/>
    </row>
    <row r="118" spans="1:8" ht="50">
      <c r="A118" s="310">
        <v>1</v>
      </c>
      <c r="B118" s="324" t="s">
        <v>397</v>
      </c>
      <c r="C118" s="310"/>
      <c r="D118" s="311"/>
      <c r="E118" s="283">
        <v>0</v>
      </c>
      <c r="F118" s="283">
        <v>0</v>
      </c>
      <c r="G118" s="283"/>
      <c r="H118" s="283"/>
    </row>
    <row r="119" spans="1:8" s="312" customFormat="1">
      <c r="A119" s="310"/>
      <c r="B119" s="374" t="s">
        <v>398</v>
      </c>
      <c r="C119" s="310" t="s">
        <v>66</v>
      </c>
      <c r="D119" s="311">
        <v>20</v>
      </c>
      <c r="E119" s="283">
        <v>195</v>
      </c>
      <c r="F119" s="283">
        <v>49</v>
      </c>
      <c r="G119" s="283">
        <f t="shared" ref="G119:G120" si="22">E119*D119</f>
        <v>3900</v>
      </c>
      <c r="H119" s="283">
        <f t="shared" ref="H119:H120" si="23">F119*D119</f>
        <v>980</v>
      </c>
    </row>
    <row r="120" spans="1:8" s="312" customFormat="1">
      <c r="A120" s="310"/>
      <c r="B120" s="374" t="s">
        <v>399</v>
      </c>
      <c r="C120" s="310" t="s">
        <v>66</v>
      </c>
      <c r="D120" s="311">
        <v>20</v>
      </c>
      <c r="E120" s="283">
        <v>468</v>
      </c>
      <c r="F120" s="283">
        <v>97</v>
      </c>
      <c r="G120" s="283">
        <f t="shared" si="22"/>
        <v>9360</v>
      </c>
      <c r="H120" s="283">
        <f t="shared" si="23"/>
        <v>1940</v>
      </c>
    </row>
    <row r="121" spans="1:8" s="312" customFormat="1">
      <c r="A121" s="310"/>
      <c r="B121" s="374" t="s">
        <v>400</v>
      </c>
      <c r="C121" s="310" t="s">
        <v>66</v>
      </c>
      <c r="D121" s="311" t="s">
        <v>331</v>
      </c>
      <c r="E121" s="283">
        <v>0</v>
      </c>
      <c r="F121" s="283">
        <v>0</v>
      </c>
      <c r="G121" s="283"/>
      <c r="H121" s="283"/>
    </row>
    <row r="122" spans="1:8">
      <c r="A122" s="310"/>
      <c r="B122" s="310"/>
      <c r="C122" s="310"/>
      <c r="D122" s="311"/>
      <c r="E122" s="283">
        <v>0</v>
      </c>
      <c r="F122" s="283">
        <v>0</v>
      </c>
      <c r="G122" s="283"/>
      <c r="H122" s="283"/>
    </row>
    <row r="123" spans="1:8" ht="37.5">
      <c r="A123" s="310">
        <v>2</v>
      </c>
      <c r="B123" s="324" t="s">
        <v>401</v>
      </c>
      <c r="C123" s="310" t="s">
        <v>250</v>
      </c>
      <c r="D123" s="311">
        <v>1</v>
      </c>
      <c r="E123" s="283">
        <v>34104</v>
      </c>
      <c r="F123" s="283">
        <v>7308</v>
      </c>
      <c r="G123" s="283">
        <f t="shared" ref="G123" si="24">E123*D123</f>
        <v>34104</v>
      </c>
      <c r="H123" s="283">
        <f t="shared" ref="H123" si="25">F123*D123</f>
        <v>7308</v>
      </c>
    </row>
    <row r="124" spans="1:8">
      <c r="A124" s="310"/>
      <c r="B124" s="310"/>
      <c r="C124" s="310"/>
      <c r="D124" s="311"/>
      <c r="E124" s="283">
        <v>0</v>
      </c>
      <c r="F124" s="283">
        <v>0</v>
      </c>
      <c r="G124" s="283"/>
      <c r="H124" s="283"/>
    </row>
    <row r="125" spans="1:8" ht="50">
      <c r="A125" s="310">
        <v>3</v>
      </c>
      <c r="B125" s="324" t="s">
        <v>402</v>
      </c>
      <c r="C125" s="310"/>
      <c r="D125" s="311"/>
      <c r="E125" s="283">
        <v>0</v>
      </c>
      <c r="F125" s="283">
        <v>0</v>
      </c>
      <c r="G125" s="283"/>
      <c r="H125" s="283"/>
    </row>
    <row r="126" spans="1:8">
      <c r="A126" s="310"/>
      <c r="B126" s="374" t="s">
        <v>403</v>
      </c>
      <c r="C126" s="310" t="s">
        <v>250</v>
      </c>
      <c r="D126" s="311">
        <v>1</v>
      </c>
      <c r="E126" s="283">
        <v>7308</v>
      </c>
      <c r="F126" s="283">
        <v>2436</v>
      </c>
      <c r="G126" s="283">
        <f t="shared" ref="G126" si="26">E126*D126</f>
        <v>7308</v>
      </c>
      <c r="H126" s="283">
        <f t="shared" ref="H126" si="27">F126*D126</f>
        <v>2436</v>
      </c>
    </row>
    <row r="127" spans="1:8">
      <c r="A127" s="298"/>
      <c r="B127" s="362"/>
      <c r="C127" s="298"/>
      <c r="D127" s="304"/>
      <c r="E127" s="283">
        <v>0</v>
      </c>
      <c r="F127" s="283">
        <v>0</v>
      </c>
      <c r="G127" s="283"/>
      <c r="H127" s="283"/>
    </row>
    <row r="128" spans="1:8" ht="37.5">
      <c r="A128" s="298">
        <v>5</v>
      </c>
      <c r="B128" s="320" t="s">
        <v>404</v>
      </c>
      <c r="C128" s="298"/>
      <c r="D128" s="304"/>
      <c r="E128" s="283">
        <v>0</v>
      </c>
      <c r="F128" s="283">
        <v>0</v>
      </c>
      <c r="G128" s="283"/>
      <c r="H128" s="283"/>
    </row>
    <row r="129" spans="1:8">
      <c r="A129" s="298"/>
      <c r="B129" s="364" t="s">
        <v>405</v>
      </c>
      <c r="C129" s="298"/>
      <c r="D129" s="304"/>
      <c r="E129" s="283">
        <v>0</v>
      </c>
      <c r="F129" s="283">
        <v>0</v>
      </c>
      <c r="G129" s="283"/>
      <c r="H129" s="283"/>
    </row>
    <row r="130" spans="1:8">
      <c r="A130" s="298"/>
      <c r="B130" s="364" t="s">
        <v>406</v>
      </c>
      <c r="C130" s="298" t="s">
        <v>250</v>
      </c>
      <c r="D130" s="304">
        <v>2</v>
      </c>
      <c r="E130" s="283">
        <v>6334</v>
      </c>
      <c r="F130" s="283">
        <v>1462</v>
      </c>
      <c r="G130" s="283">
        <f t="shared" ref="G130:G131" si="28">E130*D130</f>
        <v>12668</v>
      </c>
      <c r="H130" s="283">
        <f t="shared" ref="H130:H131" si="29">F130*D130</f>
        <v>2924</v>
      </c>
    </row>
    <row r="131" spans="1:8">
      <c r="A131" s="298"/>
      <c r="B131" s="364" t="s">
        <v>407</v>
      </c>
      <c r="C131" s="298" t="s">
        <v>250</v>
      </c>
      <c r="D131" s="304">
        <v>1</v>
      </c>
      <c r="E131" s="283">
        <v>1462</v>
      </c>
      <c r="F131" s="283">
        <v>487</v>
      </c>
      <c r="G131" s="283">
        <f t="shared" si="28"/>
        <v>1462</v>
      </c>
      <c r="H131" s="283">
        <f t="shared" si="29"/>
        <v>487</v>
      </c>
    </row>
    <row r="132" spans="1:8">
      <c r="A132" s="298"/>
      <c r="B132" s="364"/>
      <c r="C132" s="298"/>
      <c r="D132" s="304"/>
      <c r="E132" s="283">
        <v>0</v>
      </c>
      <c r="F132" s="283">
        <v>0</v>
      </c>
      <c r="G132" s="283"/>
      <c r="H132" s="283"/>
    </row>
    <row r="133" spans="1:8">
      <c r="A133" s="298"/>
      <c r="B133" s="364" t="s">
        <v>408</v>
      </c>
      <c r="C133" s="298" t="s">
        <v>250</v>
      </c>
      <c r="D133" s="304">
        <v>2</v>
      </c>
      <c r="E133" s="283">
        <v>6334</v>
      </c>
      <c r="F133" s="283">
        <v>974</v>
      </c>
      <c r="G133" s="283">
        <f t="shared" ref="G133:G138" si="30">E133*D133</f>
        <v>12668</v>
      </c>
      <c r="H133" s="283">
        <f t="shared" ref="H133:H138" si="31">F133*D133</f>
        <v>1948</v>
      </c>
    </row>
    <row r="134" spans="1:8">
      <c r="A134" s="298"/>
      <c r="B134" s="364" t="s">
        <v>409</v>
      </c>
      <c r="C134" s="298" t="s">
        <v>250</v>
      </c>
      <c r="D134" s="304">
        <v>1</v>
      </c>
      <c r="E134" s="283">
        <v>5846</v>
      </c>
      <c r="F134" s="283">
        <v>974</v>
      </c>
      <c r="G134" s="283">
        <f t="shared" si="30"/>
        <v>5846</v>
      </c>
      <c r="H134" s="283">
        <f t="shared" si="31"/>
        <v>974</v>
      </c>
    </row>
    <row r="135" spans="1:8">
      <c r="A135" s="298"/>
      <c r="B135" s="364" t="s">
        <v>410</v>
      </c>
      <c r="C135" s="298" t="s">
        <v>250</v>
      </c>
      <c r="D135" s="304">
        <v>1</v>
      </c>
      <c r="E135" s="283">
        <v>5846</v>
      </c>
      <c r="F135" s="283">
        <v>974</v>
      </c>
      <c r="G135" s="283">
        <f t="shared" si="30"/>
        <v>5846</v>
      </c>
      <c r="H135" s="283">
        <f t="shared" si="31"/>
        <v>974</v>
      </c>
    </row>
    <row r="136" spans="1:8">
      <c r="A136" s="298"/>
      <c r="B136" s="364" t="s">
        <v>411</v>
      </c>
      <c r="C136" s="298" t="s">
        <v>250</v>
      </c>
      <c r="D136" s="304">
        <v>2</v>
      </c>
      <c r="E136" s="283">
        <v>6821</v>
      </c>
      <c r="F136" s="283">
        <v>974</v>
      </c>
      <c r="G136" s="283">
        <f t="shared" si="30"/>
        <v>13642</v>
      </c>
      <c r="H136" s="283">
        <f t="shared" si="31"/>
        <v>1948</v>
      </c>
    </row>
    <row r="137" spans="1:8">
      <c r="A137" s="298"/>
      <c r="B137" s="364" t="s">
        <v>412</v>
      </c>
      <c r="C137" s="298" t="s">
        <v>250</v>
      </c>
      <c r="D137" s="304">
        <v>40</v>
      </c>
      <c r="E137" s="283">
        <v>7308</v>
      </c>
      <c r="F137" s="283">
        <v>487</v>
      </c>
      <c r="G137" s="389">
        <f t="shared" si="30"/>
        <v>292320</v>
      </c>
      <c r="H137" s="283">
        <f t="shared" si="31"/>
        <v>19480</v>
      </c>
    </row>
    <row r="138" spans="1:8">
      <c r="A138" s="298"/>
      <c r="B138" s="364" t="s">
        <v>413</v>
      </c>
      <c r="C138" s="298" t="s">
        <v>250</v>
      </c>
      <c r="D138" s="304">
        <v>1</v>
      </c>
      <c r="E138" s="283">
        <v>1949</v>
      </c>
      <c r="F138" s="283">
        <v>487</v>
      </c>
      <c r="G138" s="283">
        <f t="shared" si="30"/>
        <v>1949</v>
      </c>
      <c r="H138" s="283">
        <f t="shared" si="31"/>
        <v>487</v>
      </c>
    </row>
    <row r="139" spans="1:8">
      <c r="A139" s="313"/>
      <c r="B139" s="375" t="s">
        <v>414</v>
      </c>
      <c r="C139" s="313"/>
      <c r="D139" s="305"/>
      <c r="E139" s="305"/>
      <c r="F139" s="305"/>
      <c r="G139" s="315"/>
      <c r="H139" s="314"/>
    </row>
    <row r="140" spans="1:8" ht="13">
      <c r="A140" s="289"/>
      <c r="B140" s="289" t="s">
        <v>415</v>
      </c>
      <c r="C140" s="289"/>
      <c r="D140" s="290"/>
      <c r="E140" s="290"/>
      <c r="F140" s="290"/>
      <c r="G140" s="292">
        <f>SUM(G116:G139)</f>
        <v>401073</v>
      </c>
      <c r="H140" s="293">
        <f>SUM(H116:H139)</f>
        <v>93636</v>
      </c>
    </row>
    <row r="141" spans="1:8">
      <c r="A141" s="294"/>
      <c r="B141" s="294"/>
      <c r="C141" s="294"/>
      <c r="E141" s="277"/>
      <c r="F141" s="277"/>
      <c r="G141" s="296"/>
      <c r="H141" s="295"/>
    </row>
    <row r="142" spans="1:8" ht="13">
      <c r="A142" s="289" t="s">
        <v>416</v>
      </c>
      <c r="B142" s="286" t="s">
        <v>500</v>
      </c>
      <c r="C142" s="289"/>
      <c r="D142" s="290"/>
      <c r="E142" s="290"/>
      <c r="F142" s="290"/>
      <c r="G142" s="292"/>
      <c r="H142" s="291"/>
    </row>
    <row r="143" spans="1:8" ht="50">
      <c r="A143" s="298">
        <v>1</v>
      </c>
      <c r="B143" s="320" t="s">
        <v>395</v>
      </c>
      <c r="C143" s="298"/>
      <c r="D143" s="309"/>
      <c r="E143" s="309"/>
      <c r="F143" s="309"/>
      <c r="G143" s="283"/>
      <c r="H143" s="283"/>
    </row>
    <row r="144" spans="1:8">
      <c r="A144" s="298"/>
      <c r="B144" s="320" t="s">
        <v>396</v>
      </c>
      <c r="C144" s="298" t="s">
        <v>15</v>
      </c>
      <c r="D144" s="309"/>
      <c r="E144" s="283">
        <v>0</v>
      </c>
      <c r="F144" s="283">
        <v>0</v>
      </c>
      <c r="G144" s="283"/>
      <c r="H144" s="283"/>
    </row>
    <row r="145" spans="1:10">
      <c r="A145" s="298"/>
      <c r="B145" s="320"/>
      <c r="C145" s="298"/>
      <c r="D145" s="309"/>
      <c r="E145" s="283">
        <v>0</v>
      </c>
      <c r="F145" s="283">
        <v>0</v>
      </c>
      <c r="G145" s="283"/>
      <c r="H145" s="283"/>
    </row>
    <row r="146" spans="1:10" ht="75">
      <c r="A146" s="298">
        <v>2</v>
      </c>
      <c r="B146" s="320" t="s">
        <v>417</v>
      </c>
      <c r="C146" s="298"/>
      <c r="D146" s="309"/>
      <c r="E146" s="283">
        <v>0</v>
      </c>
      <c r="F146" s="283">
        <v>0</v>
      </c>
      <c r="G146" s="283"/>
      <c r="H146" s="283"/>
      <c r="J146" s="284"/>
    </row>
    <row r="147" spans="1:10">
      <c r="A147" s="298"/>
      <c r="B147" s="320" t="s">
        <v>418</v>
      </c>
      <c r="C147" s="298"/>
      <c r="D147" s="309"/>
      <c r="E147" s="283">
        <v>0</v>
      </c>
      <c r="F147" s="283">
        <v>0</v>
      </c>
      <c r="G147" s="283"/>
      <c r="H147" s="283"/>
    </row>
    <row r="148" spans="1:10">
      <c r="A148" s="298"/>
      <c r="B148" s="320" t="s">
        <v>419</v>
      </c>
      <c r="C148" s="298" t="s">
        <v>243</v>
      </c>
      <c r="D148" s="309"/>
      <c r="E148" s="283">
        <v>0</v>
      </c>
      <c r="F148" s="283">
        <v>0</v>
      </c>
      <c r="G148" s="283"/>
      <c r="H148" s="283"/>
    </row>
    <row r="149" spans="1:10">
      <c r="A149" s="298"/>
      <c r="B149" s="320" t="s">
        <v>420</v>
      </c>
      <c r="C149" s="298" t="s">
        <v>243</v>
      </c>
      <c r="D149" s="309"/>
      <c r="E149" s="283">
        <v>0</v>
      </c>
      <c r="F149" s="283">
        <v>0</v>
      </c>
      <c r="G149" s="283"/>
      <c r="H149" s="283"/>
    </row>
    <row r="150" spans="1:10">
      <c r="A150" s="298"/>
      <c r="B150" s="320"/>
      <c r="C150" s="298"/>
      <c r="D150" s="309"/>
      <c r="E150" s="283">
        <v>0</v>
      </c>
      <c r="F150" s="283">
        <v>0</v>
      </c>
      <c r="G150" s="283"/>
      <c r="H150" s="283"/>
    </row>
    <row r="151" spans="1:10" ht="63">
      <c r="A151" s="298">
        <v>3</v>
      </c>
      <c r="B151" s="320" t="s">
        <v>421</v>
      </c>
      <c r="C151" s="298"/>
      <c r="D151" s="309"/>
      <c r="E151" s="283">
        <v>0</v>
      </c>
      <c r="F151" s="283">
        <v>0</v>
      </c>
      <c r="G151" s="283"/>
      <c r="H151" s="283"/>
    </row>
    <row r="152" spans="1:10">
      <c r="A152" s="298"/>
      <c r="B152" s="320" t="s">
        <v>422</v>
      </c>
      <c r="C152" s="298" t="s">
        <v>66</v>
      </c>
      <c r="D152" s="309" t="s">
        <v>331</v>
      </c>
      <c r="E152" s="283">
        <v>780</v>
      </c>
      <c r="F152" s="283">
        <v>97</v>
      </c>
      <c r="G152" s="283"/>
      <c r="H152" s="283"/>
    </row>
    <row r="153" spans="1:10">
      <c r="A153" s="298"/>
      <c r="B153" s="320"/>
      <c r="C153" s="298"/>
      <c r="D153" s="309"/>
      <c r="E153" s="283">
        <v>0</v>
      </c>
      <c r="F153" s="283">
        <v>0</v>
      </c>
      <c r="G153" s="283"/>
      <c r="H153" s="283"/>
    </row>
    <row r="154" spans="1:10" ht="38">
      <c r="A154" s="310">
        <v>4</v>
      </c>
      <c r="B154" s="324" t="s">
        <v>423</v>
      </c>
      <c r="C154" s="310" t="s">
        <v>243</v>
      </c>
      <c r="D154" s="316" t="s">
        <v>424</v>
      </c>
      <c r="E154" s="283">
        <v>0</v>
      </c>
      <c r="F154" s="283">
        <v>0</v>
      </c>
      <c r="G154" s="316"/>
      <c r="H154" s="316"/>
    </row>
    <row r="155" spans="1:10">
      <c r="A155" s="298"/>
      <c r="B155" s="320"/>
      <c r="C155" s="298"/>
      <c r="D155" s="309"/>
      <c r="E155" s="283">
        <v>0</v>
      </c>
      <c r="F155" s="283">
        <v>0</v>
      </c>
      <c r="G155" s="283"/>
      <c r="H155" s="283"/>
    </row>
    <row r="156" spans="1:10" ht="75.5">
      <c r="A156" s="298">
        <v>5</v>
      </c>
      <c r="B156" s="320" t="s">
        <v>425</v>
      </c>
      <c r="C156" s="298" t="s">
        <v>243</v>
      </c>
      <c r="D156" s="309" t="s">
        <v>331</v>
      </c>
      <c r="E156" s="283">
        <v>0</v>
      </c>
      <c r="F156" s="283">
        <v>0</v>
      </c>
      <c r="G156" s="283"/>
      <c r="H156" s="283"/>
    </row>
    <row r="157" spans="1:10">
      <c r="A157" s="298"/>
      <c r="B157" s="320"/>
      <c r="C157" s="298"/>
      <c r="D157" s="309"/>
      <c r="E157" s="283">
        <v>0</v>
      </c>
      <c r="F157" s="283">
        <v>0</v>
      </c>
      <c r="G157" s="283"/>
      <c r="H157" s="283"/>
    </row>
    <row r="158" spans="1:10">
      <c r="A158" s="298">
        <v>5</v>
      </c>
      <c r="B158" s="320" t="s">
        <v>426</v>
      </c>
      <c r="C158" s="298" t="s">
        <v>243</v>
      </c>
      <c r="D158" s="309" t="s">
        <v>331</v>
      </c>
      <c r="E158" s="283">
        <v>1462</v>
      </c>
      <c r="F158" s="283">
        <v>487</v>
      </c>
      <c r="G158" s="317"/>
      <c r="H158" s="299"/>
    </row>
    <row r="159" spans="1:10">
      <c r="A159" s="298"/>
      <c r="B159" s="320"/>
      <c r="C159" s="298"/>
      <c r="D159" s="309"/>
      <c r="E159" s="309"/>
      <c r="F159" s="309"/>
      <c r="G159" s="283"/>
      <c r="H159" s="283"/>
    </row>
    <row r="160" spans="1:10" ht="13">
      <c r="A160" s="289"/>
      <c r="B160" s="289" t="s">
        <v>427</v>
      </c>
      <c r="C160" s="289"/>
      <c r="D160" s="290"/>
      <c r="E160" s="290"/>
      <c r="F160" s="290"/>
      <c r="G160" s="292"/>
      <c r="H160" s="293"/>
    </row>
    <row r="161" spans="1:8">
      <c r="A161" s="294"/>
      <c r="B161" s="294"/>
      <c r="C161" s="294"/>
      <c r="E161" s="277"/>
      <c r="F161" s="277"/>
      <c r="G161" s="296"/>
      <c r="H161" s="295"/>
    </row>
    <row r="162" spans="1:8" ht="13">
      <c r="A162" s="289" t="s">
        <v>428</v>
      </c>
      <c r="B162" s="286" t="s">
        <v>429</v>
      </c>
      <c r="C162" s="289"/>
      <c r="D162" s="290"/>
      <c r="E162" s="290"/>
      <c r="F162" s="290"/>
      <c r="G162" s="292"/>
      <c r="H162" s="291"/>
    </row>
    <row r="163" spans="1:8" ht="75">
      <c r="A163" s="302"/>
      <c r="B163" s="369" t="s">
        <v>430</v>
      </c>
      <c r="C163" s="302"/>
      <c r="D163" s="308"/>
      <c r="E163" s="308"/>
      <c r="F163" s="308"/>
      <c r="G163" s="318"/>
      <c r="H163" s="319"/>
    </row>
    <row r="164" spans="1:8">
      <c r="A164" s="298"/>
      <c r="B164" s="362" t="s">
        <v>431</v>
      </c>
      <c r="C164" s="298" t="s">
        <v>432</v>
      </c>
      <c r="D164" s="309">
        <v>100</v>
      </c>
      <c r="E164" s="283">
        <v>0</v>
      </c>
      <c r="F164" s="283">
        <v>1608</v>
      </c>
      <c r="G164" s="283">
        <f t="shared" ref="G164" si="32">E164*D164</f>
        <v>0</v>
      </c>
      <c r="H164" s="283">
        <f t="shared" ref="H164" si="33">F164*D164</f>
        <v>160800</v>
      </c>
    </row>
    <row r="165" spans="1:8">
      <c r="A165" s="298"/>
      <c r="B165" s="298"/>
      <c r="C165" s="298"/>
      <c r="D165" s="309"/>
      <c r="E165" s="283">
        <v>0</v>
      </c>
      <c r="F165" s="283">
        <v>0</v>
      </c>
      <c r="G165" s="317"/>
      <c r="H165" s="299"/>
    </row>
    <row r="166" spans="1:8" ht="62.5">
      <c r="A166" s="298"/>
      <c r="B166" s="320" t="s">
        <v>433</v>
      </c>
      <c r="C166" s="298" t="s">
        <v>243</v>
      </c>
      <c r="D166" s="309">
        <v>1</v>
      </c>
      <c r="E166" s="283">
        <v>43848</v>
      </c>
      <c r="F166" s="283">
        <v>14616</v>
      </c>
      <c r="G166" s="283">
        <f t="shared" ref="G166" si="34">E166*D166</f>
        <v>43848</v>
      </c>
      <c r="H166" s="283">
        <f t="shared" ref="H166" si="35">F166*D166</f>
        <v>14616</v>
      </c>
    </row>
    <row r="167" spans="1:8">
      <c r="A167" s="298"/>
      <c r="B167" s="320"/>
      <c r="C167" s="298"/>
      <c r="D167" s="309"/>
      <c r="E167" s="283">
        <v>0</v>
      </c>
      <c r="F167" s="283">
        <v>0</v>
      </c>
      <c r="G167" s="317"/>
      <c r="H167" s="299"/>
    </row>
    <row r="168" spans="1:8" ht="75">
      <c r="A168" s="298"/>
      <c r="B168" s="320" t="s">
        <v>434</v>
      </c>
      <c r="C168" s="298"/>
      <c r="D168" s="309"/>
      <c r="E168" s="283">
        <v>0</v>
      </c>
      <c r="F168" s="283">
        <v>0</v>
      </c>
      <c r="G168" s="317"/>
      <c r="H168" s="299"/>
    </row>
    <row r="169" spans="1:8">
      <c r="A169" s="298"/>
      <c r="B169" s="362" t="s">
        <v>435</v>
      </c>
      <c r="C169" s="298" t="s">
        <v>243</v>
      </c>
      <c r="D169" s="309" t="s">
        <v>331</v>
      </c>
      <c r="E169" s="283">
        <v>0</v>
      </c>
      <c r="F169" s="283">
        <v>0</v>
      </c>
      <c r="G169" s="299"/>
      <c r="H169" s="299"/>
    </row>
    <row r="170" spans="1:8">
      <c r="A170" s="298"/>
      <c r="B170" s="320" t="s">
        <v>436</v>
      </c>
      <c r="C170" s="298" t="s">
        <v>243</v>
      </c>
      <c r="D170" s="309">
        <v>8</v>
      </c>
      <c r="E170" s="283">
        <v>47258</v>
      </c>
      <c r="F170" s="283">
        <v>14616</v>
      </c>
      <c r="G170" s="283">
        <f t="shared" ref="G170" si="36">E170*D170</f>
        <v>378064</v>
      </c>
      <c r="H170" s="283">
        <f t="shared" ref="H170" si="37">F170*D170</f>
        <v>116928</v>
      </c>
    </row>
    <row r="171" spans="1:8">
      <c r="A171" s="298"/>
      <c r="B171" s="320"/>
      <c r="C171" s="298"/>
      <c r="D171" s="309"/>
      <c r="E171" s="283">
        <v>0</v>
      </c>
      <c r="F171" s="283">
        <v>0</v>
      </c>
      <c r="G171" s="317"/>
      <c r="H171" s="299"/>
    </row>
    <row r="172" spans="1:8" ht="87.5">
      <c r="A172" s="298"/>
      <c r="B172" s="320" t="s">
        <v>437</v>
      </c>
      <c r="C172" s="298"/>
      <c r="D172" s="304"/>
      <c r="E172" s="283">
        <v>0</v>
      </c>
      <c r="F172" s="283">
        <v>0</v>
      </c>
      <c r="G172" s="317"/>
      <c r="H172" s="299"/>
    </row>
    <row r="173" spans="1:8">
      <c r="A173" s="298"/>
      <c r="B173" s="320" t="s">
        <v>438</v>
      </c>
      <c r="C173" s="298" t="s">
        <v>66</v>
      </c>
      <c r="D173" s="304" t="s">
        <v>331</v>
      </c>
      <c r="E173" s="283">
        <v>0</v>
      </c>
      <c r="F173" s="283">
        <v>0</v>
      </c>
      <c r="G173" s="299"/>
      <c r="H173" s="299"/>
    </row>
    <row r="174" spans="1:8">
      <c r="A174" s="298"/>
      <c r="B174" s="320" t="s">
        <v>439</v>
      </c>
      <c r="C174" s="298" t="s">
        <v>66</v>
      </c>
      <c r="D174" s="304">
        <v>75</v>
      </c>
      <c r="E174" s="283">
        <v>828</v>
      </c>
      <c r="F174" s="283">
        <v>146</v>
      </c>
      <c r="G174" s="283">
        <f t="shared" ref="G174" si="38">E174*D174</f>
        <v>62100</v>
      </c>
      <c r="H174" s="283">
        <f t="shared" ref="H174" si="39">F174*D174</f>
        <v>10950</v>
      </c>
    </row>
    <row r="175" spans="1:8">
      <c r="A175" s="298"/>
      <c r="B175" s="320" t="s">
        <v>440</v>
      </c>
      <c r="C175" s="298" t="s">
        <v>66</v>
      </c>
      <c r="D175" s="304" t="s">
        <v>331</v>
      </c>
      <c r="E175" s="283">
        <v>0</v>
      </c>
      <c r="F175" s="283">
        <v>0</v>
      </c>
      <c r="G175" s="299"/>
      <c r="H175" s="299"/>
    </row>
    <row r="176" spans="1:8">
      <c r="A176" s="298"/>
      <c r="B176" s="320"/>
      <c r="C176" s="298"/>
      <c r="D176" s="304"/>
      <c r="E176" s="283">
        <v>0</v>
      </c>
      <c r="F176" s="283">
        <v>0</v>
      </c>
      <c r="G176" s="317"/>
      <c r="H176" s="299"/>
    </row>
    <row r="177" spans="1:8" ht="72" customHeight="1">
      <c r="A177" s="298"/>
      <c r="B177" s="320" t="s">
        <v>441</v>
      </c>
      <c r="C177" s="320"/>
      <c r="D177" s="321"/>
      <c r="E177" s="283">
        <v>0</v>
      </c>
      <c r="F177" s="283">
        <v>0</v>
      </c>
      <c r="G177" s="317"/>
      <c r="H177" s="299"/>
    </row>
    <row r="178" spans="1:8">
      <c r="A178" s="313"/>
      <c r="B178" s="376" t="s">
        <v>501</v>
      </c>
      <c r="C178" s="322" t="s">
        <v>243</v>
      </c>
      <c r="D178" s="323">
        <v>1</v>
      </c>
      <c r="E178" s="283">
        <v>535920</v>
      </c>
      <c r="F178" s="283">
        <v>48720</v>
      </c>
      <c r="G178" s="283">
        <f t="shared" ref="G178" si="40">E178*D178</f>
        <v>535920</v>
      </c>
      <c r="H178" s="283">
        <f t="shared" ref="H178" si="41">F178*D178</f>
        <v>48720</v>
      </c>
    </row>
    <row r="179" spans="1:8" ht="13">
      <c r="A179" s="289"/>
      <c r="B179" s="289" t="s">
        <v>442</v>
      </c>
      <c r="C179" s="289"/>
      <c r="D179" s="290"/>
      <c r="E179" s="290"/>
      <c r="F179" s="290"/>
      <c r="G179" s="292">
        <f>SUM(G164:G178)</f>
        <v>1019932</v>
      </c>
      <c r="H179" s="292">
        <f>SUM(H164:H178)</f>
        <v>352014</v>
      </c>
    </row>
    <row r="180" spans="1:8">
      <c r="A180" s="294"/>
      <c r="B180" s="294"/>
      <c r="C180" s="294"/>
      <c r="E180" s="277"/>
      <c r="F180" s="277"/>
      <c r="G180" s="296"/>
      <c r="H180" s="295"/>
    </row>
    <row r="181" spans="1:8" ht="13">
      <c r="A181" s="289" t="s">
        <v>443</v>
      </c>
      <c r="B181" s="286" t="s">
        <v>444</v>
      </c>
      <c r="C181" s="289"/>
      <c r="D181" s="290"/>
      <c r="E181" s="290"/>
      <c r="F181" s="290"/>
      <c r="G181" s="292"/>
      <c r="H181" s="291"/>
    </row>
    <row r="182" spans="1:8">
      <c r="A182" s="298"/>
      <c r="B182" s="298"/>
      <c r="C182" s="298"/>
      <c r="D182" s="304"/>
      <c r="E182" s="283">
        <v>0</v>
      </c>
      <c r="F182" s="283">
        <v>0</v>
      </c>
      <c r="G182" s="283"/>
      <c r="H182" s="283"/>
    </row>
    <row r="183" spans="1:8" ht="63">
      <c r="A183" s="298">
        <v>1</v>
      </c>
      <c r="B183" s="362" t="s">
        <v>447</v>
      </c>
      <c r="C183" s="298"/>
      <c r="D183" s="304"/>
      <c r="E183" s="283">
        <v>0</v>
      </c>
      <c r="F183" s="283">
        <v>0</v>
      </c>
      <c r="G183" s="283"/>
      <c r="H183" s="283"/>
    </row>
    <row r="184" spans="1:8">
      <c r="A184" s="298"/>
      <c r="B184" s="362" t="s">
        <v>448</v>
      </c>
      <c r="C184" s="298"/>
      <c r="D184" s="304"/>
      <c r="E184" s="283">
        <v>0</v>
      </c>
      <c r="F184" s="283">
        <v>0</v>
      </c>
      <c r="G184" s="283"/>
      <c r="H184" s="283"/>
    </row>
    <row r="185" spans="1:8">
      <c r="A185" s="298"/>
      <c r="B185" s="362" t="s">
        <v>449</v>
      </c>
      <c r="C185" s="298"/>
      <c r="D185" s="304"/>
      <c r="E185" s="283">
        <v>0</v>
      </c>
      <c r="F185" s="283">
        <v>0</v>
      </c>
      <c r="G185" s="283"/>
      <c r="H185" s="283"/>
    </row>
    <row r="186" spans="1:8">
      <c r="A186" s="298"/>
      <c r="B186" s="362" t="s">
        <v>450</v>
      </c>
      <c r="C186" s="298"/>
      <c r="D186" s="304"/>
      <c r="E186" s="283">
        <v>0</v>
      </c>
      <c r="F186" s="283">
        <v>0</v>
      </c>
      <c r="G186" s="283"/>
      <c r="H186" s="283"/>
    </row>
    <row r="187" spans="1:8">
      <c r="A187" s="298"/>
      <c r="B187" s="362" t="s">
        <v>502</v>
      </c>
      <c r="C187" s="298"/>
      <c r="D187" s="304"/>
      <c r="E187" s="283">
        <v>0</v>
      </c>
      <c r="F187" s="283">
        <v>0</v>
      </c>
      <c r="G187" s="283"/>
      <c r="H187" s="283"/>
    </row>
    <row r="188" spans="1:8">
      <c r="A188" s="298"/>
      <c r="B188" s="362" t="s">
        <v>451</v>
      </c>
      <c r="C188" s="298" t="s">
        <v>446</v>
      </c>
      <c r="D188" s="304">
        <v>1</v>
      </c>
      <c r="E188" s="283">
        <v>609000</v>
      </c>
      <c r="F188" s="283">
        <v>73080</v>
      </c>
      <c r="G188" s="283">
        <f t="shared" ref="G188" si="42">E188*D188</f>
        <v>609000</v>
      </c>
      <c r="H188" s="283">
        <f t="shared" ref="H188" si="43">F188*D188</f>
        <v>73080</v>
      </c>
    </row>
    <row r="189" spans="1:8">
      <c r="A189" s="298"/>
      <c r="B189" s="362"/>
      <c r="C189" s="298"/>
      <c r="D189" s="304"/>
      <c r="E189" s="283">
        <v>0</v>
      </c>
      <c r="F189" s="283">
        <v>0</v>
      </c>
      <c r="G189" s="283"/>
      <c r="H189" s="283"/>
    </row>
    <row r="190" spans="1:8" ht="63.5">
      <c r="A190" s="298">
        <v>2</v>
      </c>
      <c r="B190" s="320" t="s">
        <v>452</v>
      </c>
      <c r="C190" s="298"/>
      <c r="D190" s="304"/>
      <c r="E190" s="283">
        <v>0</v>
      </c>
      <c r="F190" s="283">
        <v>0</v>
      </c>
      <c r="G190" s="283"/>
      <c r="H190" s="283"/>
    </row>
    <row r="191" spans="1:8">
      <c r="A191" s="298"/>
      <c r="B191" s="320" t="s">
        <v>503</v>
      </c>
      <c r="C191" s="298"/>
      <c r="D191" s="304"/>
      <c r="E191" s="283">
        <v>0</v>
      </c>
      <c r="F191" s="283">
        <v>0</v>
      </c>
      <c r="G191" s="283"/>
      <c r="H191" s="283"/>
    </row>
    <row r="192" spans="1:8" ht="37.5">
      <c r="A192" s="298"/>
      <c r="B192" s="320" t="s">
        <v>453</v>
      </c>
      <c r="C192" s="298" t="s">
        <v>446</v>
      </c>
      <c r="D192" s="304">
        <v>1</v>
      </c>
      <c r="E192" s="283">
        <v>652500</v>
      </c>
      <c r="F192" s="283">
        <v>92568</v>
      </c>
      <c r="G192" s="283">
        <f t="shared" ref="G192" si="44">E192*D192</f>
        <v>652500</v>
      </c>
      <c r="H192" s="283">
        <f t="shared" ref="H192" si="45">F192*D192</f>
        <v>92568</v>
      </c>
    </row>
    <row r="193" spans="1:8">
      <c r="A193" s="298"/>
      <c r="B193" s="320"/>
      <c r="C193" s="298"/>
      <c r="D193" s="304"/>
      <c r="E193" s="283">
        <v>0</v>
      </c>
      <c r="F193" s="283">
        <v>0</v>
      </c>
      <c r="G193" s="283"/>
      <c r="H193" s="283"/>
    </row>
    <row r="194" spans="1:8" ht="100">
      <c r="A194" s="310">
        <v>3</v>
      </c>
      <c r="B194" s="324" t="s">
        <v>454</v>
      </c>
      <c r="C194" s="324"/>
      <c r="D194" s="311"/>
      <c r="E194" s="283">
        <v>0</v>
      </c>
      <c r="F194" s="283">
        <v>0</v>
      </c>
      <c r="G194" s="283"/>
      <c r="H194" s="283"/>
    </row>
    <row r="195" spans="1:8">
      <c r="A195" s="324"/>
      <c r="B195" s="324"/>
      <c r="C195" s="324"/>
      <c r="D195" s="311"/>
      <c r="E195" s="283">
        <v>0</v>
      </c>
      <c r="F195" s="283">
        <v>0</v>
      </c>
      <c r="G195" s="283"/>
      <c r="H195" s="283"/>
    </row>
    <row r="196" spans="1:8">
      <c r="A196" s="325" t="s">
        <v>445</v>
      </c>
      <c r="B196" s="324" t="s">
        <v>455</v>
      </c>
      <c r="C196" s="324"/>
      <c r="D196" s="311"/>
      <c r="E196" s="283">
        <v>0</v>
      </c>
      <c r="F196" s="283">
        <v>0</v>
      </c>
      <c r="G196" s="283"/>
      <c r="H196" s="283"/>
    </row>
    <row r="197" spans="1:8">
      <c r="A197" s="325"/>
      <c r="B197" s="324" t="s">
        <v>456</v>
      </c>
      <c r="C197" s="324"/>
      <c r="D197" s="311"/>
      <c r="E197" s="283">
        <v>0</v>
      </c>
      <c r="F197" s="283">
        <v>0</v>
      </c>
      <c r="G197" s="283"/>
      <c r="H197" s="283"/>
    </row>
    <row r="198" spans="1:8">
      <c r="A198" s="325"/>
      <c r="B198" s="324" t="s">
        <v>457</v>
      </c>
      <c r="C198" s="324"/>
      <c r="D198" s="311"/>
      <c r="E198" s="283">
        <v>0</v>
      </c>
      <c r="F198" s="283">
        <v>0</v>
      </c>
      <c r="G198" s="283"/>
      <c r="H198" s="283"/>
    </row>
    <row r="199" spans="1:8">
      <c r="A199" s="325"/>
      <c r="B199" s="324" t="s">
        <v>458</v>
      </c>
      <c r="C199" s="324"/>
      <c r="D199" s="311"/>
      <c r="E199" s="283">
        <v>0</v>
      </c>
      <c r="F199" s="283">
        <v>0</v>
      </c>
      <c r="G199" s="283"/>
      <c r="H199" s="283"/>
    </row>
    <row r="200" spans="1:8">
      <c r="A200" s="325"/>
      <c r="B200" s="324" t="s">
        <v>459</v>
      </c>
      <c r="C200" s="324"/>
      <c r="D200" s="311"/>
      <c r="E200" s="283">
        <v>0</v>
      </c>
      <c r="F200" s="283">
        <v>0</v>
      </c>
      <c r="G200" s="283"/>
      <c r="H200" s="283"/>
    </row>
    <row r="201" spans="1:8">
      <c r="A201" s="325"/>
      <c r="B201" s="324" t="s">
        <v>460</v>
      </c>
      <c r="C201" s="324"/>
      <c r="D201" s="311"/>
      <c r="E201" s="283">
        <v>0</v>
      </c>
      <c r="F201" s="283">
        <v>0</v>
      </c>
      <c r="G201" s="283"/>
      <c r="H201" s="283"/>
    </row>
    <row r="202" spans="1:8">
      <c r="A202" s="325"/>
      <c r="B202" s="324" t="s">
        <v>461</v>
      </c>
      <c r="C202" s="324"/>
      <c r="D202" s="311"/>
      <c r="E202" s="283">
        <v>0</v>
      </c>
      <c r="F202" s="283">
        <v>0</v>
      </c>
      <c r="G202" s="283"/>
      <c r="H202" s="283"/>
    </row>
    <row r="203" spans="1:8">
      <c r="A203" s="325"/>
      <c r="B203" s="324" t="s">
        <v>462</v>
      </c>
      <c r="C203" s="324"/>
      <c r="D203" s="311"/>
      <c r="E203" s="283">
        <v>0</v>
      </c>
      <c r="F203" s="283">
        <v>0</v>
      </c>
      <c r="G203" s="283"/>
      <c r="H203" s="283"/>
    </row>
    <row r="204" spans="1:8">
      <c r="A204" s="325"/>
      <c r="B204" s="324" t="s">
        <v>463</v>
      </c>
      <c r="C204" s="324"/>
      <c r="D204" s="311"/>
      <c r="E204" s="283">
        <v>0</v>
      </c>
      <c r="F204" s="283">
        <v>0</v>
      </c>
      <c r="G204" s="283"/>
      <c r="H204" s="283"/>
    </row>
    <row r="205" spans="1:8">
      <c r="A205" s="325"/>
      <c r="B205" s="324" t="s">
        <v>464</v>
      </c>
      <c r="C205" s="324"/>
      <c r="D205" s="311"/>
      <c r="E205" s="283">
        <v>0</v>
      </c>
      <c r="F205" s="283">
        <v>0</v>
      </c>
      <c r="G205" s="283"/>
      <c r="H205" s="283"/>
    </row>
    <row r="206" spans="1:8">
      <c r="A206" s="325"/>
      <c r="B206" s="324"/>
      <c r="C206" s="324"/>
      <c r="D206" s="311"/>
      <c r="E206" s="283">
        <v>0</v>
      </c>
      <c r="F206" s="283">
        <v>0</v>
      </c>
      <c r="G206" s="283"/>
      <c r="H206" s="283"/>
    </row>
    <row r="207" spans="1:8" ht="112.5">
      <c r="A207" s="325"/>
      <c r="B207" s="324" t="s">
        <v>465</v>
      </c>
      <c r="C207" s="325"/>
      <c r="D207" s="311"/>
      <c r="E207" s="283">
        <v>0</v>
      </c>
      <c r="F207" s="283">
        <v>0</v>
      </c>
      <c r="G207" s="283"/>
      <c r="H207" s="283"/>
    </row>
    <row r="208" spans="1:8">
      <c r="A208" s="324"/>
      <c r="B208" s="324"/>
      <c r="C208" s="310" t="s">
        <v>4</v>
      </c>
      <c r="D208" s="311">
        <v>1</v>
      </c>
      <c r="E208" s="283">
        <v>146160</v>
      </c>
      <c r="F208" s="283">
        <v>24360</v>
      </c>
      <c r="G208" s="283">
        <f t="shared" ref="G208" si="46">E208*D208</f>
        <v>146160</v>
      </c>
      <c r="H208" s="283">
        <f t="shared" ref="H208" si="47">F208*D208</f>
        <v>24360</v>
      </c>
    </row>
    <row r="209" spans="1:8">
      <c r="A209" s="320"/>
      <c r="B209" s="320"/>
      <c r="C209" s="298"/>
      <c r="D209" s="304"/>
      <c r="E209" s="283">
        <v>0</v>
      </c>
      <c r="F209" s="283">
        <v>0</v>
      </c>
      <c r="G209" s="283"/>
      <c r="H209" s="283"/>
    </row>
    <row r="210" spans="1:8" ht="37.5">
      <c r="A210" s="298">
        <v>4</v>
      </c>
      <c r="B210" s="320" t="s">
        <v>504</v>
      </c>
      <c r="C210" s="298"/>
      <c r="D210" s="304"/>
      <c r="E210" s="283">
        <v>0</v>
      </c>
      <c r="F210" s="283">
        <v>0</v>
      </c>
      <c r="G210" s="283"/>
      <c r="H210" s="283"/>
    </row>
    <row r="211" spans="1:8">
      <c r="A211" s="298"/>
      <c r="B211" s="362" t="s">
        <v>466</v>
      </c>
      <c r="C211" s="298" t="s">
        <v>243</v>
      </c>
      <c r="D211" s="304">
        <v>1</v>
      </c>
      <c r="E211" s="283">
        <v>5359</v>
      </c>
      <c r="F211" s="283">
        <v>487</v>
      </c>
      <c r="G211" s="283">
        <f t="shared" ref="G211:G212" si="48">E211*D211</f>
        <v>5359</v>
      </c>
      <c r="H211" s="283">
        <f t="shared" ref="H211:H212" si="49">F211*D211</f>
        <v>487</v>
      </c>
    </row>
    <row r="212" spans="1:8">
      <c r="A212" s="298"/>
      <c r="B212" s="362" t="s">
        <v>467</v>
      </c>
      <c r="C212" s="298" t="s">
        <v>243</v>
      </c>
      <c r="D212" s="304">
        <v>1</v>
      </c>
      <c r="E212" s="283">
        <v>4872</v>
      </c>
      <c r="F212" s="283">
        <v>487</v>
      </c>
      <c r="G212" s="283">
        <f t="shared" si="48"/>
        <v>4872</v>
      </c>
      <c r="H212" s="283">
        <f t="shared" si="49"/>
        <v>487</v>
      </c>
    </row>
    <row r="213" spans="1:8">
      <c r="A213" s="298"/>
      <c r="B213" s="362"/>
      <c r="C213" s="298"/>
      <c r="D213" s="304"/>
      <c r="E213" s="283">
        <v>0</v>
      </c>
      <c r="F213" s="283">
        <v>0</v>
      </c>
      <c r="G213" s="283"/>
      <c r="H213" s="283"/>
    </row>
    <row r="214" spans="1:8" ht="25">
      <c r="A214" s="298">
        <v>6</v>
      </c>
      <c r="B214" s="320" t="s">
        <v>505</v>
      </c>
      <c r="C214" s="298"/>
      <c r="D214" s="304"/>
      <c r="E214" s="283">
        <v>0</v>
      </c>
      <c r="F214" s="283">
        <v>0</v>
      </c>
      <c r="G214" s="283"/>
      <c r="H214" s="283"/>
    </row>
    <row r="215" spans="1:8">
      <c r="A215" s="298"/>
      <c r="B215" s="362" t="s">
        <v>467</v>
      </c>
      <c r="C215" s="298" t="s">
        <v>243</v>
      </c>
      <c r="D215" s="304">
        <v>2</v>
      </c>
      <c r="E215" s="283">
        <v>3898</v>
      </c>
      <c r="F215" s="283">
        <v>1462</v>
      </c>
      <c r="G215" s="283">
        <f t="shared" ref="G215" si="50">E215*D215</f>
        <v>7796</v>
      </c>
      <c r="H215" s="283">
        <f t="shared" ref="H215" si="51">F215*D215</f>
        <v>2924</v>
      </c>
    </row>
    <row r="216" spans="1:8">
      <c r="A216" s="320"/>
      <c r="B216" s="320"/>
      <c r="C216" s="298"/>
      <c r="D216" s="304"/>
      <c r="E216" s="283">
        <v>0</v>
      </c>
      <c r="F216" s="283">
        <v>0</v>
      </c>
      <c r="G216" s="283"/>
      <c r="H216" s="283"/>
    </row>
    <row r="217" spans="1:8" ht="37.5">
      <c r="A217" s="298">
        <v>7</v>
      </c>
      <c r="B217" s="320" t="s">
        <v>506</v>
      </c>
      <c r="C217" s="282"/>
      <c r="D217" s="304"/>
      <c r="E217" s="283">
        <v>0</v>
      </c>
      <c r="F217" s="283">
        <v>0</v>
      </c>
      <c r="G217" s="390"/>
      <c r="H217" s="390"/>
    </row>
    <row r="218" spans="1:8">
      <c r="A218" s="298"/>
      <c r="B218" s="362" t="s">
        <v>468</v>
      </c>
      <c r="C218" s="298" t="s">
        <v>243</v>
      </c>
      <c r="D218" s="304">
        <v>1</v>
      </c>
      <c r="E218" s="283">
        <v>11206</v>
      </c>
      <c r="F218" s="283">
        <v>2436</v>
      </c>
      <c r="G218" s="391">
        <f t="shared" ref="G218" si="52">E218*D218</f>
        <v>11206</v>
      </c>
      <c r="H218" s="391">
        <f t="shared" ref="H218" si="53">F218*D218</f>
        <v>2436</v>
      </c>
    </row>
    <row r="219" spans="1:8">
      <c r="A219" s="298"/>
      <c r="B219" s="364"/>
      <c r="C219" s="298"/>
      <c r="D219" s="304"/>
      <c r="E219" s="283">
        <v>0</v>
      </c>
      <c r="F219" s="283">
        <v>0</v>
      </c>
      <c r="G219" s="391"/>
      <c r="H219" s="391"/>
    </row>
    <row r="220" spans="1:8" ht="25">
      <c r="A220" s="298">
        <v>8</v>
      </c>
      <c r="B220" s="320" t="s">
        <v>469</v>
      </c>
      <c r="C220" s="298" t="s">
        <v>470</v>
      </c>
      <c r="D220" s="326">
        <v>20</v>
      </c>
      <c r="E220" s="283">
        <v>731</v>
      </c>
      <c r="F220" s="283">
        <v>146</v>
      </c>
      <c r="G220" s="391">
        <f t="shared" ref="G220" si="54">E220*D220</f>
        <v>14620</v>
      </c>
      <c r="H220" s="391">
        <f t="shared" ref="H220" si="55">F220*D220</f>
        <v>2920</v>
      </c>
    </row>
    <row r="221" spans="1:8">
      <c r="A221" s="313"/>
      <c r="B221" s="322"/>
      <c r="C221" s="313"/>
      <c r="D221" s="327"/>
      <c r="E221" s="283">
        <v>0</v>
      </c>
      <c r="F221" s="283">
        <v>0</v>
      </c>
      <c r="G221" s="391"/>
      <c r="H221" s="391"/>
    </row>
    <row r="222" spans="1:8" ht="13">
      <c r="A222" s="313" t="s">
        <v>471</v>
      </c>
      <c r="B222" s="377" t="s">
        <v>472</v>
      </c>
      <c r="C222" s="313"/>
      <c r="D222" s="327"/>
      <c r="E222" s="283">
        <v>0</v>
      </c>
      <c r="F222" s="283">
        <v>0</v>
      </c>
      <c r="G222" s="391"/>
      <c r="H222" s="391"/>
    </row>
    <row r="223" spans="1:8" ht="91.25" customHeight="1">
      <c r="A223" s="282">
        <v>1</v>
      </c>
      <c r="B223" s="320" t="s">
        <v>507</v>
      </c>
      <c r="C223" s="313" t="s">
        <v>243</v>
      </c>
      <c r="D223" s="305">
        <v>15</v>
      </c>
      <c r="E223" s="283">
        <v>8265</v>
      </c>
      <c r="F223" s="283">
        <v>1462</v>
      </c>
      <c r="G223" s="391">
        <f t="shared" ref="G223" si="56">E223*D223</f>
        <v>123975</v>
      </c>
      <c r="H223" s="391">
        <f t="shared" ref="H223" si="57">F223*D223</f>
        <v>21930</v>
      </c>
    </row>
    <row r="224" spans="1:8" ht="13">
      <c r="A224" s="289"/>
      <c r="B224" s="289" t="s">
        <v>473</v>
      </c>
      <c r="C224" s="289"/>
      <c r="D224" s="290"/>
      <c r="E224" s="291"/>
      <c r="F224" s="291"/>
      <c r="G224" s="292">
        <f>SUM(G188:G223)</f>
        <v>1575488</v>
      </c>
      <c r="H224" s="292">
        <f>SUM(H188:H223)</f>
        <v>221192</v>
      </c>
    </row>
    <row r="225" spans="5:8">
      <c r="E225" s="277"/>
      <c r="F225" s="277"/>
      <c r="H225" s="277"/>
    </row>
    <row r="226" spans="5:8">
      <c r="E226" s="277"/>
      <c r="F226" s="277"/>
      <c r="H226" s="277"/>
    </row>
    <row r="227" spans="5:8">
      <c r="E227" s="277"/>
      <c r="F227" s="277"/>
      <c r="H227" s="277"/>
    </row>
    <row r="228" spans="5:8">
      <c r="E228" s="277"/>
      <c r="F228" s="277"/>
      <c r="H228" s="277"/>
    </row>
    <row r="229" spans="5:8">
      <c r="E229" s="277"/>
      <c r="F229" s="277"/>
      <c r="H229" s="277"/>
    </row>
    <row r="230" spans="5:8">
      <c r="E230" s="277"/>
      <c r="F230" s="277"/>
      <c r="H230" s="277"/>
    </row>
    <row r="231" spans="5:8">
      <c r="E231" s="277"/>
      <c r="F231" s="277"/>
      <c r="H231" s="277"/>
    </row>
    <row r="232" spans="5:8">
      <c r="E232" s="277"/>
      <c r="F232" s="277"/>
      <c r="H232" s="277"/>
    </row>
    <row r="233" spans="5:8">
      <c r="E233" s="277"/>
      <c r="F233" s="277"/>
      <c r="H233" s="277"/>
    </row>
    <row r="234" spans="5:8">
      <c r="E234" s="277"/>
      <c r="F234" s="277"/>
      <c r="H234" s="277"/>
    </row>
    <row r="235" spans="5:8">
      <c r="E235" s="277"/>
      <c r="F235" s="277"/>
      <c r="H235" s="277"/>
    </row>
    <row r="236" spans="5:8">
      <c r="E236" s="277"/>
      <c r="F236" s="277"/>
      <c r="H236" s="277"/>
    </row>
    <row r="237" spans="5:8">
      <c r="E237" s="277"/>
      <c r="F237" s="277"/>
      <c r="H237" s="277"/>
    </row>
    <row r="238" spans="5:8">
      <c r="E238" s="277"/>
      <c r="F238" s="277"/>
      <c r="H238" s="277"/>
    </row>
    <row r="239" spans="5:8">
      <c r="E239" s="277"/>
      <c r="F239" s="277"/>
      <c r="H239" s="277"/>
    </row>
    <row r="240" spans="5:8">
      <c r="E240" s="277"/>
      <c r="F240" s="277"/>
      <c r="H240" s="277"/>
    </row>
    <row r="241" spans="5:8">
      <c r="E241" s="277"/>
      <c r="F241" s="277"/>
      <c r="H241" s="277"/>
    </row>
    <row r="242" spans="5:8">
      <c r="E242" s="277"/>
      <c r="F242" s="277"/>
      <c r="H242" s="277"/>
    </row>
    <row r="243" spans="5:8">
      <c r="E243" s="277"/>
      <c r="F243" s="277"/>
      <c r="H243" s="277"/>
    </row>
    <row r="244" spans="5:8">
      <c r="E244" s="277"/>
      <c r="F244" s="277"/>
      <c r="H244" s="277"/>
    </row>
    <row r="245" spans="5:8">
      <c r="E245" s="277"/>
      <c r="F245" s="277"/>
      <c r="H245" s="277"/>
    </row>
    <row r="246" spans="5:8">
      <c r="E246" s="277"/>
      <c r="F246" s="277"/>
      <c r="H246" s="277"/>
    </row>
    <row r="247" spans="5:8">
      <c r="E247" s="277"/>
      <c r="F247" s="277"/>
      <c r="H247" s="277"/>
    </row>
    <row r="248" spans="5:8">
      <c r="E248" s="277"/>
      <c r="F248" s="277"/>
      <c r="H248" s="277"/>
    </row>
    <row r="249" spans="5:8">
      <c r="E249" s="277"/>
      <c r="F249" s="277"/>
      <c r="H249" s="277"/>
    </row>
    <row r="250" spans="5:8">
      <c r="E250" s="277"/>
      <c r="F250" s="277"/>
      <c r="H250" s="277"/>
    </row>
    <row r="251" spans="5:8">
      <c r="E251" s="277"/>
      <c r="F251" s="277"/>
      <c r="H251" s="277"/>
    </row>
    <row r="252" spans="5:8">
      <c r="E252" s="277"/>
      <c r="F252" s="277"/>
      <c r="H252" s="277"/>
    </row>
    <row r="253" spans="5:8">
      <c r="E253" s="277"/>
      <c r="F253" s="277"/>
      <c r="H253" s="277"/>
    </row>
    <row r="254" spans="5:8">
      <c r="E254" s="277"/>
      <c r="F254" s="277"/>
      <c r="H254" s="277"/>
    </row>
  </sheetData>
  <mergeCells count="10">
    <mergeCell ref="A2:A3"/>
    <mergeCell ref="B2:B3"/>
    <mergeCell ref="C2:C3"/>
    <mergeCell ref="D2:D3"/>
    <mergeCell ref="E2:E3"/>
    <mergeCell ref="G2:G3"/>
    <mergeCell ref="H2:H3"/>
    <mergeCell ref="I2:I3"/>
    <mergeCell ref="B5:G5"/>
    <mergeCell ref="F2:F3"/>
  </mergeCells>
  <pageMargins left="0.6692913385826772" right="0.43307086614173229" top="0.74803149606299213" bottom="0.74803149606299213" header="0.31496062992125984" footer="0.31496062992125984"/>
  <pageSetup scale="58" fitToHeight="15" orientation="portrait" horizontalDpi="1200" verticalDpi="1200" r:id="rId1"/>
  <rowBreaks count="4" manualBreakCount="4">
    <brk id="49" max="8" man="1"/>
    <brk id="130" max="8" man="1"/>
    <brk id="165" max="8" man="1"/>
    <brk id="193"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C&amp;I Summary</vt:lpstr>
      <vt:lpstr>C&amp;I</vt:lpstr>
      <vt:lpstr>FC - BOQ</vt:lpstr>
      <vt:lpstr>FLR - BOQ</vt:lpstr>
      <vt:lpstr>JNR-BOQ</vt:lpstr>
      <vt:lpstr>FURN</vt:lpstr>
      <vt:lpstr>Structural Summary</vt:lpstr>
      <vt:lpstr>Structural</vt:lpstr>
      <vt:lpstr>PHE R1 SUMMARY</vt:lpstr>
      <vt:lpstr>PHE WORKS-R1</vt:lpstr>
      <vt:lpstr>'PHE R1 SUMMARY'!Print_Area</vt:lpstr>
      <vt:lpstr>'PHE WORKS-R1'!Print_Area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Sundar Deepika/IND</dc:creator>
  <cp:lastModifiedBy>Roushan Computer</cp:lastModifiedBy>
  <cp:lastPrinted>2025-12-29T12:08:49Z</cp:lastPrinted>
  <dcterms:created xsi:type="dcterms:W3CDTF">2025-12-24T06:43:53Z</dcterms:created>
  <dcterms:modified xsi:type="dcterms:W3CDTF">2026-09-09T14:34:02Z</dcterms:modified>
</cp:coreProperties>
</file>