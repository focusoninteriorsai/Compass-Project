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Roushan Computer\Desktop\PROJECTS_FOCUSON\COMPASS CHENNAI\"/>
    </mc:Choice>
  </mc:AlternateContent>
  <bookViews>
    <workbookView xWindow="-120" yWindow="-120" windowWidth="29040" windowHeight="15840" tabRatio="798" activeTab="6"/>
  </bookViews>
  <sheets>
    <sheet name="Consolidated Summary" sheetId="7" r:id="rId1"/>
    <sheet name="Electrical Summary" sheetId="1" r:id="rId2"/>
    <sheet name="Electrical BOQ" sheetId="2" r:id="rId3"/>
    <sheet name=" Lighting protection BOQ" sheetId="3" r:id="rId4"/>
    <sheet name="FIRE -SUMMARY" sheetId="4" r:id="rId5"/>
    <sheet name="FIRE BOQ" sheetId="5" r:id="rId6"/>
    <sheet name="MAKES" sheetId="6" r:id="rId7"/>
  </sheets>
  <externalReferences>
    <externalReference r:id="rId8"/>
    <externalReference r:id="rId9"/>
  </externalReferences>
  <definedNames>
    <definedName name="\a" localSheetId="3">#REF!</definedName>
    <definedName name="\a">#REF!</definedName>
    <definedName name="__123Graph_A" hidden="1">[1]CASHFLOWS!#REF!</definedName>
    <definedName name="__123Graph_B" hidden="1">[1]CASHFLOWS!#REF!</definedName>
    <definedName name="__123Graph_X" hidden="1">[1]CASHFLOWS!$B$15:$B$29</definedName>
    <definedName name="__hp10" localSheetId="5" hidden="1">{#N/A,#N/A,TRUE,"Front";#N/A,#N/A,TRUE,"Simple Letter";#N/A,#N/A,TRUE,"Inside";#N/A,#N/A,TRUE,"Contents";#N/A,#N/A,TRUE,"Basis";#N/A,#N/A,TRUE,"Inclusions";#N/A,#N/A,TRUE,"Exclusions";#N/A,#N/A,TRUE,"Areas";#N/A,#N/A,TRUE,"Summary";#N/A,#N/A,TRUE,"Detail"}</definedName>
    <definedName name="__hp10" localSheetId="6"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11__123Graph_BCHART_4" hidden="1">[1]CASHFLOWS!#REF!</definedName>
    <definedName name="_15__123Graph_XCHART_3" hidden="1">[1]CASHFLOWS!$B$15:$B$29</definedName>
    <definedName name="_16__123Graph_XCHART_4" hidden="1">[1]CASHFLOWS!$B$15:$B$29</definedName>
    <definedName name="_4__123Graph_ACHART_3" hidden="1">[1]CASHFLOWS!#REF!</definedName>
    <definedName name="_6__123Graph_ACHART_4" hidden="1">[1]CASHFLOWS!#REF!</definedName>
    <definedName name="_9__123Graph_BCHART_3" hidden="1">[1]CASHFLOWS!#REF!</definedName>
    <definedName name="_xlnm._FilterDatabase" localSheetId="2" hidden="1">'Electrical BOQ'!$C$2:$D$714</definedName>
    <definedName name="_xlnm._FilterDatabase" localSheetId="5" hidden="1">'FIRE BOQ'!$D$3:$D$2206</definedName>
    <definedName name="anscount" hidden="1">1</definedName>
    <definedName name="CABLE" localSheetId="3">#REF!</definedName>
    <definedName name="CABLE">#REF!</definedName>
    <definedName name="_xlnm.Print_Area" localSheetId="3">' Lighting protection BOQ'!$A$1:$J$29</definedName>
    <definedName name="_xlnm.Print_Area" localSheetId="2">'Electrical BOQ'!$A$2:$H$710</definedName>
    <definedName name="_xlnm.Print_Area" localSheetId="1">'Electrical Summary'!$A$1:$E$52</definedName>
    <definedName name="_xlnm.Print_Area" localSheetId="5">'FIRE BOQ'!$A$1:$H$267</definedName>
    <definedName name="_xlnm.Print_Area" localSheetId="4">'FIRE -SUMMARY'!$A$1:$E$27</definedName>
    <definedName name="_xlnm.Print_Area" localSheetId="6">MAKES!$A$1:$C$83</definedName>
    <definedName name="_xlnm.Print_Titles" localSheetId="2">'Electrical BOQ'!$3:$4</definedName>
    <definedName name="_xlnm.Print_Titles" localSheetId="5">'FIRE BOQ'!$3:$3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8" i="2" l="1"/>
  <c r="C7" i="1"/>
  <c r="E241" i="5" l="1"/>
  <c r="E240" i="5"/>
  <c r="E239" i="5"/>
  <c r="E238" i="5"/>
  <c r="E11" i="5"/>
  <c r="G16" i="5"/>
  <c r="H221" i="5" l="1"/>
  <c r="G221" i="5"/>
  <c r="G10" i="5"/>
  <c r="H10" i="5"/>
  <c r="G11" i="5"/>
  <c r="H11" i="5"/>
  <c r="G12" i="5"/>
  <c r="H12" i="5"/>
  <c r="G13" i="5"/>
  <c r="H13" i="5"/>
  <c r="G14" i="5"/>
  <c r="H14" i="5"/>
  <c r="G15" i="5"/>
  <c r="H15"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G51" i="5"/>
  <c r="H51" i="5"/>
  <c r="G52" i="5"/>
  <c r="H52" i="5"/>
  <c r="G53" i="5"/>
  <c r="H53" i="5"/>
  <c r="G54" i="5"/>
  <c r="H54" i="5"/>
  <c r="G55" i="5"/>
  <c r="H55" i="5"/>
  <c r="G56" i="5"/>
  <c r="H56" i="5"/>
  <c r="G9" i="5"/>
  <c r="H265" i="5"/>
  <c r="G265" i="5"/>
  <c r="H264" i="5"/>
  <c r="G264" i="5"/>
  <c r="H263" i="5"/>
  <c r="G263" i="5"/>
  <c r="H262" i="5"/>
  <c r="G262" i="5"/>
  <c r="H261" i="5"/>
  <c r="G261" i="5"/>
  <c r="H260" i="5"/>
  <c r="G260" i="5"/>
  <c r="H259" i="5"/>
  <c r="G259" i="5"/>
  <c r="H258" i="5"/>
  <c r="G258" i="5"/>
  <c r="H257" i="5"/>
  <c r="G257" i="5"/>
  <c r="H256" i="5"/>
  <c r="G256" i="5"/>
  <c r="H255" i="5"/>
  <c r="G255" i="5"/>
  <c r="H254" i="5"/>
  <c r="G254" i="5"/>
  <c r="H253" i="5"/>
  <c r="G253" i="5"/>
  <c r="H252" i="5"/>
  <c r="G252" i="5"/>
  <c r="H251" i="5"/>
  <c r="G251" i="5"/>
  <c r="H250" i="5"/>
  <c r="G250" i="5"/>
  <c r="H249" i="5"/>
  <c r="G249" i="5"/>
  <c r="H248" i="5"/>
  <c r="G248" i="5"/>
  <c r="H247" i="5"/>
  <c r="G247" i="5"/>
  <c r="H246" i="5"/>
  <c r="G246" i="5"/>
  <c r="H245" i="5"/>
  <c r="G245" i="5"/>
  <c r="H244" i="5"/>
  <c r="G244" i="5"/>
  <c r="H243" i="5"/>
  <c r="G243" i="5"/>
  <c r="H242" i="5"/>
  <c r="G242" i="5"/>
  <c r="H241" i="5"/>
  <c r="G241" i="5"/>
  <c r="H240" i="5"/>
  <c r="G240" i="5"/>
  <c r="H239" i="5"/>
  <c r="G239" i="5"/>
  <c r="H238" i="5"/>
  <c r="G238" i="5"/>
  <c r="H237" i="5"/>
  <c r="G237" i="5"/>
  <c r="H236" i="5"/>
  <c r="G236" i="5"/>
  <c r="H235" i="5"/>
  <c r="G235" i="5"/>
  <c r="H234" i="5"/>
  <c r="G234" i="5"/>
  <c r="H233" i="5"/>
  <c r="G233" i="5"/>
  <c r="H232" i="5"/>
  <c r="G232" i="5"/>
  <c r="H231" i="5"/>
  <c r="G231" i="5"/>
  <c r="H230" i="5"/>
  <c r="G230" i="5"/>
  <c r="H229" i="5"/>
  <c r="G229" i="5"/>
  <c r="H228" i="5"/>
  <c r="G228" i="5"/>
  <c r="H227" i="5"/>
  <c r="G227" i="5"/>
  <c r="H226" i="5"/>
  <c r="G226" i="5"/>
  <c r="H225" i="5"/>
  <c r="G225" i="5"/>
  <c r="H224" i="5"/>
  <c r="G224" i="5"/>
  <c r="H223" i="5"/>
  <c r="G223" i="5"/>
  <c r="H222" i="5"/>
  <c r="G222" i="5"/>
  <c r="H220" i="5"/>
  <c r="G220" i="5"/>
  <c r="H219" i="5"/>
  <c r="G219" i="5"/>
  <c r="H218" i="5"/>
  <c r="G218" i="5"/>
  <c r="H217" i="5"/>
  <c r="G217" i="5"/>
  <c r="H216" i="5"/>
  <c r="G216" i="5"/>
  <c r="H212" i="5"/>
  <c r="G212" i="5"/>
  <c r="H211" i="5"/>
  <c r="G211" i="5"/>
  <c r="H210" i="5"/>
  <c r="G210" i="5"/>
  <c r="H209" i="5"/>
  <c r="G209" i="5"/>
  <c r="H208" i="5"/>
  <c r="G208" i="5"/>
  <c r="H207" i="5"/>
  <c r="G207" i="5"/>
  <c r="H206" i="5"/>
  <c r="G206" i="5"/>
  <c r="H205" i="5"/>
  <c r="G205" i="5"/>
  <c r="H204" i="5"/>
  <c r="G204" i="5"/>
  <c r="H203" i="5"/>
  <c r="G203" i="5"/>
  <c r="H202" i="5"/>
  <c r="G202" i="5"/>
  <c r="H201" i="5"/>
  <c r="G201" i="5"/>
  <c r="H200" i="5"/>
  <c r="G200" i="5"/>
  <c r="H199" i="5"/>
  <c r="G199" i="5"/>
  <c r="H198" i="5"/>
  <c r="G198" i="5"/>
  <c r="H197" i="5"/>
  <c r="G197" i="5"/>
  <c r="H196" i="5"/>
  <c r="G196" i="5"/>
  <c r="H195" i="5"/>
  <c r="G195" i="5"/>
  <c r="H194" i="5"/>
  <c r="G194" i="5"/>
  <c r="H193" i="5"/>
  <c r="G193" i="5"/>
  <c r="H192" i="5"/>
  <c r="G192" i="5"/>
  <c r="H191" i="5"/>
  <c r="G191" i="5"/>
  <c r="H190" i="5"/>
  <c r="G190" i="5"/>
  <c r="H189" i="5"/>
  <c r="G189" i="5"/>
  <c r="H188" i="5"/>
  <c r="G188" i="5"/>
  <c r="H187" i="5"/>
  <c r="G187" i="5"/>
  <c r="H186" i="5"/>
  <c r="G186" i="5"/>
  <c r="H185" i="5"/>
  <c r="G185" i="5"/>
  <c r="H184" i="5"/>
  <c r="G184" i="5"/>
  <c r="H183" i="5"/>
  <c r="G183" i="5"/>
  <c r="H182" i="5"/>
  <c r="G182" i="5"/>
  <c r="H181" i="5"/>
  <c r="G181" i="5"/>
  <c r="H180" i="5"/>
  <c r="G180" i="5"/>
  <c r="H179" i="5"/>
  <c r="G179" i="5"/>
  <c r="H178" i="5"/>
  <c r="G178" i="5"/>
  <c r="H177" i="5"/>
  <c r="G177" i="5"/>
  <c r="H176" i="5"/>
  <c r="G176" i="5"/>
  <c r="H175" i="5"/>
  <c r="G175" i="5"/>
  <c r="H174" i="5"/>
  <c r="G174" i="5"/>
  <c r="H173" i="5"/>
  <c r="G173" i="5"/>
  <c r="H172" i="5"/>
  <c r="G172" i="5"/>
  <c r="H171" i="5"/>
  <c r="G171" i="5"/>
  <c r="H167" i="5"/>
  <c r="G167" i="5"/>
  <c r="H166" i="5"/>
  <c r="G166" i="5"/>
  <c r="H165" i="5"/>
  <c r="G165" i="5"/>
  <c r="H164" i="5"/>
  <c r="G164" i="5"/>
  <c r="H163" i="5"/>
  <c r="G163" i="5"/>
  <c r="H162" i="5"/>
  <c r="G162" i="5"/>
  <c r="H161" i="5"/>
  <c r="G161" i="5"/>
  <c r="H160" i="5"/>
  <c r="G160" i="5"/>
  <c r="H159" i="5"/>
  <c r="G159" i="5"/>
  <c r="H158" i="5"/>
  <c r="G158" i="5"/>
  <c r="H157" i="5"/>
  <c r="G157" i="5"/>
  <c r="H156" i="5"/>
  <c r="G156" i="5"/>
  <c r="H155" i="5"/>
  <c r="G155" i="5"/>
  <c r="H154" i="5"/>
  <c r="G154" i="5"/>
  <c r="H153" i="5"/>
  <c r="G153" i="5"/>
  <c r="H152" i="5"/>
  <c r="G152" i="5"/>
  <c r="H151" i="5"/>
  <c r="G151" i="5"/>
  <c r="H150" i="5"/>
  <c r="G150" i="5"/>
  <c r="H149" i="5"/>
  <c r="G149" i="5"/>
  <c r="H148" i="5"/>
  <c r="G148" i="5"/>
  <c r="H147" i="5"/>
  <c r="G147" i="5"/>
  <c r="H146" i="5"/>
  <c r="G146" i="5"/>
  <c r="H145" i="5"/>
  <c r="G145" i="5"/>
  <c r="H144" i="5"/>
  <c r="G144" i="5"/>
  <c r="H143" i="5"/>
  <c r="G143" i="5"/>
  <c r="H142" i="5"/>
  <c r="G142" i="5"/>
  <c r="H141" i="5"/>
  <c r="G141" i="5"/>
  <c r="H140" i="5"/>
  <c r="G140" i="5"/>
  <c r="H139" i="5"/>
  <c r="G139" i="5"/>
  <c r="H138" i="5"/>
  <c r="G138" i="5"/>
  <c r="H137" i="5"/>
  <c r="G137" i="5"/>
  <c r="H136" i="5"/>
  <c r="G136" i="5"/>
  <c r="H135" i="5"/>
  <c r="G135" i="5"/>
  <c r="H131" i="5"/>
  <c r="G131" i="5"/>
  <c r="H130" i="5"/>
  <c r="G130" i="5"/>
  <c r="H129" i="5"/>
  <c r="G129" i="5"/>
  <c r="H128" i="5"/>
  <c r="G128" i="5"/>
  <c r="H127" i="5"/>
  <c r="G127" i="5"/>
  <c r="H126" i="5"/>
  <c r="G126" i="5"/>
  <c r="H125" i="5"/>
  <c r="G125" i="5"/>
  <c r="H124" i="5"/>
  <c r="G124" i="5"/>
  <c r="H123" i="5"/>
  <c r="G123" i="5"/>
  <c r="H122" i="5"/>
  <c r="G122" i="5"/>
  <c r="H121" i="5"/>
  <c r="G121" i="5"/>
  <c r="H120" i="5"/>
  <c r="G120" i="5"/>
  <c r="H119" i="5"/>
  <c r="G119" i="5"/>
  <c r="H118" i="5"/>
  <c r="G118" i="5"/>
  <c r="G132" i="5" s="1"/>
  <c r="C14" i="4" s="1"/>
  <c r="H117" i="5"/>
  <c r="G117" i="5"/>
  <c r="H113" i="5"/>
  <c r="G113" i="5"/>
  <c r="H112" i="5"/>
  <c r="G112" i="5"/>
  <c r="H111" i="5"/>
  <c r="G111" i="5"/>
  <c r="H110" i="5"/>
  <c r="G110" i="5"/>
  <c r="H109" i="5"/>
  <c r="G109" i="5"/>
  <c r="H108" i="5"/>
  <c r="G108" i="5"/>
  <c r="H107" i="5"/>
  <c r="G107" i="5"/>
  <c r="H106" i="5"/>
  <c r="G106" i="5"/>
  <c r="H105" i="5"/>
  <c r="G105" i="5"/>
  <c r="H104" i="5"/>
  <c r="G104" i="5"/>
  <c r="H103" i="5"/>
  <c r="G103" i="5"/>
  <c r="H102" i="5"/>
  <c r="G102" i="5"/>
  <c r="H101" i="5"/>
  <c r="G101" i="5"/>
  <c r="H100" i="5"/>
  <c r="G100" i="5"/>
  <c r="H99" i="5"/>
  <c r="G99" i="5"/>
  <c r="H98" i="5"/>
  <c r="G98" i="5"/>
  <c r="H97" i="5"/>
  <c r="G97" i="5"/>
  <c r="H96" i="5"/>
  <c r="G96" i="5"/>
  <c r="H95" i="5"/>
  <c r="G95" i="5"/>
  <c r="H94" i="5"/>
  <c r="G94" i="5"/>
  <c r="H93" i="5"/>
  <c r="G93" i="5"/>
  <c r="H92" i="5"/>
  <c r="G92" i="5"/>
  <c r="H91" i="5"/>
  <c r="G91" i="5"/>
  <c r="H90" i="5"/>
  <c r="G90" i="5"/>
  <c r="H89" i="5"/>
  <c r="G89" i="5"/>
  <c r="H88" i="5"/>
  <c r="G88" i="5"/>
  <c r="H87" i="5"/>
  <c r="G87" i="5"/>
  <c r="H86" i="5"/>
  <c r="G86" i="5"/>
  <c r="H85" i="5"/>
  <c r="G85" i="5"/>
  <c r="H84" i="5"/>
  <c r="G84" i="5"/>
  <c r="H83" i="5"/>
  <c r="G83" i="5"/>
  <c r="H82" i="5"/>
  <c r="G82" i="5"/>
  <c r="H81" i="5"/>
  <c r="G81" i="5"/>
  <c r="H80" i="5"/>
  <c r="G80" i="5"/>
  <c r="H79" i="5"/>
  <c r="G79" i="5"/>
  <c r="G114" i="5" s="1"/>
  <c r="C12" i="4" s="1"/>
  <c r="H78" i="5"/>
  <c r="G78" i="5"/>
  <c r="H74" i="5"/>
  <c r="G74" i="5"/>
  <c r="H73" i="5"/>
  <c r="G73" i="5"/>
  <c r="H72" i="5"/>
  <c r="G72" i="5"/>
  <c r="H71" i="5"/>
  <c r="G71" i="5"/>
  <c r="H70" i="5"/>
  <c r="G70" i="5"/>
  <c r="H69" i="5"/>
  <c r="G69" i="5"/>
  <c r="H68" i="5"/>
  <c r="G68" i="5"/>
  <c r="H67" i="5"/>
  <c r="G67" i="5"/>
  <c r="H66" i="5"/>
  <c r="G66" i="5"/>
  <c r="H65" i="5"/>
  <c r="G65" i="5"/>
  <c r="H64" i="5"/>
  <c r="G64" i="5"/>
  <c r="H63" i="5"/>
  <c r="H75" i="5" s="1"/>
  <c r="D10" i="4" s="1"/>
  <c r="G63" i="5"/>
  <c r="G75" i="5" s="1"/>
  <c r="C10" i="4" s="1"/>
  <c r="H62" i="5"/>
  <c r="G62" i="5"/>
  <c r="H61" i="5"/>
  <c r="G61" i="5"/>
  <c r="H58" i="5"/>
  <c r="G58" i="5"/>
  <c r="H57" i="5"/>
  <c r="G57" i="5"/>
  <c r="H9" i="5"/>
  <c r="H132" i="5" l="1"/>
  <c r="D14" i="4" s="1"/>
  <c r="G59" i="5"/>
  <c r="C8" i="4" s="1"/>
  <c r="H114" i="5"/>
  <c r="D12" i="4" s="1"/>
  <c r="G266" i="5"/>
  <c r="C20" i="4" s="1"/>
  <c r="H266" i="5"/>
  <c r="D20" i="4" s="1"/>
  <c r="G213" i="5"/>
  <c r="C18" i="4" s="1"/>
  <c r="H213" i="5"/>
  <c r="D18" i="4" s="1"/>
  <c r="G168" i="5"/>
  <c r="C16" i="4" s="1"/>
  <c r="H168" i="5"/>
  <c r="D16" i="4" s="1"/>
  <c r="H59" i="5"/>
  <c r="D8" i="4" s="1"/>
  <c r="J122" i="2" l="1"/>
  <c r="H707" i="2"/>
  <c r="G707" i="2"/>
  <c r="H705" i="2"/>
  <c r="G705" i="2"/>
  <c r="H703" i="2"/>
  <c r="G703" i="2"/>
  <c r="H701" i="2"/>
  <c r="G701" i="2"/>
  <c r="H699" i="2"/>
  <c r="G699" i="2"/>
  <c r="H697" i="2"/>
  <c r="G697" i="2"/>
  <c r="H693" i="2"/>
  <c r="G693" i="2"/>
  <c r="H691" i="2"/>
  <c r="G691" i="2"/>
  <c r="H683" i="2"/>
  <c r="G683" i="2"/>
  <c r="H664" i="2"/>
  <c r="G664" i="2"/>
  <c r="H660" i="2"/>
  <c r="G660" i="2"/>
  <c r="H646" i="2"/>
  <c r="G646" i="2"/>
  <c r="H644" i="2"/>
  <c r="G644" i="2"/>
  <c r="H642" i="2"/>
  <c r="G642" i="2"/>
  <c r="H643" i="2"/>
  <c r="G643" i="2"/>
  <c r="H640" i="2"/>
  <c r="G640" i="2"/>
  <c r="H621" i="2"/>
  <c r="G621" i="2"/>
  <c r="H619" i="2"/>
  <c r="G619" i="2"/>
  <c r="H615" i="2"/>
  <c r="G615" i="2"/>
  <c r="H613" i="2"/>
  <c r="G613" i="2"/>
  <c r="H604" i="2"/>
  <c r="G604" i="2"/>
  <c r="H582" i="2"/>
  <c r="G582" i="2"/>
  <c r="H580" i="2"/>
  <c r="G580" i="2"/>
  <c r="H568" i="2"/>
  <c r="G568" i="2"/>
  <c r="H493" i="2"/>
  <c r="G493" i="2"/>
  <c r="H481" i="2"/>
  <c r="G481" i="2"/>
  <c r="H479" i="2"/>
  <c r="G479" i="2"/>
  <c r="H477" i="2"/>
  <c r="G477" i="2"/>
  <c r="H475" i="2"/>
  <c r="G475" i="2"/>
  <c r="H473" i="2"/>
  <c r="G473" i="2"/>
  <c r="H465" i="2"/>
  <c r="G465" i="2"/>
  <c r="H459" i="2"/>
  <c r="G459" i="2"/>
  <c r="H457" i="2"/>
  <c r="G457" i="2"/>
  <c r="H455" i="2"/>
  <c r="G455" i="2"/>
  <c r="H453" i="2"/>
  <c r="G453" i="2"/>
  <c r="H451" i="2"/>
  <c r="G451" i="2"/>
  <c r="H447" i="2"/>
  <c r="G447" i="2"/>
  <c r="H445" i="2"/>
  <c r="G445" i="2"/>
  <c r="H441" i="2"/>
  <c r="G441" i="2"/>
  <c r="H439" i="2"/>
  <c r="G439" i="2"/>
  <c r="H435" i="2"/>
  <c r="G435" i="2"/>
  <c r="H406" i="2"/>
  <c r="G406" i="2"/>
  <c r="H405" i="2"/>
  <c r="G405" i="2"/>
  <c r="H404" i="2"/>
  <c r="G404" i="2"/>
  <c r="H403" i="2"/>
  <c r="G403" i="2"/>
  <c r="H402" i="2"/>
  <c r="G402" i="2"/>
  <c r="H400" i="2"/>
  <c r="G400" i="2"/>
  <c r="H398" i="2"/>
  <c r="G398" i="2"/>
  <c r="H396" i="2"/>
  <c r="G396" i="2"/>
  <c r="H394" i="2"/>
  <c r="G394" i="2"/>
  <c r="H392" i="2"/>
  <c r="G392" i="2"/>
  <c r="H384" i="2"/>
  <c r="G384" i="2"/>
  <c r="H382" i="2"/>
  <c r="G382" i="2"/>
  <c r="H380" i="2"/>
  <c r="G380" i="2"/>
  <c r="H374" i="2"/>
  <c r="G374" i="2"/>
  <c r="H363" i="2"/>
  <c r="G363" i="2"/>
  <c r="H361" i="2"/>
  <c r="G361" i="2"/>
  <c r="H355" i="2"/>
  <c r="G355" i="2"/>
  <c r="H353" i="2"/>
  <c r="G353" i="2"/>
  <c r="H351" i="2"/>
  <c r="G351" i="2"/>
  <c r="H339" i="2"/>
  <c r="G339" i="2"/>
  <c r="H337" i="2"/>
  <c r="G337" i="2"/>
  <c r="H335" i="2"/>
  <c r="G335" i="2"/>
  <c r="H329" i="2"/>
  <c r="G329" i="2"/>
  <c r="H325" i="2"/>
  <c r="G325" i="2"/>
  <c r="H307" i="2"/>
  <c r="G307" i="2"/>
  <c r="H302" i="2"/>
  <c r="G302" i="2"/>
  <c r="H237" i="2"/>
  <c r="G237" i="2"/>
  <c r="H209" i="2"/>
  <c r="G209" i="2"/>
  <c r="H208" i="2"/>
  <c r="G208" i="2"/>
  <c r="H180" i="2"/>
  <c r="G180" i="2"/>
  <c r="H175" i="2"/>
  <c r="G175" i="2"/>
  <c r="H174" i="2"/>
  <c r="G174" i="2"/>
  <c r="H172" i="2"/>
  <c r="G172" i="2"/>
  <c r="H171" i="2"/>
  <c r="G171" i="2"/>
  <c r="H166" i="2"/>
  <c r="G166" i="2"/>
  <c r="H165" i="2"/>
  <c r="G165" i="2"/>
  <c r="H160" i="2"/>
  <c r="G160" i="2"/>
  <c r="H159" i="2"/>
  <c r="G159" i="2"/>
  <c r="H144" i="2"/>
  <c r="G144" i="2"/>
  <c r="H143" i="2"/>
  <c r="G143" i="2"/>
  <c r="H141" i="2"/>
  <c r="G141" i="2"/>
  <c r="H140" i="2"/>
  <c r="G140" i="2"/>
  <c r="H135" i="2"/>
  <c r="G135" i="2"/>
  <c r="H134" i="2"/>
  <c r="G134" i="2"/>
  <c r="H132" i="2"/>
  <c r="G132" i="2"/>
  <c r="H131" i="2"/>
  <c r="G131" i="2"/>
  <c r="H123" i="2"/>
  <c r="G123" i="2"/>
  <c r="H122" i="2"/>
  <c r="G122"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70" i="2"/>
  <c r="H70" i="2"/>
  <c r="G71" i="2"/>
  <c r="H71" i="2"/>
  <c r="G77" i="2"/>
  <c r="H77" i="2"/>
  <c r="G79" i="2"/>
  <c r="H79" i="2"/>
  <c r="G80" i="2"/>
  <c r="H80" i="2"/>
  <c r="G81" i="2"/>
  <c r="H81" i="2"/>
  <c r="G82" i="2"/>
  <c r="H82" i="2"/>
  <c r="G93" i="2"/>
  <c r="H93" i="2"/>
  <c r="G94" i="2"/>
  <c r="H94" i="2"/>
  <c r="G96" i="2"/>
  <c r="H96" i="2"/>
  <c r="H48" i="2"/>
  <c r="G48" i="2"/>
  <c r="H648" i="2" l="1"/>
  <c r="H687" i="2"/>
  <c r="H709" i="2"/>
  <c r="H313" i="2"/>
  <c r="H386" i="2"/>
  <c r="H214" i="2"/>
  <c r="H341" i="2"/>
  <c r="H408" i="2"/>
  <c r="H467" i="2"/>
  <c r="G648" i="2"/>
  <c r="G313" i="2"/>
  <c r="G408" i="2"/>
  <c r="G467" i="2"/>
  <c r="G497" i="2"/>
  <c r="H497" i="2"/>
  <c r="G214" i="2"/>
  <c r="G687" i="2"/>
  <c r="G709" i="2"/>
  <c r="G386" i="2"/>
  <c r="G341" i="2"/>
  <c r="H98" i="2"/>
  <c r="E20" i="4" l="1"/>
  <c r="C22" i="4"/>
  <c r="C7" i="7" s="1"/>
  <c r="B20" i="4"/>
  <c r="E18" i="4"/>
  <c r="D22" i="4"/>
  <c r="D7" i="7" s="1"/>
  <c r="B18" i="4"/>
  <c r="E16" i="4"/>
  <c r="B16" i="4"/>
  <c r="E14" i="4"/>
  <c r="B14" i="4"/>
  <c r="E12" i="4"/>
  <c r="B12" i="4"/>
  <c r="E10" i="4"/>
  <c r="B10" i="4"/>
  <c r="E8" i="4"/>
  <c r="B8" i="4"/>
  <c r="D578" i="2"/>
  <c r="D576" i="2"/>
  <c r="H576" i="2" l="1"/>
  <c r="G576" i="2"/>
  <c r="G578" i="2"/>
  <c r="H578" i="2"/>
  <c r="E7" i="7"/>
  <c r="E22" i="4"/>
  <c r="G22" i="4" s="1"/>
  <c r="A14" i="3"/>
  <c r="A16" i="3" s="1"/>
  <c r="A17" i="3" s="1"/>
  <c r="A18" i="3" s="1"/>
  <c r="A20" i="3" s="1"/>
  <c r="A21" i="3" s="1"/>
  <c r="A22" i="3" s="1"/>
  <c r="A23" i="3" s="1"/>
  <c r="A24" i="3" s="1"/>
  <c r="A25" i="3" s="1"/>
  <c r="A26" i="3" s="1"/>
  <c r="A27" i="3" s="1"/>
  <c r="A5" i="3"/>
  <c r="A6" i="3" s="1"/>
  <c r="A7" i="3" s="1"/>
  <c r="A8" i="3" s="1"/>
  <c r="A9" i="3" s="1"/>
  <c r="A10" i="3" s="1"/>
  <c r="A11" i="3" s="1"/>
  <c r="A12" i="3" s="1"/>
  <c r="G598" i="2" l="1"/>
  <c r="H598" i="2"/>
  <c r="D31" i="1"/>
  <c r="C31" i="1"/>
  <c r="A48" i="2"/>
  <c r="A50" i="2" s="1"/>
  <c r="A53" i="2" s="1"/>
  <c r="A55" i="2" s="1"/>
  <c r="A455" i="2"/>
  <c r="A457" i="2" s="1"/>
  <c r="A459" i="2" s="1"/>
  <c r="A461" i="2" s="1"/>
  <c r="A463" i="2" s="1"/>
  <c r="A465" i="2" s="1"/>
  <c r="A435" i="2"/>
  <c r="A437" i="2" s="1"/>
  <c r="A439" i="2" s="1"/>
  <c r="A441" i="2" s="1"/>
  <c r="A443" i="2" s="1"/>
  <c r="A445" i="2" s="1"/>
  <c r="A447" i="2" s="1"/>
  <c r="A449" i="2" s="1"/>
  <c r="A451" i="2" s="1"/>
  <c r="E31" i="1" l="1"/>
  <c r="A57" i="2"/>
  <c r="A59" i="2" s="1"/>
  <c r="A61" i="2" s="1"/>
  <c r="A63" i="2" s="1"/>
  <c r="A374" i="2" l="1"/>
  <c r="A376" i="2" s="1"/>
  <c r="A394" i="2" l="1"/>
  <c r="A396" i="2" s="1"/>
  <c r="A398" i="2" s="1"/>
  <c r="A400" i="2" s="1"/>
  <c r="A402" i="2" s="1"/>
  <c r="A404" i="2" s="1"/>
  <c r="A406" i="2" s="1"/>
  <c r="A285" i="2" l="1"/>
  <c r="A290" i="2" s="1"/>
  <c r="A295" i="2" s="1"/>
  <c r="A299" i="2" s="1"/>
  <c r="A304" i="2" s="1"/>
  <c r="A309" i="2" s="1"/>
  <c r="A239" i="2"/>
  <c r="A244" i="2" s="1"/>
  <c r="A248" i="2" s="1"/>
  <c r="A37" i="1"/>
  <c r="A38" i="1" s="1"/>
  <c r="A39" i="1" s="1"/>
  <c r="A40" i="1" s="1"/>
  <c r="A41" i="1" s="1"/>
  <c r="A42" i="1" s="1"/>
  <c r="A43" i="1" s="1"/>
  <c r="A44" i="1" s="1"/>
  <c r="A45" i="1" l="1"/>
  <c r="A46" i="1" s="1"/>
  <c r="A47" i="1" s="1"/>
  <c r="A48" i="1" s="1"/>
  <c r="A252" i="2"/>
  <c r="A260" i="2" s="1"/>
  <c r="A265" i="2" s="1"/>
  <c r="A49" i="1" l="1"/>
  <c r="A270" i="2"/>
  <c r="A275" i="2" s="1"/>
  <c r="A50" i="1" l="1"/>
  <c r="C27" i="1" l="1"/>
  <c r="D27" i="1"/>
  <c r="A674" i="2"/>
  <c r="A679" i="2" s="1"/>
  <c r="A681" i="2" s="1"/>
  <c r="A683" i="2" s="1"/>
  <c r="A685" i="2" s="1"/>
  <c r="A654" i="2"/>
  <c r="A656" i="2" s="1"/>
  <c r="A658" i="2" s="1"/>
  <c r="A660" i="2" s="1"/>
  <c r="A664" i="2" s="1"/>
  <c r="A668" i="2" s="1"/>
  <c r="A669" i="2" s="1"/>
  <c r="A670" i="2" s="1"/>
  <c r="A671" i="2" s="1"/>
  <c r="E27" i="1" l="1"/>
  <c r="A378" i="2" l="1"/>
  <c r="A380" i="2" s="1"/>
  <c r="A382" i="2" s="1"/>
  <c r="A384" i="2" s="1"/>
  <c r="C19" i="1" l="1"/>
  <c r="D19" i="1"/>
  <c r="D7" i="1" l="1"/>
  <c r="E7" i="1" l="1"/>
  <c r="B17" i="1" l="1"/>
  <c r="A353" i="2"/>
  <c r="A355" i="2" s="1"/>
  <c r="A357" i="2" s="1"/>
  <c r="A359" i="2" s="1"/>
  <c r="A361" i="2" l="1"/>
  <c r="A363" i="2" s="1"/>
  <c r="A365" i="2" s="1"/>
  <c r="A367" i="2" s="1"/>
  <c r="A327" i="2"/>
  <c r="A329" i="2" s="1"/>
  <c r="A331" i="2" s="1"/>
  <c r="A333" i="2" s="1"/>
  <c r="A335" i="2" s="1"/>
  <c r="A337" i="2" s="1"/>
  <c r="A339" i="2" s="1"/>
  <c r="D17" i="1" l="1"/>
  <c r="D11" i="1" l="1"/>
  <c r="D23" i="1" l="1"/>
  <c r="C23" i="1"/>
  <c r="C29" i="1"/>
  <c r="D29" i="1"/>
  <c r="C13" i="1"/>
  <c r="D13" i="1"/>
  <c r="D15" i="1"/>
  <c r="D9" i="1"/>
  <c r="C9" i="1"/>
  <c r="C11" i="1"/>
  <c r="E11" i="1" s="1"/>
  <c r="D25" i="1"/>
  <c r="C21" i="1"/>
  <c r="C25" i="1"/>
  <c r="D21" i="1"/>
  <c r="C15" i="1"/>
  <c r="C17" i="1"/>
  <c r="E17" i="1" s="1"/>
  <c r="E29" i="1" l="1"/>
  <c r="E9" i="1"/>
  <c r="E25" i="1"/>
  <c r="E19" i="1"/>
  <c r="E23" i="1"/>
  <c r="E13" i="1"/>
  <c r="E15" i="1"/>
  <c r="E21" i="1"/>
  <c r="C33" i="1"/>
  <c r="C5" i="7" s="1"/>
  <c r="C8" i="7" s="1"/>
  <c r="E33" i="1" l="1"/>
  <c r="D33" i="1"/>
  <c r="D5" i="7" s="1"/>
  <c r="E5" i="7" l="1"/>
  <c r="E8" i="7" s="1"/>
  <c r="D8" i="7"/>
</calcChain>
</file>

<file path=xl/sharedStrings.xml><?xml version="1.0" encoding="utf-8"?>
<sst xmlns="http://schemas.openxmlformats.org/spreadsheetml/2006/main" count="1633" uniqueCount="971">
  <si>
    <t>Summary</t>
  </si>
  <si>
    <t>Part</t>
  </si>
  <si>
    <t>Description</t>
  </si>
  <si>
    <t>Supply Amount
in INR</t>
  </si>
  <si>
    <t>Install Amount
in INR</t>
  </si>
  <si>
    <t>Total Amount
in INR</t>
  </si>
  <si>
    <t>LT CABLES</t>
  </si>
  <si>
    <t>MCB DISTRIBUTION BOARDS</t>
  </si>
  <si>
    <t>CIRCUITMAINS / SUBMAINS</t>
  </si>
  <si>
    <t>POWER RECEPTACLES</t>
  </si>
  <si>
    <t>LIGHT FIXTURE</t>
  </si>
  <si>
    <t>CABLE TRAY</t>
  </si>
  <si>
    <t>RACEWAYS</t>
  </si>
  <si>
    <t>EARTHING</t>
  </si>
  <si>
    <t>MISCELLANEOUS ITEMS</t>
  </si>
  <si>
    <t>TOTAL</t>
  </si>
  <si>
    <t>Assumptions &amp; Exclusions</t>
  </si>
  <si>
    <t>Sl. No.</t>
  </si>
  <si>
    <t>DESCRIPTION</t>
  </si>
  <si>
    <t>Unit</t>
  </si>
  <si>
    <t>Supply Rate
in INR</t>
  </si>
  <si>
    <t>Install Rate
in INR</t>
  </si>
  <si>
    <t>LT PANELS:</t>
  </si>
  <si>
    <t>Panels as per technical specifications &amp; schematic diagram.</t>
  </si>
  <si>
    <t>Enclosure: Compartmentalized Single front CRGO (Cold rolled grain oriented sheet steel)</t>
  </si>
  <si>
    <t>Doors:2mm Body:2mm Gland:3mm covers and partitions:1.6mm</t>
  </si>
  <si>
    <t>IP class:IP52 for Indoor/IP55 with weather proof enclosure for outdoor</t>
  </si>
  <si>
    <t>Bus bars: Electrolytic grade conductivity as per standard IS 5082</t>
  </si>
  <si>
    <t>Bus bar supports: DMC/FRP/SMC</t>
  </si>
  <si>
    <t xml:space="preserve">Bus bar joints: Shrouded/Tinned </t>
  </si>
  <si>
    <t>Ics=Icu for all breakers</t>
  </si>
  <si>
    <t>Utilization category: All MCCB/ACB's shall be Cat: A except ACB's for Ltg &amp; raw power input distribution panel shall be with Cat: B .</t>
  </si>
  <si>
    <t>Loovers: Busbar chamber shall have louvers with fine mesh inside</t>
  </si>
  <si>
    <t>Shade: Epoxy powder coated RAL 7032</t>
  </si>
  <si>
    <t>Design: Modular type</t>
  </si>
  <si>
    <t>Cable entry: As per site condition</t>
  </si>
  <si>
    <t xml:space="preserve">Bus bar insulation: Aluminum bus bars shall be bare with color coding at the ends/Copper shall be bare with color coding at the ends/For Humidified areas the copper bus bars shall be coated with tin. </t>
  </si>
  <si>
    <t xml:space="preserve">Note: </t>
  </si>
  <si>
    <t>1. The Panel shall be fully as per the requirement of Electrical Inspectorate/ EB authorities.</t>
  </si>
  <si>
    <t>2. Auxilliary contactor to be provided along with auto-manual switch where ever required.</t>
  </si>
  <si>
    <t>3. All Breakers both Incoming &amp; Outgoing shall have LED  'ON / OFF / TRIP'  indications without fail.</t>
  </si>
  <si>
    <t>4. CTs shall be with dual ratio  and cast resin type only.</t>
  </si>
  <si>
    <t>5. All doors to have double rubber gasket with shutter assembly &amp; door seating frame.</t>
  </si>
  <si>
    <t>6. All AC feeders will have time delays of 0-60 Seconds.</t>
  </si>
  <si>
    <t>7. All  MCCBs  of 250A and above for non-ups loads will  be  microprocessor based  only and for UPS panels shall be with thermal releases.</t>
  </si>
  <si>
    <t>8. Any panel if more than 1.5m width should be made in parts each part not exceeding 1.5m.</t>
  </si>
  <si>
    <t>9. The current density for Aluminium busbars shall be 0.8 only.</t>
  </si>
  <si>
    <t>10. The current density for Copper busbars shall be 1.0 only.</t>
  </si>
  <si>
    <t>11. All UPS outgoing panels shall have  neutral busbars double the size of phase.</t>
  </si>
  <si>
    <t>12. All MCCB's shall have plug setting from (40or50)-100%.</t>
  </si>
  <si>
    <t>13. All Lighting / RP and Lift panels shall have ELR for incomer of Prok. Dvs. Make only.</t>
  </si>
  <si>
    <t>14. All test certificates must be provided immediately after commissioning.</t>
  </si>
  <si>
    <t>15. SAFETY CERTIFICATE FOR THE PANELS SHALL BE PRODUCED FROM CEIG.</t>
  </si>
  <si>
    <t>16.  All meters shall be  Digital  type only.</t>
  </si>
  <si>
    <t xml:space="preserve">17.  FRLS PVC copper wires shall be used for control wiring   </t>
  </si>
  <si>
    <t>Please refer make of materials tab for further detailing</t>
  </si>
  <si>
    <t>No</t>
  </si>
  <si>
    <r>
      <t xml:space="preserve">Fully Automatic DOL/ Star Delta starters with features like Local/Remote, Auto/Manual &amp; programmable timer for auto operation. Start delta starters shall be provided 5.5kW and above rating. The necessary NO NC shall be provided with BMS compatibility. The space provision for VFD with bypass facility shall be provided wherever it is specified as below. For AHU VFD Panels will be installed by Builder. Starter will be used in case of VFD Panel Maintenance/Failure. </t>
    </r>
    <r>
      <rPr>
        <b/>
        <sz val="11"/>
        <rFont val="Calibri"/>
        <family val="2"/>
        <scheme val="minor"/>
      </rPr>
      <t>The AHU panel to be tripped in case of fire, hence necessary contactors for the same to be provided</t>
    </r>
  </si>
  <si>
    <t>No.</t>
  </si>
  <si>
    <t>4P MCB ISOLATOR with enclosures</t>
  </si>
  <si>
    <t>16A</t>
  </si>
  <si>
    <t xml:space="preserve">63A </t>
  </si>
  <si>
    <t>63A Weather proof</t>
  </si>
  <si>
    <t>80A</t>
  </si>
  <si>
    <t>125A</t>
  </si>
  <si>
    <t>Total Part-1</t>
  </si>
  <si>
    <t>LT CABLES &amp; ENDTERMINATIONS</t>
  </si>
  <si>
    <t xml:space="preserve">Supply, Laying, Testing and Commissioning of stranded XLPE insulated, Armoured/Unarmoured/Flexible, Aluminum / Copper conductor, laid in tray / hume pipe / in ready made trenches, with nylon cable ties / MS Clamps @ 600mm interval  etc., as required. The cost of  the nylon tie and  overlapping GI strip shall be included in the cost of  installation. </t>
  </si>
  <si>
    <t xml:space="preserve">Supply, Installation, Testing and Commissioning of Compression type cable gland, aluminum sockets for aluminum cables / copper sockets for copper cables, insulation tape, anti corrosive paste, brass clamps for gland earthing with 14 SWG copper wire to connect to nearest earth flat.  </t>
  </si>
  <si>
    <t>Insulation: XLPE</t>
  </si>
  <si>
    <t>Inner sheath: Extruded PVC only for Multicore</t>
  </si>
  <si>
    <t>Outer sheath: Extruded Type ST2 PVC with FLAME RETARDANT</t>
  </si>
  <si>
    <t>Voltage grade:1100Volts</t>
  </si>
  <si>
    <t>Armoure: Galvanized Steel strip/Wire for multicore</t>
  </si>
  <si>
    <t>Non Magnetic Aluminum Wire/Strip for Single core</t>
  </si>
  <si>
    <t>Gland type : Brass with nickel plated</t>
  </si>
  <si>
    <t>Compression : Double compression above 35 Sq.mm</t>
  </si>
  <si>
    <t>Sealing Ring : Natural rubber for indoor, Neoprene for Outdoor</t>
  </si>
  <si>
    <t>XLPE / PVC insulated, steel armoured, aluminium conductor 3.5 Core and 4 core cables.</t>
  </si>
  <si>
    <t>Rm</t>
  </si>
  <si>
    <t>End Termination</t>
  </si>
  <si>
    <t>2.1.2a</t>
  </si>
  <si>
    <t>2.1.2b</t>
  </si>
  <si>
    <t>2.1.3a</t>
  </si>
  <si>
    <t>2.1.3b</t>
  </si>
  <si>
    <t>2.1.4a</t>
  </si>
  <si>
    <t>2.1.4b</t>
  </si>
  <si>
    <t>2.1.6a</t>
  </si>
  <si>
    <t>2.1.6b</t>
  </si>
  <si>
    <t>4 C x 25 Sq.mm  (XLPE)</t>
  </si>
  <si>
    <t>PVC insulated steel Armoured Aluminium conductor 3 core cables</t>
  </si>
  <si>
    <t>PVC Insulated &amp; Steel Armoured Copper Conductor cables (YFY Type)</t>
  </si>
  <si>
    <t>2.3.1a</t>
  </si>
  <si>
    <t>2.3.1b</t>
  </si>
  <si>
    <t>2.3.2a</t>
  </si>
  <si>
    <t>2.3.2b</t>
  </si>
  <si>
    <t>2.3.3a</t>
  </si>
  <si>
    <t>2.3.3b</t>
  </si>
  <si>
    <t>4C X 6 sq.mm</t>
  </si>
  <si>
    <t>PVC insulated, sheathed, unarmoured, flexible copper conductor cables - single Core  - for end connection in grounding.</t>
  </si>
  <si>
    <t>2.4.1a</t>
  </si>
  <si>
    <t>2.4.1b</t>
  </si>
  <si>
    <t>2.4.2a</t>
  </si>
  <si>
    <t xml:space="preserve">1 C x 16 sq.mm </t>
  </si>
  <si>
    <t>2.4.2b</t>
  </si>
  <si>
    <t>2.4.3a</t>
  </si>
  <si>
    <t>2.4.3b</t>
  </si>
  <si>
    <t>TOTAL PART -2</t>
  </si>
  <si>
    <t>MCB DISTRIBUTION BOARDS (DB)</t>
  </si>
  <si>
    <t>Supply, Installation, Testing and Commissioning of  MCB Distribution board as per approved installation dwgs.</t>
  </si>
  <si>
    <t xml:space="preserve">Wall mounted MCB DBs with MS wire way box on top / bottom &amp; on sides. MCBs shall be rated for 10kA with current limiting feature. Dummy ways to be covered with blank plates. All out going ways shall be labelled &amp; laminated. </t>
  </si>
  <si>
    <t>Enclosure:1.2mm CRCA Sheet Steel, Powder Coated</t>
  </si>
  <si>
    <t>Door : Single Door</t>
  </si>
  <si>
    <t>Cable Entry : Top &amp; Bottom</t>
  </si>
  <si>
    <t>Bus bar : Shall be tinned Copper and 200% rating for UPS DB Neutral Link</t>
  </si>
  <si>
    <t>MCB's : 10kA  'C' Curve for Lighting &amp; Raw power, 10kA 'D' Curve for UPS Distribution</t>
  </si>
  <si>
    <t xml:space="preserve">Note:                                                                                                                                                                                                                                                                                                                                                                                                                                                                      </t>
  </si>
  <si>
    <t xml:space="preserve">1) Separate Earth bus/Neutral bus for each phase                </t>
  </si>
  <si>
    <t xml:space="preserve">2) Each Circuit shall have yellow ferrules with circuit number.  </t>
  </si>
  <si>
    <t xml:space="preserve">3) Accessories required for installation of DB's on Wall/Column/Gyp Board shall be considered  </t>
  </si>
  <si>
    <t>4) DB's shall be covered with powder coated (paint should match with DB Color) wire ways all around and up to ceiling to receive incoming circuits, how ever raceway shall be considered as a separate items</t>
  </si>
  <si>
    <t>5) Laminated A3 OR A4 size SLD copy shall be pasted inside DB door</t>
  </si>
  <si>
    <t>6) Safe shroud for Neutral link shall be provided</t>
  </si>
  <si>
    <t>7) DBs to be vertical tier type/ PPI TPN DBs</t>
  </si>
  <si>
    <t>TOTAL PART -3</t>
  </si>
  <si>
    <t>CIRCUIT / SUB MAINS:</t>
  </si>
  <si>
    <t xml:space="preserve">NOTE:                                                                                                                                                                                                                                                                                                                                                                                                                                                             </t>
  </si>
  <si>
    <t xml:space="preserve">1) Conduits running above false ceiling in multiples shall be supported by Slotted GI 'C' channel at distance not more than 0.5mtrs intervals. OR else with spacers &amp; saddles at an intervals of 0.5mtrs   </t>
  </si>
  <si>
    <t xml:space="preserve">2) Accessories shall includes Bends, Collars, junction boxes, Spacers, saddles, screws, Flexibles                   </t>
  </si>
  <si>
    <t xml:space="preserve">3) Conduits shall be ISI marked     </t>
  </si>
  <si>
    <t xml:space="preserve">4) The number of wires drawn in each conduit shall be as per IS 694 code. </t>
  </si>
  <si>
    <t xml:space="preserve">5) No different phases shall be drawn in same conduit     </t>
  </si>
  <si>
    <t>6) Conduit joints shall be done with threading proper accessories only</t>
  </si>
  <si>
    <t>2Rx1.5sq.mm Teflon insulated Transparent wires</t>
  </si>
  <si>
    <t>3C x 6 sq.mm cable with PVC-FRLS insulated outer sheath &amp; multi strand copper conductors, unarmoured, cable to be laid in raceways / conduits ( cost of raceways/conduits to exclude).</t>
  </si>
  <si>
    <t>TOTAL PART -4</t>
  </si>
  <si>
    <t>POWER RECEPTACLES.</t>
  </si>
  <si>
    <t>Supply, Installation, Testing and Commissioning of the following Modular/Industrial Switch, sockets with  modular front plate,  and accessories as per the site conditions.</t>
  </si>
  <si>
    <t>Industrial type sockets shall be of  Metal clad /  Polycarbonate body with plug top.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scraches &amp; paint during installation.</t>
  </si>
  <si>
    <t>Note: Safety shutters to prevent accidental contact with live parts shall be provided. No indicator shall be provided for switches</t>
  </si>
  <si>
    <t>Modular : Round multipin type With Box</t>
  </si>
  <si>
    <t>1 no 16A UPS Universal socket controlled by a 16A switch</t>
  </si>
  <si>
    <t>TOTAL PART -5</t>
  </si>
  <si>
    <t>TOTAL PART - 6</t>
  </si>
  <si>
    <t>Note: Catalogue numbers indicated are only to describe type of light fixture required. Lamp Colour shall be - 84 or as approved by Architect / Consultant.</t>
  </si>
  <si>
    <t>Whether explicitly mentioned or not vendor shall consider light fixtures with necessary   powerfactor improvement condensors.
b.Unless specified all light fixtures shall be considered with electromagnetic ballasts. The loss of ballasts shall not exceed 5.5 Watts
c.Vendor shall consider necessary fixing hardware and components to install light fixtures. The hardware viz., anchor fasteners, suspending GI chains, down rods will not be measured seperately. Vendor shall assume a minimum suspension length of 0.5 Mtrs</t>
  </si>
  <si>
    <t>Light Fixtures. Quoted rate shall include mounting bracket and lamps</t>
  </si>
  <si>
    <t xml:space="preserve">Supply, Installation, Testing and Commissioning of Light fixtures and lamps with all accessories, fixing on the wall / ceiling/false ceiling  with wooden blocks, screws ,hardware's ,suspended chain hooks as required as per the site conditions (including the earthing of fixture) </t>
  </si>
  <si>
    <t>Light fixtures complete with accessories like control  gear, low loss (&lt;5W ) HF Electronic ballast , HPF  condensor  (PF shall be &gt;0.85 lag. ) , energy efficient  high lumen output fluorescent tubes / CFL lamps etc.,</t>
  </si>
  <si>
    <t>Note : The make &amp; the catalogue no. mentioned here is only indicative &amp; any of the make mentioned in recommended list of makes is preferred.</t>
  </si>
  <si>
    <t>The electronic / Digital ballast shall be with THD &lt; 10%. &amp; low loss copper ballast.</t>
  </si>
  <si>
    <t xml:space="preserve">CABLE TRAYS </t>
  </si>
  <si>
    <t xml:space="preserve">Slotted angle GI ready made cable trays of 14SWG. Quoted rates for installation shall include necessary anchor fasteners / 'L' angle supports @ 600mm interval etc.,  to suit site conditions. </t>
  </si>
  <si>
    <t>M</t>
  </si>
  <si>
    <t>450 x 50mm Size</t>
  </si>
  <si>
    <t>300 x 50mm Size</t>
  </si>
  <si>
    <t>150 x 50mm Size</t>
  </si>
  <si>
    <t>Perforated Type</t>
  </si>
  <si>
    <t>8.2.1</t>
  </si>
  <si>
    <t>8.2.2</t>
  </si>
  <si>
    <t>8.2.3</t>
  </si>
  <si>
    <t>TOTAL PART - 8</t>
  </si>
  <si>
    <t xml:space="preserve">RACEWAYS </t>
  </si>
  <si>
    <t>9.1.1</t>
  </si>
  <si>
    <t>9.1.2</t>
  </si>
  <si>
    <t xml:space="preserve">Ceiling Raceways </t>
  </si>
  <si>
    <t xml:space="preserve">Supply &amp; Installation of following size GI powder coated raceway / wire way with cover,  made out of 16 SWG GI for body and 14 SWG GI for cover.
Junction boxes to be provided with enough supports inside the box.
Raceway installed above false ceiling shall include necessary mounting supports, junction boxes and accessories to fix it firmly to the ceiling.
All edges, cut faces shall be free of burrs &amp; shall be smooth. 
The channels shall be earthed at the boxes and at the joints with 14 SWG bare copper wire with screws so that earth is continuous. 
Jointing of the race ways to be done using fisher plates  &amp; 'Slotted Channel' angle supports @ 600mm interval etc., to suit site conditions. </t>
  </si>
  <si>
    <t>Supply &amp; Laying of following size  2mm thick rigid FRLS PVC conduits.Rate shall include wall chasing &amp; rough plastering, clamping / fixing arrangement.</t>
  </si>
  <si>
    <t>32mm dia</t>
  </si>
  <si>
    <t>25mm dia</t>
  </si>
  <si>
    <t>Flexible Conduit 25mm</t>
  </si>
  <si>
    <t>Flexible Conduit 19mm</t>
  </si>
  <si>
    <t>TOTAL PART -9</t>
  </si>
  <si>
    <t>10.1.1</t>
  </si>
  <si>
    <t>Plate Earth Electrode using 19 mm dia  Class B  copper plate of size 600 x 600 x 3 mm thick.with heavy duty RCC cover ( suitable to take fire tender truck load) of 450mm x 450mm x 300mm chamber.</t>
  </si>
  <si>
    <t>10.1.2</t>
  </si>
  <si>
    <r>
      <t xml:space="preserve">Pipe Earth Electrode using 38 mm dia class B GI pipe complete as per IS 3043 with salt, charcoal, brick masonary chamber with heavy duty RCC cover (suitable to take fire tender load) tender truckmovement) of </t>
    </r>
    <r>
      <rPr>
        <b/>
        <i/>
        <u/>
        <sz val="11"/>
        <rFont val="Calibri"/>
        <family val="2"/>
        <scheme val="minor"/>
      </rPr>
      <t>450mm x 450mm x 3000mm</t>
    </r>
    <r>
      <rPr>
        <sz val="11"/>
        <rFont val="Calibri"/>
        <family val="2"/>
        <scheme val="minor"/>
      </rPr>
      <t xml:space="preserve"> chamber.(Earth strip to be left upto the Earthpit for Connection)</t>
    </r>
  </si>
  <si>
    <t>10.1.3</t>
  </si>
  <si>
    <t>EARTH STRIPS</t>
  </si>
  <si>
    <t xml:space="preserve">GI/Cu earth strips on cable tray or below  ground as per site condition. All Cu. Strips shall be run in pvc heat shrinkable sleeve &amp; mounted on insulation mounts. Cost of civil works shall be included for strips laid below ground. </t>
  </si>
  <si>
    <t>10.2.1</t>
  </si>
  <si>
    <t>8 SWG GI Wire</t>
  </si>
  <si>
    <t>10.2.2</t>
  </si>
  <si>
    <t>8 SWG Cu Wire</t>
  </si>
  <si>
    <t>10.2.3</t>
  </si>
  <si>
    <t>25 x 3mm GI Earth flat</t>
  </si>
  <si>
    <t>10.2.4</t>
  </si>
  <si>
    <t>50 x 6mm GI Earth flat</t>
  </si>
  <si>
    <t>PVC Insulated Copper Conductor Unarmoured Cables (YY Type)</t>
  </si>
  <si>
    <t>1.1kV grade, copper conductor, PVC insulated, unarmoured, power cables. The cables shall be laid on tray / hume pipe /in ready made trenches, with nylon cable ties / MS Clamps @ 600mm interval  etc., as required. Rate quoted shall exclude cost of tray / h</t>
  </si>
  <si>
    <t>10.3.1a</t>
  </si>
  <si>
    <t xml:space="preserve">1 Core x 16 Sq. mm </t>
  </si>
  <si>
    <t>10.3.1b</t>
  </si>
  <si>
    <t>Endterminations</t>
  </si>
  <si>
    <t>10.3.2a</t>
  </si>
  <si>
    <t xml:space="preserve">1 Core x 10 Sq. mm </t>
  </si>
  <si>
    <t>10.3.2b</t>
  </si>
  <si>
    <t xml:space="preserve">1 Core x 6 Sq. mm </t>
  </si>
  <si>
    <t>10.3.5</t>
  </si>
  <si>
    <t xml:space="preserve">1 Core x 4Sq. mm </t>
  </si>
  <si>
    <t>10.3.6</t>
  </si>
  <si>
    <t>Busbar of 0.5 Mtr length made out of 25 x 6 mm GI strip with drill holes of M8 at 25mm interval mounted on insulators.</t>
  </si>
  <si>
    <t>10.3.7</t>
  </si>
  <si>
    <t>Busbar of 0.5 Mtr length made out of 25 x 6 mm Cu. strip with drill holes of M8 at 25mm interval mounted on insulators.</t>
  </si>
  <si>
    <t>TOTAL PART - 10</t>
  </si>
  <si>
    <t>Rubber  mat 1100V grade ISI approved - 2 m x 1m x 10mm</t>
  </si>
  <si>
    <t>Shock treatment chart as approved by the Electrical Inspectorate mounted on teak wood frame and  suitable for wall mounting.</t>
  </si>
  <si>
    <t>First aid kit</t>
  </si>
  <si>
    <t>Danger boards</t>
  </si>
  <si>
    <t>MS Fabricated Items</t>
  </si>
  <si>
    <t>Kg.</t>
  </si>
  <si>
    <t>Supply &amp; fixing of rubber gloves of Approved Make &amp; as per supply voltage</t>
  </si>
  <si>
    <t>Laminated Schematic with glass frame</t>
  </si>
  <si>
    <t>2 hour fire rated fire retardant material sealing all electrical ducts and openings made in the slab / wall / partition to take conduits / cable trays / raceways etc as required complete / as directed by the site incharge</t>
  </si>
  <si>
    <t>Sqm.</t>
  </si>
  <si>
    <t>150mm  wide x 100mm  depth 18G DB cabinet M S Powder coated including supply &amp; installation.</t>
  </si>
  <si>
    <t>160A</t>
  </si>
  <si>
    <t>Subject</t>
  </si>
  <si>
    <t>100 x 50mm Size</t>
  </si>
  <si>
    <t>250 x 50mm Size</t>
  </si>
  <si>
    <t>200 x 50mm Size</t>
  </si>
  <si>
    <t>31/2 C x 50 sq.mm (XLPE)</t>
  </si>
  <si>
    <t>31/2 C x 35 sq.mm (XLPE)</t>
  </si>
  <si>
    <t>4C X 25 sq.mm</t>
  </si>
  <si>
    <t>3.5C X 35 sq.mm</t>
  </si>
  <si>
    <t xml:space="preserve">1 C x 25 sq.mm </t>
  </si>
  <si>
    <t>3C x 6 Sq.mm</t>
  </si>
  <si>
    <t xml:space="preserve">LT PANELS </t>
  </si>
  <si>
    <t>R.O</t>
  </si>
  <si>
    <t xml:space="preserve">1 C x 10 sq.mm </t>
  </si>
  <si>
    <t xml:space="preserve">1 C x 6 sq.mm </t>
  </si>
  <si>
    <t>4 C x 10 sq.mm</t>
  </si>
  <si>
    <t>10.3.3a</t>
  </si>
  <si>
    <t>10.3.3b</t>
  </si>
  <si>
    <t>Lighting costing can be arrived upon finalization of the fixtures.</t>
  </si>
  <si>
    <t>Ladder Type</t>
  </si>
  <si>
    <t>8.1.1</t>
  </si>
  <si>
    <t>8.1.2</t>
  </si>
  <si>
    <t>8.1.3</t>
  </si>
  <si>
    <t>8.1.4</t>
  </si>
  <si>
    <t xml:space="preserve">Incomer : 1No. 25A 4P, MCB </t>
  </si>
  <si>
    <t>3C x 10 Sq.mm</t>
  </si>
  <si>
    <t xml:space="preserve">1 C x 120 sq.mm </t>
  </si>
  <si>
    <t>Outgoing : 3 Nos. 16A DP MCB of 'D' curve</t>
  </si>
  <si>
    <t xml:space="preserve"> Qty</t>
  </si>
  <si>
    <t>The fixtures shall be suitable for single phase, 50 cycles, 230 Volts, A.C. supply system.</t>
  </si>
  <si>
    <t>All fixtures shall be factory wired with copper conductor wires.</t>
  </si>
  <si>
    <t>All fixtures shall be supplied with Drivers, lamps/bulbs, as specified.</t>
  </si>
  <si>
    <t>The rate shall be quoted for the Catalogue no. specified for the fixture however if contractor wants to  supply equivalent then sample shall have to be got approved from Architect before procurement.</t>
  </si>
  <si>
    <t>All the samples shall be submitted within two weeks of the issue of work order, for approval from the Architect.</t>
  </si>
  <si>
    <t>Any loss &amp; damage during transportation shall be in scope of Electrical Contractor till final testing &amp; commissioning.</t>
  </si>
  <si>
    <t>The Lighting Fixture supplier will be responsible for ensuring that lighting fixture is fixed properly by the Contractor as per their requirement.</t>
  </si>
  <si>
    <t>The rates for fixing of lighting fixtures  shall include all fixing accessories that are required to make the installation complete in all respects including the following :-</t>
  </si>
  <si>
    <t>Providing connecting wires and channel support wherever required.</t>
  </si>
  <si>
    <t>Internal wiring between accessories.</t>
  </si>
  <si>
    <t>Self  interlocking connector blocks for connecting the wires from fixtures to the points.</t>
  </si>
  <si>
    <t>Earthing of fixtures with PVC insulated copper conductor FR  wire.</t>
  </si>
  <si>
    <t>Approved colour powder coated down rods, clamps and other components and fixing accessories wherever required.</t>
  </si>
  <si>
    <t>Testing of fixtures before Installation.</t>
  </si>
  <si>
    <t>Identification tags with a distance not more 3 meters to be used for circuit identification</t>
  </si>
  <si>
    <t>TOTAL PART - 7</t>
  </si>
  <si>
    <t>10.1.4</t>
  </si>
  <si>
    <t>Revamping of existing earth pits</t>
  </si>
  <si>
    <t>250A</t>
  </si>
  <si>
    <t>31/2 C x 70 sq.mm (XLPE)</t>
  </si>
  <si>
    <t>2.1.5a</t>
  </si>
  <si>
    <t>2.1.5b</t>
  </si>
  <si>
    <t>2.1.7a</t>
  </si>
  <si>
    <t>2.1.7b</t>
  </si>
  <si>
    <t>2.1.8a</t>
  </si>
  <si>
    <t>2.1.8b</t>
  </si>
  <si>
    <t>2.4.4a</t>
  </si>
  <si>
    <t>2.4.4b</t>
  </si>
  <si>
    <t>2.4.5a</t>
  </si>
  <si>
    <t>2.4.5b</t>
  </si>
  <si>
    <t>2.4.6a</t>
  </si>
  <si>
    <t>2.4.6b</t>
  </si>
  <si>
    <t>3 Cx 2.5 sqmm Multi Core Copper FRLS cable  in existing raceway/conduit( measurement of conduit and raceway will be separate)</t>
  </si>
  <si>
    <t>315A</t>
  </si>
  <si>
    <t xml:space="preserve">1 C x 240 sq.mm </t>
  </si>
  <si>
    <t>31/2 C x 240 sq.mm (XLPE)</t>
  </si>
  <si>
    <t>31/2 C x 95 sq.mm (XLPE)</t>
  </si>
  <si>
    <t>2.1.1a</t>
  </si>
  <si>
    <t>2.1.1b</t>
  </si>
  <si>
    <t>3C x 25 Sq.mm</t>
  </si>
  <si>
    <t>2.3.4a</t>
  </si>
  <si>
    <t>2.3.4b</t>
  </si>
  <si>
    <t>2.3.5a</t>
  </si>
  <si>
    <t>2.3.5b</t>
  </si>
  <si>
    <t>2.3.6a</t>
  </si>
  <si>
    <t>2.3.7a</t>
  </si>
  <si>
    <t>2.3.8a</t>
  </si>
  <si>
    <t>Outgoing : 18 Nos. 10A SP MCB of 'C' curve</t>
  </si>
  <si>
    <t xml:space="preserve">                : Shut trip, &amp; ELR</t>
  </si>
  <si>
    <t>Outgoing : 8Nos. 63/40/32A TP MCB of 'C' curve</t>
  </si>
  <si>
    <t>Industrial Sockets</t>
  </si>
  <si>
    <t>1 no.  6A universal socket controlled by 6A SP switch.</t>
  </si>
  <si>
    <t>1phase sockets to be 2P+E Industrial interlocked switched socket with enclosure IP65.
Plugtop to be 2P+E, IP67</t>
  </si>
  <si>
    <t>3phase sockets to be 3P+N+E Industrial interlocked switched socket with enclosure IP65.
Plugtop to be 3P+N+E, IP67</t>
  </si>
  <si>
    <t>Nos</t>
  </si>
  <si>
    <t xml:space="preserve">25 x 6 mm Cu Earth flat </t>
  </si>
  <si>
    <t>40A Weather proof</t>
  </si>
  <si>
    <t>Scaffolding to install light fixtures &amp; cabletrays or any service related installation to be provided at site.</t>
  </si>
  <si>
    <t>40A</t>
  </si>
  <si>
    <t>32A Weather proof</t>
  </si>
  <si>
    <t>16A Weather proof</t>
  </si>
  <si>
    <t>25A Weather proof</t>
  </si>
  <si>
    <t>100A</t>
  </si>
  <si>
    <t>200A</t>
  </si>
  <si>
    <t>31/2 C x 120 sq.mm (XLPE)</t>
  </si>
  <si>
    <t xml:space="preserve">1 C x 35 sq.mm </t>
  </si>
  <si>
    <t>4C X 6 sq.mm (XLPE)</t>
  </si>
  <si>
    <t>4C X 10 sq.mm (XLPE)</t>
  </si>
  <si>
    <t>2.1.9a</t>
  </si>
  <si>
    <t>2.1.9b</t>
  </si>
  <si>
    <t>2.1.10a</t>
  </si>
  <si>
    <t>2.1.10b</t>
  </si>
  <si>
    <t>2.3.9a</t>
  </si>
  <si>
    <t>2.3.8b</t>
  </si>
  <si>
    <t>2.3.7b</t>
  </si>
  <si>
    <t>2.3.6b</t>
  </si>
  <si>
    <t>2.4.7a</t>
  </si>
  <si>
    <t>2.4.7b</t>
  </si>
  <si>
    <t>10.3.4a</t>
  </si>
  <si>
    <t>10.3.4b</t>
  </si>
  <si>
    <t>10.3.8</t>
  </si>
  <si>
    <t>Junction boxes</t>
  </si>
  <si>
    <t>Junction Boxes - Power</t>
  </si>
  <si>
    <t>9.1.1a</t>
  </si>
  <si>
    <t>310 x 310 x 50mm Size</t>
  </si>
  <si>
    <t>9.1.1b</t>
  </si>
  <si>
    <t>260 x 260 x 50mm Size</t>
  </si>
  <si>
    <t>9.1.1c</t>
  </si>
  <si>
    <t>210 x 210 x 50mm Size</t>
  </si>
  <si>
    <t>9.1.1d</t>
  </si>
  <si>
    <t>160 x 160 x 50mm Size</t>
  </si>
  <si>
    <t>9.1.1e</t>
  </si>
  <si>
    <t>110 x 110 x 50mm Size</t>
  </si>
  <si>
    <t>Junction Boxes - Network</t>
  </si>
  <si>
    <t>9.1.2a</t>
  </si>
  <si>
    <t>9.1.2b</t>
  </si>
  <si>
    <t>9.1.2c</t>
  </si>
  <si>
    <t>9.1.2d</t>
  </si>
  <si>
    <t>9.1.2e</t>
  </si>
  <si>
    <t xml:space="preserve">Floor Raceways </t>
  </si>
  <si>
    <t>9.2.1</t>
  </si>
  <si>
    <t>Floor Raceways - Power</t>
  </si>
  <si>
    <t>9.2.1a</t>
  </si>
  <si>
    <t>300 x 40mm Size</t>
  </si>
  <si>
    <t>9.2.1b</t>
  </si>
  <si>
    <t>250 x 40mm Size</t>
  </si>
  <si>
    <t>9.2.1c</t>
  </si>
  <si>
    <t>200 x 40mm Size</t>
  </si>
  <si>
    <t>9.2.1d</t>
  </si>
  <si>
    <t>150 x 40mm Size</t>
  </si>
  <si>
    <t>9.2.1e</t>
  </si>
  <si>
    <t>100 x 40mm Size</t>
  </si>
  <si>
    <t>9.2.1f</t>
  </si>
  <si>
    <t>80 x 40mm Size</t>
  </si>
  <si>
    <t>9.2.2</t>
  </si>
  <si>
    <t>Floor Raceways - Network</t>
  </si>
  <si>
    <t>9.2.2a</t>
  </si>
  <si>
    <t>9.2.2b</t>
  </si>
  <si>
    <t>9.2.2c</t>
  </si>
  <si>
    <t>9.2.2d</t>
  </si>
  <si>
    <t>9.2.2e</t>
  </si>
  <si>
    <t>9.2.2f</t>
  </si>
  <si>
    <t>9.3.1</t>
  </si>
  <si>
    <t>9.3.2</t>
  </si>
  <si>
    <t>9.3.3</t>
  </si>
  <si>
    <t>9.3.4</t>
  </si>
  <si>
    <t>9.3.5</t>
  </si>
  <si>
    <t>9.4.1</t>
  </si>
  <si>
    <t>9.4.2</t>
  </si>
  <si>
    <t>9.4.3</t>
  </si>
  <si>
    <t>9.4.4</t>
  </si>
  <si>
    <t>9.4.5</t>
  </si>
  <si>
    <t>Only conduit / raceways are considered for networking. Active components, I/O ports and cables are not considered.</t>
  </si>
  <si>
    <t>Outgoing : 24 Nos. 16/20/25A SP MCB of 'C' curve</t>
  </si>
  <si>
    <t>Incomer : 1No 32A DP Type RCBO with 30mA</t>
  </si>
  <si>
    <t>Outgoing : 16 Nos. 10/16A SP MCB of 'D' curve</t>
  </si>
  <si>
    <t xml:space="preserve">Incomer : 1No. 32A 4P, MCB </t>
  </si>
  <si>
    <t xml:space="preserve">            &amp; 3Nos 32A DP  Type RCCB with 100mA</t>
  </si>
  <si>
    <t xml:space="preserve">Flush mounted, horizontal mounting type, flush type double door, IP43, metal door -Flexi Tier DB </t>
  </si>
  <si>
    <t>Sub Incomer : 40A TP, MCB - 2 Nos</t>
  </si>
  <si>
    <t>Power Contactor : 40A TP &amp; 24Hrs programmable dual channel digital timer - 2 Sets</t>
  </si>
  <si>
    <t xml:space="preserve">Incomer : 40A 4P, RCCB, 30mA &amp; AC type- 1 No </t>
  </si>
  <si>
    <t>Nos.</t>
  </si>
  <si>
    <t>Supplying, fixing and testing of approved make ECO DRAIN pipes confirming to IS 15328 of SN-4 as per the technical specifications for under electrical &amp; communication system with necessary fitting for installation of eco drain pipe .</t>
  </si>
  <si>
    <t xml:space="preserve">160mm dia </t>
  </si>
  <si>
    <t xml:space="preserve">200mm dia </t>
  </si>
  <si>
    <t xml:space="preserve">250mm dia </t>
  </si>
  <si>
    <t xml:space="preserve">315mm dia </t>
  </si>
  <si>
    <t>Supplying, fixing and testing of approved make ECO DRAIN pipes confirming to IS 15328 of SN-8 as per the technical specifications for under electrical &amp; communication system with necessary fitting for installation of eco drain pipe .</t>
  </si>
  <si>
    <t xml:space="preserve">110mm dia </t>
  </si>
  <si>
    <t xml:space="preserve">a) 110mm dia </t>
  </si>
  <si>
    <t>Rmt</t>
  </si>
  <si>
    <t xml:space="preserve">b) 160mm dia </t>
  </si>
  <si>
    <t xml:space="preserve">c) 200mm dia </t>
  </si>
  <si>
    <t xml:space="preserve">d) 250mm dia </t>
  </si>
  <si>
    <t xml:space="preserve">e) 315mm dia </t>
  </si>
  <si>
    <t>Earthwork excavation (For 9.1 to 9.10)</t>
  </si>
  <si>
    <t>Cum</t>
  </si>
  <si>
    <t>TOTAL FOR BURIED PIPES</t>
  </si>
  <si>
    <t>600 x 75mm Size</t>
  </si>
  <si>
    <t>Inspection chambers</t>
  </si>
  <si>
    <t>31/2 C x 185 sq.mm (XLPE)</t>
  </si>
  <si>
    <t>4C X 4 sq.mm</t>
  </si>
  <si>
    <t>BURIED PIPES &amp; IC</t>
  </si>
  <si>
    <t>20A / 25A</t>
  </si>
  <si>
    <t>Earthing cable/strip might be change as per the site condition.</t>
  </si>
  <si>
    <t>Electrial works considered within property only, charges towards bringing the power to the property is excluded in this BOQ.</t>
  </si>
  <si>
    <t>Light fixtures quantities &amp; makes will be as per final design.</t>
  </si>
  <si>
    <t xml:space="preserve">The costs indicated are exclusive of taxes. </t>
  </si>
  <si>
    <t>The length of cables might change as per the final location of panels inside the kitchen.</t>
  </si>
  <si>
    <t>Outgoing : 4Nos. 32A TP MCB of 'D' curve</t>
  </si>
  <si>
    <t xml:space="preserve">            &amp; 3Nos 32A DP Type RCCB with 100mA</t>
  </si>
  <si>
    <t>Outgoing : 24 Nos. 10/16A SP MCB of 'D' curve</t>
  </si>
  <si>
    <t>Outgoing : 18 Nos. 10/16A SP MCB of 'D' curve</t>
  </si>
  <si>
    <t>Outgoing : 10 Nos. 10/16A SP MCB of 'D' curve</t>
  </si>
  <si>
    <t>Incomer : 1No 25A DP Type RCBO with 100mA</t>
  </si>
  <si>
    <t>Incomer : 1No. 40A FP, RCBO, 300mA</t>
  </si>
  <si>
    <t>Outgoing : 16A SP, MCBs ('C' CURVE) - 18 Nos</t>
  </si>
  <si>
    <t>Sub incoming : 20A DP, MCBs ('C' CURVE) - 3 Nos</t>
  </si>
  <si>
    <t>Outgoing : 24 Nos. 10A SP MCB of 'C' curve</t>
  </si>
  <si>
    <t xml:space="preserve">Incomer : 1No. 25/32A 4P, MCB </t>
  </si>
  <si>
    <t xml:space="preserve">            &amp; 3Nos 25/32A DP  Type RCCB with 30mA</t>
  </si>
  <si>
    <t xml:space="preserve">            &amp; 3Nos 25/32A DP Type RCCB with 30mA</t>
  </si>
  <si>
    <t>Outgoing : 18 Nos. 10/16/20A SP MCB of 'C' curve</t>
  </si>
  <si>
    <t>Incomer : 1No. 40A 4P, MCB</t>
  </si>
  <si>
    <t>Incomer : 1No. 63/40A 4P, MCB</t>
  </si>
  <si>
    <t xml:space="preserve">            &amp; 3Nos 63/40A DP  Type RCCB with 300mA</t>
  </si>
  <si>
    <t xml:space="preserve">            &amp; 3Nos 40A DP  Type RCCB with 300mA</t>
  </si>
  <si>
    <t>Outgoing : 18 Nos. 16/20/25A SP MCB of 'C' curve</t>
  </si>
  <si>
    <t>8.2.4</t>
  </si>
  <si>
    <t>8.2.5</t>
  </si>
  <si>
    <t>8.1.5</t>
  </si>
  <si>
    <t>8.1.6</t>
  </si>
  <si>
    <t>POINT WIRING</t>
  </si>
  <si>
    <t>Single light point controlled by 2 Nos of  6A two way Switches.</t>
  </si>
  <si>
    <t>Two light point controlled by 1 No of  6A Switch.</t>
  </si>
  <si>
    <t>Three light point controlled by 1 No of  6A Switch.</t>
  </si>
  <si>
    <t>Four light point controlled by 1 No of  6A Switch.</t>
  </si>
  <si>
    <t>Five light point controlled by 1 No of  6A Switch.</t>
  </si>
  <si>
    <t>Six  light point controlled by 1 No of  6A Switch.</t>
  </si>
  <si>
    <t>Ceiling fan point controlled by a 6A 1 way switch  &amp; Electronic regulator.</t>
  </si>
  <si>
    <t>31/2 C x 400 sq.mm (XLPE)</t>
  </si>
  <si>
    <t>31/2 C x 300 sq.mm (XLPE)</t>
  </si>
  <si>
    <t>4 C x 16 sq.mm (XLPE)</t>
  </si>
  <si>
    <t>4C X 25 sq.mm (XLPE)</t>
  </si>
  <si>
    <t>4C X 10 sq.mm</t>
  </si>
  <si>
    <t>4C X 16 sq.mm (XLPE)</t>
  </si>
  <si>
    <t>4P RCBO ISOLATOR with enclosures</t>
  </si>
  <si>
    <t>Flexible Conduit 32mm</t>
  </si>
  <si>
    <t>2.1.12a</t>
  </si>
  <si>
    <t>2.1.12b</t>
  </si>
  <si>
    <r>
      <t xml:space="preserve">Providing &amp; fixing in position under floor against wall in chases </t>
    </r>
    <r>
      <rPr>
        <b/>
        <sz val="11"/>
        <rFont val="Calibri"/>
        <family val="2"/>
        <scheme val="minor"/>
      </rPr>
      <t>PVC SWR drainage pipes</t>
    </r>
    <r>
      <rPr>
        <sz val="11"/>
        <rFont val="Calibri"/>
        <family val="2"/>
        <scheme val="minor"/>
      </rPr>
      <t>, specials of make as mentioned below of approved make conforming to IS:13592 (6kg/sq.cm) using lubricant as per manufacturer's specification, including cutting the pipes square to the required lengths, necessary excavation, chasing &amp; restoring to the original condition, testing for water tightness etc., (Specials at junctions of lateral pipe &amp; vertical stack must have access doors for inspection). The formation of pipe sockets by heating the pipe shall not be permitted the joints for plain ended pipes shall be made using couplers if necessary etc., complete.</t>
    </r>
  </si>
  <si>
    <r>
      <t xml:space="preserve">Earthwork </t>
    </r>
    <r>
      <rPr>
        <b/>
        <sz val="11"/>
        <rFont val="Calibri"/>
        <family val="2"/>
        <scheme val="minor"/>
      </rPr>
      <t>excavation</t>
    </r>
    <r>
      <rPr>
        <sz val="11"/>
        <rFont val="Calibri"/>
        <family val="2"/>
        <scheme val="minor"/>
      </rPr>
      <t xml:space="preserve"> for electrical &amp; communication system in all kinds of soil to correct grade, level, including dressing of sides, ramming of bottom, shoring, strutting, dewatering, wherever necessary, backfilling with selected excavated earth, watering, consolidating in layers for all lifts &amp; lead involved in the work.</t>
    </r>
  </si>
  <si>
    <t>2.1.11a</t>
  </si>
  <si>
    <t>2.1.11b</t>
  </si>
  <si>
    <t>2.3.10a</t>
  </si>
  <si>
    <t>2.3.10b</t>
  </si>
  <si>
    <t>2.3.11a</t>
  </si>
  <si>
    <t>2.3.11b</t>
  </si>
  <si>
    <t>2.3.12a</t>
  </si>
  <si>
    <t>2.3.12b</t>
  </si>
  <si>
    <t>9.5.2</t>
  </si>
  <si>
    <t>9.5.3</t>
  </si>
  <si>
    <t>9.5.4</t>
  </si>
  <si>
    <t>9.5.5</t>
  </si>
  <si>
    <t>9.5.6</t>
  </si>
  <si>
    <t>9.5.1</t>
  </si>
  <si>
    <t>1.11.1</t>
  </si>
  <si>
    <t>1.11.2</t>
  </si>
  <si>
    <t>1.11.3</t>
  </si>
  <si>
    <t>1.11.4</t>
  </si>
  <si>
    <t>1.11.5</t>
  </si>
  <si>
    <t>Fully Automatic DOL starters with features like Auto/Manual.</t>
  </si>
  <si>
    <t>1 no.  6/16A Modular socket controlled by 16A switch.</t>
  </si>
  <si>
    <t>300mmX300mmX450mm brick inspection chamber</t>
  </si>
  <si>
    <t>450mmX450mmX600mm brick inspection chamber</t>
  </si>
  <si>
    <t>750mmX750mmX750mm RCC inspection chamber</t>
  </si>
  <si>
    <t>1000mmX1000mmX1000mm RCC inspection chamber</t>
  </si>
  <si>
    <t>Protection : IP 43</t>
  </si>
  <si>
    <t>1No. 16A 3 pin 1phase Industrial type socket with plug top controlled by 16A DP RCBO
I.16A 2P + E Industrial Interlocked Switched
Socket with Enclosure IP 65
II.16A 2P + E Plug Top IP 67
III. 16A DP RCBO 100mA</t>
  </si>
  <si>
    <t>1No. 32A 3 pin 1phase Industrial type socket with plug top controlled by 32A DP RCBO
I.32A 2P + E Industrial Interlocked Switched
Socket with Enclosure IP 65
II.32A 2P + E Plug Top IP 67
III. 32A DP RCBO 100mA</t>
  </si>
  <si>
    <t>1No. 63A 3 pin 1phase Industrial type socket with plug top controlled by 63A DP RCBO
I.63A 2P + E Industrial Interlocked Switched
Socket with Enclosure IP 65
II.63A 2P + E Plug Top IP 67
III. 63A DP RCBO 100mA</t>
  </si>
  <si>
    <t>Ceiling fan  - 1200mm Dia.
Make: Havells Troika or any similar make.</t>
  </si>
  <si>
    <t>Wall mounted fan of 300mm Dia. 
Make : Orient Wall 44 or any similar make.</t>
  </si>
  <si>
    <t>6WLED flexible strip light fixture for cove lighting of 5 mtr length.
Make: Wipro LS06-005-120-30-50 or any similar make.</t>
  </si>
  <si>
    <t>40W LED batten light fixture
Make: Wipro LL24-541-XXX-57-XX or any similar make.</t>
  </si>
  <si>
    <t>20W LED batten light fixture
Make: Wipro LL24-251-XXX-57-XX or any similar make.</t>
  </si>
  <si>
    <t>36W 2X2 Recessed mounted light fixture - IP20
Make: Wipro CRCO10R040HP57G4 or any similar make.</t>
  </si>
  <si>
    <t>42W 2X2 Bottom openable Recessed mounted light fixture - IP65
Make: Wipro LC20-551-XXX-57-G2 or any similar make.</t>
  </si>
  <si>
    <t>60W 2X2 Bottom openable Recessed mounted light fixture - IP65
Make: Wipro LC20-721-XXX-57-G2 or any similar make.</t>
  </si>
  <si>
    <t>15W Recess Mounted Circular Light fixture.
Make: Wipro LD06-171-XXX-57-XX or any similar make.</t>
  </si>
  <si>
    <t>15W Surface Mounted Circular Light fixture.
Make: Wipro LD06-171XXX-57SMG1 or any similar make.</t>
  </si>
  <si>
    <t>10W bulk head light fixture IP66.
Make:  Wipro LW07-141-XXX-57-G1 or any similar make.</t>
  </si>
  <si>
    <t>10W Mirror light
Make: Wipro LL20-111-XXX-65NE3 or any similar make.</t>
  </si>
  <si>
    <t>Supply &amp; installation of motion sensor.
Make: Wipro GLPS01R010HA or any similar make.</t>
  </si>
  <si>
    <t>1.1kW 1phase DOL Starter with Enclosure IP 65
Make: L&amp;T suitable for kitchen equipments or any similar make.</t>
  </si>
  <si>
    <t>2kW 1phase DOL Starter with Enclosure IP 65
Make: L&amp;T suitable for kitchen equipments or any similar make.</t>
  </si>
  <si>
    <t>2kW 3phase DOL Starter with Enclosure IP 65
Make: L&amp;T suitable for kitchen equipments or any similar make.</t>
  </si>
  <si>
    <t>3.5kW 3phase DOL Starter with Enclosure IP 65
Make: L&amp;T suitable for kitchen equipments or any similar make.</t>
  </si>
  <si>
    <t>4kW 3phase DOL Starter with Enclosure IP 65
Make: L&amp;T suitable for kitchen equipments or any similar make.</t>
  </si>
  <si>
    <t>8+2 Way TPN PPI MCB DB - UPSDB 1
(Cat No : Legrand 5077 15 &amp; PPI kit)</t>
  </si>
  <si>
    <t>6+2 Way TPN PPI MCB DB - UPSDB 2
(Cat No : Legrand 5077 14 &amp; PPI kit)</t>
  </si>
  <si>
    <t>12Way SPN MCB DB - UPSDB 3
(Cat No : Legrand 5076 12)</t>
  </si>
  <si>
    <t>4Way VTPN MCCB DB - UPS MAIN DB
(Cat No : Legrand 5077 25)</t>
  </si>
  <si>
    <t>4 Tier 14 Module Flexi Tier DB
(For External Lighting &amp; Security room lighting)
(Cat No : Legrand 5077 11)</t>
  </si>
  <si>
    <t>8+2 Way TPN PPI MCB DB - RPDB 1,2,3,4
(Cat No : Legrand 5077 15 &amp; PPI kit)</t>
  </si>
  <si>
    <t>6+2 Way TPN PPI MCB DB - ACDB 1
(Cat No : Legrand 5077 14 &amp; PPI kit)</t>
  </si>
  <si>
    <t>6+2 Way TPN PPI MCB DB - RPDB
(Cat No : Legrand 5077 14 &amp; PPI kit)</t>
  </si>
  <si>
    <t>8Way VTPN MCCB DB - KITCHEN DB
(Cat No : Legrand 5077 47)</t>
  </si>
  <si>
    <t>18Way TPN MCB DB - ELDB
(Cat No : Legrand 5076 14)</t>
  </si>
  <si>
    <t>12+2 Way TPN PPI MCB DB - LDB
(Cat No : Legrand 5077 07 &amp; PPI kit)</t>
  </si>
  <si>
    <t>12+2 Way TPN PPI MCB DB - RPDB
(Cat No : Legrand 5077 07 &amp; PPI kit)</t>
  </si>
  <si>
    <t>6 Way TPN MCB DB - SERVER ROOM
(Cat No : Legrand 5076 70)</t>
  </si>
  <si>
    <t>Light fixtures for the cold rooms are not considered in the BOQ. As it cold room vendor scope of work.</t>
  </si>
  <si>
    <r>
      <t xml:space="preserve">Supply, Installation, Testing and Commissioning of Indoor type  LT  Switchboards, Floor mounting type, Bottom/Top entry. </t>
    </r>
    <r>
      <rPr>
        <b/>
        <sz val="11"/>
        <rFont val="Calibri"/>
        <family val="2"/>
        <scheme val="minor"/>
      </rPr>
      <t>Refer enclosed SLD.</t>
    </r>
  </si>
  <si>
    <r>
      <t xml:space="preserve">Bus bar Material: </t>
    </r>
    <r>
      <rPr>
        <b/>
        <sz val="11"/>
        <rFont val="Calibri"/>
        <family val="2"/>
        <scheme val="minor"/>
      </rPr>
      <t>As per SLD</t>
    </r>
  </si>
  <si>
    <r>
      <t xml:space="preserve">Protection releases: </t>
    </r>
    <r>
      <rPr>
        <b/>
        <sz val="11"/>
        <rFont val="Calibri"/>
        <family val="2"/>
        <scheme val="minor"/>
      </rPr>
      <t>As per SLD</t>
    </r>
    <r>
      <rPr>
        <sz val="11"/>
        <rFont val="Calibri"/>
        <family val="2"/>
        <scheme val="minor"/>
      </rPr>
      <t xml:space="preserve"> (Adjustable over current &amp; short circuit unless otherwise specified)</t>
    </r>
  </si>
  <si>
    <t xml:space="preserve">Incomer : 1No. 80A TPN, MCCB </t>
  </si>
  <si>
    <t xml:space="preserve">The quoted rate for power socket outlets shall include                        a. Socket outlets - round / round cum flat / flat multi pin socket outlets
b.Switches
c. 18SWG metal boxes with knockout on all sides
d. Front plate of required colours with accessories </t>
  </si>
  <si>
    <t>1 x 6A Modular socket controlled by 6A switch</t>
  </si>
  <si>
    <t>2 x 6A Modular socket controlled by 2x6A switch</t>
  </si>
  <si>
    <t>2 x 6A Modular socket controlled by 6A switch</t>
  </si>
  <si>
    <t>3 x 6A Modular socket controlled by 16A switch</t>
  </si>
  <si>
    <t>4 x 6A Modular socket controlled by 16A switch, 1 USB port for charging (For UPS power)</t>
  </si>
  <si>
    <t>Readymade floor mounted  Junction box to locate 2 Sets of 2x6A Modular socket socket controlled by 16A switch and 2 Data outlets
Similar to Omesto make</t>
  </si>
  <si>
    <t>16A outdoor type socket with enclosure</t>
  </si>
  <si>
    <t>1No. 16A 5 pin 3phase Industrial type socket with plug top controlled by 16A FP RCBO
I.16A 3P + N + E Industrial Interlocked
Switched Socket with Enclosure IP 65
II.16A 3P + N + E Plug Top IP 67
III. 16A FP RCBO 300mA</t>
  </si>
  <si>
    <t>1No. 32A 5 pin 3phase Industrial type socket with plug top controlled by 32A FP RCBO
I.32A 3P + N + E Industrial Interlocked
Switched Socket with Enclosure IP 65
II.32A 3P + N + E Plug Top IP 67
III. 32A FP RCBO 300mA</t>
  </si>
  <si>
    <t>1No. 63A 5 pin 3phase Industrial type socket with plug top controlled by 63A FP RCBO
I.63A 3P + N + E Industrial Interlocked
Switched Socket with Enclosure IP 65
II.63A 3P + N + E Plug Top IP 67
III. 63A FP RCBO 300mA</t>
  </si>
  <si>
    <t>Supply &amp; Laying of following size  2mm thick rigid GI conduits. Rate shall include wall chasing &amp; rough plastering, clamping / fixing arrangement.</t>
  </si>
  <si>
    <t>Maintenance free earth electrode with 1 No 14mm  3 metre stainless steel cladded copper pipe with ground enhancing material, earth station chamber, heavy duty chamber cover,  cable / strip termination terminals etc., complete.</t>
  </si>
  <si>
    <t>TOTAL FOR MISCELLANEOUS ITEMS</t>
  </si>
  <si>
    <t>The length of cables might change as per the final location of DB's.</t>
  </si>
  <si>
    <t>: Electrial BOQ - Summary</t>
  </si>
  <si>
    <t>325kVA DG set &amp; accessories is not considered as the client will be renting out 325kVA DG set.</t>
  </si>
  <si>
    <t>The costing includes supply of cables &amp; panels from the LT Kiosk &amp; further down the load.</t>
  </si>
  <si>
    <t>All major civil works viz., foundation for DG, Cable Trench / Tunnel  works excluded.</t>
  </si>
  <si>
    <t>10.2.5</t>
  </si>
  <si>
    <t>40 x 6mm Cu Earth flat</t>
  </si>
  <si>
    <t>1.2 Mtr 40W Industrial, IP20 Batten light fixture
Make: Wipro LE23-491-XXX-57-G1  or any similar make.</t>
  </si>
  <si>
    <t>120W High bay light fixtures
Make : LH21-152-090-57-X2 Wipro or any similar make.</t>
  </si>
  <si>
    <t>Supply, installation, testing and commissioning of LED based Flood light with suitable size of GI Bracket , housing made up of pressure die cast aluminum Alloy with effective thermal management, sturdiness and embossed brand name/logo name of manufacturer. The fixture should have a minimum system efficacy of 100 lumen/Watt and a minimum system lumen output of 15000 lumens and maximum system wattage of 150 Watts with a Driver Efficiency of 85% and Class I Electrical Safety. The fix ture shall have a CRI of minimum 70. The fixture shall be designed for a system life of 50,000 hours @70% lumen maintenance. Ingress Protection of IP65 (lamp and gear Compartment) and Mechanical Impact Resistance Rating of IK &gt;=05.The fixture driver should have an operating voltage range of 140-270 V, surge protection of &gt;=2KV, PF &gt;0.9 and THD&lt;20%. The fixture should comply with the parameters as per IS10322. LM 79 and LM80 reports need to be submitted from a NABL/UL accredited lab to verify above parameters. Similar to Wipro make CAT No -LF40-192-060-57-HE  : LED flood light For external area</t>
  </si>
  <si>
    <t>500A FP AERIAL BOARD - 1&amp;2</t>
  </si>
  <si>
    <t xml:space="preserve"> </t>
  </si>
  <si>
    <t>APFC PANEL - 1 &amp; 2</t>
  </si>
  <si>
    <t>ELECTRICAL PANEL - 1</t>
  </si>
  <si>
    <t>ELECTRICAL PANEL - 2</t>
  </si>
  <si>
    <t>PHE PANEL</t>
  </si>
  <si>
    <t>DG BREAKER PANEL (OUTDOOR TYPE)</t>
  </si>
  <si>
    <t>LTCT EB METER - 1 &amp; 2</t>
  </si>
  <si>
    <t>1.12.1</t>
  </si>
  <si>
    <t>1.12.2</t>
  </si>
  <si>
    <t>1.12.3</t>
  </si>
  <si>
    <t>1.12.4</t>
  </si>
  <si>
    <t>1.12.5</t>
  </si>
  <si>
    <t>1.13.1</t>
  </si>
  <si>
    <t>1.13.2</t>
  </si>
  <si>
    <t>1.13.3</t>
  </si>
  <si>
    <t>1.13.4</t>
  </si>
  <si>
    <t>1.13.5</t>
  </si>
  <si>
    <t>1.13.6</t>
  </si>
  <si>
    <t>1.13.7</t>
  </si>
  <si>
    <t>FUSE MAIN PANEL - 1
The fuse rating as per the electrical SLD &amp; as per TNEB norms.</t>
  </si>
  <si>
    <t>FUSE MAIN PANEL - 2
The fuse rating as per the electrical SLD &amp; as per TNEB norms.</t>
  </si>
  <si>
    <t>LT CT metering provision for energy meter comprising with Floor Mounted,
Cubicle Type  Dust &amp;Vermin  Proof Powder coating construction, 
16 SWG CR sheet  enclosure with With as per the TNEB Requirement  
Test block-13 terminal, Three way Gang box (back open ) Flush type 
SP Switch,CT Coils -3nos testing by TNEB,15A HRC Fuse Unit With
2A Fuse link  &amp; Brass &amp; GI  Screw,nut ,washer with 500A Al.bus
bars with phase /  neutral and internal accessories with powder coated 
enclosurer With  complete TNEB Norms.</t>
  </si>
  <si>
    <t>1.14.1</t>
  </si>
  <si>
    <t>1.14.2</t>
  </si>
  <si>
    <t>1.14.3</t>
  </si>
  <si>
    <t>1.14.4</t>
  </si>
  <si>
    <t>1.14.5</t>
  </si>
  <si>
    <t>3 Cx 4 sqmm Multi Core Copper FRLS cable in existing raceway/conduit( measurement of conduit and raceway will be separate)</t>
  </si>
  <si>
    <t>8+2 Way TPN PPI MCB DB - LDB
(Cat No : Legrand 5077 15 &amp; PPI kit)</t>
  </si>
  <si>
    <t>6+2 Way TPN PPI MCB DB - LDB
(Cat No : Legrand 5077 14 &amp; PPI kit)</t>
  </si>
  <si>
    <t>6+2 Way TPN PPI MCB DB - LPDB
(Cat No : Legrand 5077 14 &amp; PPI kit)</t>
  </si>
  <si>
    <t>Incomer : 1No. 63A 4P, MCB</t>
  </si>
  <si>
    <t xml:space="preserve">            &amp; 3Nos 63A DP Type RCCB with 300mA</t>
  </si>
  <si>
    <t>20mm dia</t>
  </si>
  <si>
    <t>TNEB service connection charges are not included.</t>
  </si>
  <si>
    <t>Product Images</t>
  </si>
  <si>
    <t xml:space="preserve">Unit </t>
  </si>
  <si>
    <t>Quantity</t>
  </si>
  <si>
    <t xml:space="preserve">Air Terminal </t>
  </si>
  <si>
    <r>
      <t xml:space="preserve">Supply of 8 mm Aluminum Round Conductor complete as specified in drawing &amp; Meets the requirements of DIN EN 50164-2 (VDE 0185 part 202) &amp; VDE 0185-305 (IS/IEC 62305) </t>
    </r>
    <r>
      <rPr>
        <b/>
        <sz val="11"/>
        <rFont val="Calibri"/>
        <family val="2"/>
        <scheme val="minor"/>
      </rPr>
      <t xml:space="preserve">                                                                                 OBO Type No.  RD 8/ALU </t>
    </r>
  </si>
  <si>
    <t>Mtr</t>
  </si>
  <si>
    <r>
      <t xml:space="preserve">Supply of Roof conductor holder  for parapet- Polyamide Conductor holder:
With M8 female thread or diameter 7mm, M8 Screw to connect the conductor holder.Weather and temperature resistant from -35 to +90 degree Celsius tested. Conductor holder @ 1 meter distance                                                                                                                                                                                                                                                                                                             </t>
    </r>
    <r>
      <rPr>
        <b/>
        <sz val="11"/>
        <rFont val="Calibri"/>
        <family val="2"/>
        <scheme val="minor"/>
      </rPr>
      <t>OBO Type No.  177 30 M8(5207460 )</t>
    </r>
  </si>
  <si>
    <r>
      <t xml:space="preserve">Polyamide roof cable holder for flat roof:                                                                                                                                             DIN 48829 Form B1. Closed form with bottom. Filling weight 1Kg (frost-resistant concrete). Sleeve from polyethylene, black  @ 1 meter distance.     </t>
    </r>
    <r>
      <rPr>
        <b/>
        <sz val="11"/>
        <rFont val="Calibri"/>
        <family val="2"/>
        <scheme val="minor"/>
      </rPr>
      <t xml:space="preserve"> 
OBO Type No.  165 MBG-8-10 ( 5218700 )     </t>
    </r>
  </si>
  <si>
    <r>
      <t xml:space="preserve">Supply of Roof conductor holder - Stainless steel Conductor holder:
With Bottom section and conductor holder stainless steel (V2A)Bottom section with Ø 8.5 mm slot. Conductor holder @ 1 meter distance.
</t>
    </r>
    <r>
      <rPr>
        <b/>
        <sz val="11"/>
        <rFont val="Calibri"/>
        <family val="2"/>
        <scheme val="minor"/>
      </rPr>
      <t>OBO Type No. 159 VA-V (5217 07 5 )</t>
    </r>
  </si>
  <si>
    <r>
      <t xml:space="preserve">Supply of 1 mtr vertical air terminal with mounting accessories  on the flat surface to meet the requirements of IS/IEC 62305. Tested for Electrical , mechanical and chemical as per IEC 62561. Tested for 100kA lightning current.  </t>
    </r>
    <r>
      <rPr>
        <b/>
        <sz val="11"/>
        <rFont val="Calibri"/>
        <family val="2"/>
        <scheme val="minor"/>
      </rPr>
      <t>F-FIX JUNIOR 5403308</t>
    </r>
  </si>
  <si>
    <r>
      <t xml:space="preserve">4 Mtr Vertical air terminal with accessories:Providing of Air terminals as per IS-IEC -62305 part-3 
Nominal size Ø10/16 mm  aluminium rod:     
2448801) Suitable for high wind load.Tested as per IEC 62561(1-8) and relevant test report should be submitted.                                                                                                                                                                               </t>
    </r>
    <r>
      <rPr>
        <b/>
        <sz val="11"/>
        <rFont val="Calibri"/>
        <family val="2"/>
        <scheme val="minor"/>
      </rPr>
      <t>OBO Type No. 101 VL4000 ( 5401995)</t>
    </r>
  </si>
  <si>
    <r>
      <t xml:space="preserve">Providing of Stand for Fang Fix system 16 kg with base and clamp ,made up of frost resistant concrete
</t>
    </r>
    <r>
      <rPr>
        <b/>
        <sz val="11"/>
        <rFont val="Calibri"/>
        <family val="2"/>
        <scheme val="minor"/>
      </rPr>
      <t>OBO type No.F-FIX-S16 I (5450080)</t>
    </r>
  </si>
  <si>
    <r>
      <t xml:space="preserve">Providing of Stand for Fang Fix system 16 kg with base and clamp ,made up of frost resistant concrete and tested upto 100KA lightning current. Tested as per IEC 62561(1-8) and relevant test report should be submitted for 100kA lightning current testing.                                                                                                                                                                                                         </t>
    </r>
    <r>
      <rPr>
        <b/>
        <sz val="11"/>
        <rFont val="Calibri"/>
        <family val="2"/>
        <scheme val="minor"/>
      </rPr>
      <t>OBO type No.F-FIX-16 (5403200)</t>
    </r>
  </si>
  <si>
    <r>
      <t xml:space="preserve">Supply of Test Joint suitable to connect 8mm round conductor and 30x3 mm GI strip.
Fit: Rd 8-10 x FL 30
Mounted with 4 hexagonal bolts M8 x 25 and 4 hexagonal nuts M8. </t>
    </r>
    <r>
      <rPr>
        <b/>
        <sz val="11"/>
        <rFont val="Calibri"/>
        <family val="2"/>
        <scheme val="minor"/>
      </rPr>
      <t>252 S4 FT 5312302</t>
    </r>
  </si>
  <si>
    <r>
      <t xml:space="preserve">Providing of expansion piece with connector: For equalising temperature related length changes. Necessary on conductors length over 20 meters. For round conductor Rd 8/ALU.                                                                                                                                                                                                                                                                                                                                                           </t>
    </r>
    <r>
      <rPr>
        <b/>
        <sz val="11"/>
        <rFont val="Calibri"/>
        <family val="2"/>
        <scheme val="minor"/>
      </rPr>
      <t xml:space="preserve">OBO Type No. 172 AR ( 5218 92 6 )  </t>
    </r>
    <r>
      <rPr>
        <sz val="11"/>
        <rFont val="Calibri"/>
        <family val="2"/>
        <scheme val="minor"/>
      </rPr>
      <t xml:space="preserve">                                                                                              </t>
    </r>
  </si>
  <si>
    <r>
      <t xml:space="preserve">Connector: For T cross and parallel connectors. Quick installation using hexagonal bolt M10X30 high-grade hot dip galvanised. Conforms to the requirements according to DIN VDE 0185-305 (IS-IEC 62305)(2nos/expansion piece).                                                                                                                                                                                                                                                            </t>
    </r>
    <r>
      <rPr>
        <b/>
        <sz val="11"/>
        <rFont val="Calibri"/>
        <family val="2"/>
        <scheme val="minor"/>
      </rPr>
      <t xml:space="preserve">OBO Type No. 249 8-10 ST ( 5311500 ) </t>
    </r>
  </si>
  <si>
    <t>Down Conductor System</t>
  </si>
  <si>
    <r>
      <t xml:space="preserve">Supply of Test Joint suitable to connect 8mm round conductor and max by 30x3 mm GI strip as specified in drawing and directed by Engineer </t>
    </r>
    <r>
      <rPr>
        <b/>
        <sz val="11"/>
        <rFont val="Calibri"/>
        <family val="2"/>
        <scheme val="minor"/>
      </rPr>
      <t xml:space="preserve"> 
OBO Type No. 271 8-10 ( 5317401 ) </t>
    </r>
  </si>
  <si>
    <t xml:space="preserve">Earthing </t>
  </si>
  <si>
    <r>
      <t>Supply of Galvanised Steel Flat 30X3 mm thickness from earth electrode directly in ground as required. Flat conductor Hot Dipped Galvanized.</t>
    </r>
    <r>
      <rPr>
        <b/>
        <sz val="11"/>
        <rFont val="Calibri"/>
        <family val="2"/>
        <scheme val="minor"/>
      </rPr>
      <t xml:space="preserve">
OBO Type No. 5052 DIN 30X3 ( 5450436 ) </t>
    </r>
  </si>
  <si>
    <r>
      <t>Providing of Cross connector for Flat: Suitable for 30mm Galvanised steel strip. Installed with 4 nos of hexagonal plate.</t>
    </r>
    <r>
      <rPr>
        <b/>
        <sz val="11"/>
        <rFont val="Calibri"/>
        <family val="2"/>
        <scheme val="minor"/>
      </rPr>
      <t xml:space="preserve"> 
OBO Type No. 255 A-FL30 FT (5314534 ) </t>
    </r>
  </si>
  <si>
    <t xml:space="preserve">Nos </t>
  </si>
  <si>
    <r>
      <t>Providing of flat conductor holder suitable for FL 30. Installed with 2 hexagonal bolts.</t>
    </r>
    <r>
      <rPr>
        <b/>
        <sz val="11"/>
        <rFont val="Calibri"/>
        <family val="2"/>
        <scheme val="minor"/>
      </rPr>
      <t xml:space="preserve"> 
OBO Type No. 166 LS 70 ( 5226570 ) </t>
    </r>
  </si>
  <si>
    <r>
      <t>Providing of Plastic Corrosion Protection strip: Approx 1.1 mm thick. Width 50mm. Made of petrolatum- coated chemical fibre fabric.</t>
    </r>
    <r>
      <rPr>
        <b/>
        <sz val="11"/>
        <rFont val="Calibri"/>
        <family val="2"/>
        <scheme val="minor"/>
      </rPr>
      <t xml:space="preserve">                                                                                 OBO Type No.356 50 ( 2360 05 5 ) </t>
    </r>
  </si>
  <si>
    <r>
      <t>Supply of UL Listed &amp; CPRI Tested maintenance free ,Low carbon copper coated earth rod of 3 metre electrode having diameter of 14 mm with copper coating thickness of 250micron tested as per IEC 62561-2</t>
    </r>
    <r>
      <rPr>
        <b/>
        <sz val="11"/>
        <rFont val="Calibri"/>
        <family val="2"/>
        <scheme val="minor"/>
      </rPr>
      <t xml:space="preserve"> .                                                                                                                                                                                                                                                                                          OBO Type No. 14 3000 CCER(5450010)</t>
    </r>
  </si>
  <si>
    <r>
      <t xml:space="preserve">Universal clamp made of SS to connect rod
with flat conductor .                                                                                                                                                                                                                               </t>
    </r>
    <r>
      <rPr>
        <b/>
        <sz val="11"/>
        <rFont val="Calibri"/>
        <family val="2"/>
        <scheme val="minor"/>
      </rPr>
      <t>OBO Type No. 14 25 RTC(5450066)</t>
    </r>
  </si>
  <si>
    <r>
      <t xml:space="preserve">Earth conductivity enhancing compound shall be of 25 kg/pit tested as per IEC 62561-7,TCLP tested.                                                                                                                                                            </t>
    </r>
    <r>
      <rPr>
        <b/>
        <sz val="11"/>
        <rFont val="Calibri"/>
        <family val="2"/>
        <scheme val="minor"/>
      </rPr>
      <t>OBO Type No. OEC 2 25(5450058)</t>
    </r>
  </si>
  <si>
    <r>
      <t xml:space="preserve">The above arrangements shall be provided with  Heavy duty earth champer of 5000kg load bearing capacity to ensure the safety of earthing system .                                                                                                  </t>
    </r>
    <r>
      <rPr>
        <b/>
        <sz val="11"/>
        <rFont val="Calibri"/>
        <family val="2"/>
        <scheme val="minor"/>
      </rPr>
      <t>OBO Type No.UFE(5450030).</t>
    </r>
  </si>
  <si>
    <t>Total Part-12</t>
  </si>
  <si>
    <t>LPS RELATED WORKS</t>
  </si>
  <si>
    <t>We have not considered the conduits for the fire alarm &amp; CCTV cables.</t>
  </si>
  <si>
    <t>DG &amp; UPS-related works are not included in the BOQ.</t>
  </si>
  <si>
    <t>2R x 2.5 sq.mm  + 1R x 1.5 sq.mm Cu FRLS wire in existing  conduit / Wire ways. (Lighting Circuits)</t>
  </si>
  <si>
    <t>4R x 4 sq.mm  + 1R x 2.5 sq.mm Copper FRLS wire in  conduit / Wire ways.</t>
  </si>
  <si>
    <t>Contractor to include arrangement of temporary power during construction, preparation of as-built drawings in the scope of work. These will not be paid separately.</t>
  </si>
  <si>
    <t>Supply &amp; Installation of following size  GI raceway / wire way with cover,  made out of 16 SWG for body and 14 SWG for cover sheet steel duly powder coated GI.
Junction boxes to be provided with enough supports inside the box.
Raceway installed above false ceiling/floor  shall include necessary mounting supports, junction boxes and accessories to fix it firmly to the ground/ ceiling.
The raceways shall be fixed to the floor with GI (25mm x 3mm) strips so that there is no movement of the channels when civil work (pouring of cement concrete) is being done.
Rate includes necessary floor cutting and chipping with machine of minimum 50mm depth, removal of debris out of site and neatly finished with M15 grade concrete up to the finished floor level. Race ways to be covered with Chicken mesh  before concreting. Curing compound to be applied after initial setting of the concrete.
All edges, cut faces shall be free of burrs &amp; shall be smooth. 
The channels shall be earthed at the boxes and at the joints with 14 SWG bare copper wire with screws so that earth is continuous. 
Jointing of the race ways to be done with welding.</t>
  </si>
  <si>
    <t>PVC SWR Pipes for electrical &amp; communication</t>
  </si>
  <si>
    <r>
      <t xml:space="preserve">Supply, installation, testing &amp; commissioning of light points using 1100V, 3Rx1.5Sqmm FRLS multi-strand copper conductor wire in 20mm Dia GI Conduit, ISI marked &amp; specified type switches, metal boxes and accessories. The point wiring shall be terminated in a terminal block inside the junction box. Point wiring shall commence from the control box to light points. The quoted rate shall be  inclusive of  conduits with bush adapter for light fixture connection wherever required. All switches &amp; accessories shall be covered with removable film coat to protect from scratches and paint. 
Black Colour Conduit - Lighting 
Green Conduit - Emergency Lighting
</t>
    </r>
    <r>
      <rPr>
        <b/>
        <sz val="11"/>
        <rFont val="Calibri"/>
        <family val="2"/>
        <scheme val="minor"/>
      </rPr>
      <t xml:space="preserve">Rate shall exclude the cost of circuit mains from DB to switch boxes using 2 x 2.5 sqmm + 1 x 1.5 sqmm FRLS wires &amp; conduit.
</t>
    </r>
    <r>
      <rPr>
        <sz val="11"/>
        <rFont val="Calibri"/>
        <family val="2"/>
        <scheme val="minor"/>
      </rPr>
      <t>The average point wiring length should be consider as per the drawing.</t>
    </r>
    <r>
      <rPr>
        <b/>
        <sz val="11"/>
        <rFont val="Calibri"/>
        <family val="2"/>
        <scheme val="minor"/>
      </rPr>
      <t xml:space="preserve">
</t>
    </r>
  </si>
  <si>
    <t>Single light point controlled by a 6A switch</t>
  </si>
  <si>
    <t>4P MCCB ISOLATOR with enclosures - Weatherproof</t>
  </si>
  <si>
    <t>32A (Kitchen equipments)</t>
  </si>
  <si>
    <r>
      <t xml:space="preserve">Circuit mains using 1.1kV grade PVC insulated  copper conductor (MSCC) wires / PVC insulated  PVC sheathed wire/ cables drawn in existing GI/PVC conduits.  </t>
    </r>
    <r>
      <rPr>
        <b/>
        <sz val="11"/>
        <rFont val="Calibri"/>
        <family val="2"/>
        <scheme val="minor"/>
      </rPr>
      <t xml:space="preserve">For Lighting Rates quoted shall include supply of, wires, Switches &amp; other conduiting accessories. Circuit mains shall be measured from respective DB to the first point &amp; looping between the switches( Further onwards, it shall be deemed to be included in point wiring).  For RP &amp; UPS points Rates quoted shall include supply of cables/wires, Circuit mains shall be measured from respective DB to the last point, looping from switch / Socket to another switch / socket board will not be paid seperatelly. </t>
    </r>
    <r>
      <rPr>
        <sz val="11"/>
        <rFont val="Calibri"/>
        <family val="2"/>
        <scheme val="minor"/>
      </rPr>
      <t>All circuit terminations shall be provided with solder less crimping type copper sockets / lugs, ferrules indicating source code on load side &amp; load code on source side. There shall not be any joints in the circuits, only looping  is allowed in  terminal blocks &amp; in switches / socket outlets.</t>
    </r>
  </si>
  <si>
    <t>2R x 1.5 sq.mm  + 1R x 1.5 sq.mm Copper FRLS wire in existing  conduit / Wire ways</t>
  </si>
  <si>
    <t xml:space="preserve">2R x 4 sq.mm  + 1R x 2.5 sq.mm Copper FRLS wire in  existing GI conduit / PVC Sleeve. </t>
  </si>
  <si>
    <t>R.0</t>
  </si>
  <si>
    <t>ELECTRICAL BOQ</t>
  </si>
  <si>
    <t>: Fire BOQ - Summary</t>
  </si>
  <si>
    <t>A</t>
  </si>
  <si>
    <t>B</t>
  </si>
  <si>
    <t>C</t>
  </si>
  <si>
    <t>D</t>
  </si>
  <si>
    <t>E</t>
  </si>
  <si>
    <t>G</t>
  </si>
  <si>
    <t>H</t>
  </si>
  <si>
    <t>Construction of Over head fire water tank is excluded in the costing.</t>
  </si>
  <si>
    <t>Excluding Approval and Laisioning related charges.</t>
  </si>
  <si>
    <t xml:space="preserve">The costs indicated are exclusive of taxes . </t>
  </si>
  <si>
    <t>Fire BOQ</t>
  </si>
  <si>
    <t>DESCRIPTION OF WORK</t>
  </si>
  <si>
    <t>FIRE HYDRANT SYSTEM</t>
  </si>
  <si>
    <t>UNDER GROUND PIPING</t>
  </si>
  <si>
    <t>Supply, erect, jointing, testing and commissioning heavy class G.I pipe (as per IS-1239) in trenches (1 Mtrs below ground level) with necessary supports at equal interval. Rate quoted shall include for necessary specials like long radius bends, tees, including cutting,welding / flanged joints with necessary washers, nuts, bolts,etc.  Rate quoted shall also include for providing concrete anchor blocks (thrust block) at all change in direction of pipeline and also near each joints and also providing wrapping and costing for anticorrosive treatment as per specfication.</t>
  </si>
  <si>
    <t xml:space="preserve">PIPE TO EXTERNAL YARD HYDRANT </t>
  </si>
  <si>
    <t>a) 150 mm dia. (From Plant room to header line and from 2Way FBIC to header )</t>
  </si>
  <si>
    <t>b) 100 mm dia. (Ring main system)</t>
  </si>
  <si>
    <t>RO</t>
  </si>
  <si>
    <t>c) 80 mm dia. (To Yard Hydrant valve)</t>
  </si>
  <si>
    <t xml:space="preserve">PIPING ABOVE GROUND : </t>
  </si>
  <si>
    <t>Supply, errect, jointing, testing and commissioning of heavy class G.I pipes (as per IS-1239).  The pipes being fixed on to the wall or suspended from the ceiling / truss with angle iron supports complete with bends, tees, flanges and with all other required accessories including painting of the pipeline with two coats of approved enamel paint over a coat of anti corrosive primer etc. complete. As per IS code standards.</t>
  </si>
  <si>
    <t>Rate quoted above shall include providing M.S.supports in angle iron / plates pipes etc. at every 2.5 m c/c. Rate quoted shall include for supply and providing necessary, welding cutting, 'U' clamps both nuts, washers etc.as per specification or pipe supports for horizontal / vertical pipes running along wall / column, slabs trenches etc to suit different dia pipes made of GI/MS rods, flats etc. consists of strap, nuts washers, threaded rod etc., rate quoted shall also include necessary aniti corrosive painting and 2 coat f approved enamel colour paint</t>
  </si>
  <si>
    <t>a) 150 mm dia. ( Main header from OHT/ Pump room and running inside kitchen area )</t>
  </si>
  <si>
    <t>b) 80 mm dia. (To Internal Hydrant valve)</t>
  </si>
  <si>
    <t>BUTTERFLY VALVE:</t>
  </si>
  <si>
    <t xml:space="preserve">Supplying, Installing, testing and commissioning CI butterfly valves as per IS standard slim seal standard lever operated type with required flanges, nuts, bolts etc. complete. </t>
  </si>
  <si>
    <t>PN-10</t>
  </si>
  <si>
    <t>a) 150 mm dia. (4 way brigade inlet)</t>
  </si>
  <si>
    <t>b) 150 mm dia. (2 way brigade inlet)</t>
  </si>
  <si>
    <t>c) 150 mm dia. (Main distribution line)</t>
  </si>
  <si>
    <t>d) 150 mm dia. - (@ Pump outlet)</t>
  </si>
  <si>
    <t>NON RETURN VALVE :</t>
  </si>
  <si>
    <t>Supply, fixing, testing and commissioning of CI Non return valve ( Dual plate type )  falnged end of approved brand of manufacture, with accressories,etc complete. PN:10</t>
  </si>
  <si>
    <t>a) 150 mm dia. - Terrace piping @ OHT outet</t>
  </si>
  <si>
    <t>AUTOMATIC AIR RELEASE VALVES :</t>
  </si>
  <si>
    <t>Supply, fixing, testing and commissioning of Air  release valves screwed ends of approved brand of manufacture, with accressories,etc complete- PN-10</t>
  </si>
  <si>
    <t>25 mm dia.</t>
  </si>
  <si>
    <t>BALL VALVE  (for arv)</t>
  </si>
  <si>
    <t>Supplying, installing, testing and commissioning of heavy duty Gun Metal gate valves screwed ends of approved brand of manufacture. PN-10</t>
  </si>
  <si>
    <t>a) 25 mm dia.</t>
  </si>
  <si>
    <t>INTERNAL FIRE HYDRANT SYSTEM :</t>
  </si>
  <si>
    <t>SINGLE HEADED INTERNAL &amp; YARD HYDRANT :</t>
  </si>
  <si>
    <t xml:space="preserve"> Supply, fix, test and commissioning of the following :-</t>
  </si>
  <si>
    <t xml:space="preserve">a) 80 mm dia GI MSDF bend.80 mm dia GI MSDF stand pipe (1 Mtr below + 1 Mtr above).The  pipe portion below ground shall be with anti corrosive treatment as per detail specifications </t>
  </si>
  <si>
    <t>b) 1 No. 63 mm dia female instantaneous pattern oblique hydrant valve with chain and cap of gun metal</t>
  </si>
  <si>
    <r>
      <t xml:space="preserve">c) </t>
    </r>
    <r>
      <rPr>
        <b/>
        <sz val="11"/>
        <rFont val="Calibri"/>
        <family val="2"/>
        <scheme val="minor"/>
      </rPr>
      <t>2 Nos.</t>
    </r>
    <r>
      <rPr>
        <sz val="11"/>
        <rFont val="Calibri"/>
        <family val="2"/>
        <scheme val="minor"/>
      </rPr>
      <t xml:space="preserve"> 63 mm size C.P. Hose as per IS 8423 Type I (ISI mark) 15 Mtrs long with 63 mm gun metal make male and female instantaneous coupling.</t>
    </r>
  </si>
  <si>
    <t>d)63 mm gun metal branch pipe with gun metal hexagonal detachable 16 mm nozzle, made instantaneous coupling etc. complete.</t>
  </si>
  <si>
    <r>
      <t xml:space="preserve">e) M.S. Hose cabinet stand mouted type fabricated out of M.S. sheet of 16 swg. with glass fronted ( 4mm thick glass with rubber beeding) door and size of the cabinet shall be </t>
    </r>
    <r>
      <rPr>
        <b/>
        <sz val="11"/>
        <rFont val="Calibri"/>
        <family val="2"/>
        <scheme val="minor"/>
      </rPr>
      <t>600mm x 750 mm x 250</t>
    </r>
    <r>
      <rPr>
        <sz val="11"/>
        <rFont val="Calibri"/>
        <family val="2"/>
        <scheme val="minor"/>
      </rPr>
      <t xml:space="preserve"> mm Quoted rate shall be includes suitable stand for mounting, all fasteners etc, and cabinet shall be powder coated of approved colour both inside and out side. </t>
    </r>
  </si>
  <si>
    <t>f) Hose reel drum of swinging type with 19 mm dia Rubber braided hose of 36.5 M. length with 25dia Ball valve ( upstream) and Shut off nozzle of jet and spray type, etc.,all complete  as per specifications and direction of Engineer-In-Charge.</t>
  </si>
  <si>
    <t>TERRACE FIRE HYDRANT SYSTEM:-</t>
  </si>
  <si>
    <t>TERRACE PUMP:</t>
  </si>
  <si>
    <t>a) Supply and fix terrace level 1 no of monoblock pump of capacity 900 LPM 35 Mtrs head with suitable electrical driven motor, suction and delevery side Butterfly valve, non return valve, pressure guage, switches,cables,wires and necessary  acessories etc. complete as per specification.The pump shall be with IP 55 protection.</t>
  </si>
  <si>
    <t>Set</t>
  </si>
  <si>
    <t>b) Supply, storing, erection, testing and commissioning of wall mounted control panel with SFU's, DOL starter, indicating lamps, push buttons, , necessary connecting cables, etc as per detailed specification. The panel shall have IP 55 protection  etc., complete.</t>
  </si>
  <si>
    <t>L/s</t>
  </si>
  <si>
    <t>FIRE BRIGADE INLET:</t>
  </si>
  <si>
    <t xml:space="preserve">a) 4 nos. 63 mm dia Gun metal instantaneous inlet arranged on a 100 mm dia GI header with flanges.   b) 1 No. 150 mm non-return valves.- (PN16)  c) 1 no of 150 mm dia Butterfly valves ( PN16) Insitu moulded. d) 1 no of 100 mm dia Butterfly valves( PN16) Insitu moulded    </t>
  </si>
  <si>
    <t xml:space="preserve">b) 2 nos. 63 mm dia Gun metal instantaneous inlet arranged on a 100 mm dia GI header with flanges.   b) 1 No. 150 mm non-return valves.- (PN16)  c) 1 no of 150 mm dia Butterfly valves ( PN16) Insitu moulded. d) 1 no of 100 mm dia Butterfly valves( PN16) Insitu moulded    </t>
  </si>
  <si>
    <t>TOTAL = PART - A</t>
  </si>
  <si>
    <t>CIVIL WORKS</t>
  </si>
  <si>
    <t>EXCAVATION :</t>
  </si>
  <si>
    <t>Excavating trenches of required width for pipes and fittings etc. including dressing of sides, ramming of bottom depth upto 1.5 Mtrs including getting out the excavated soil and then returning the soil as required in layers not exceeding 20 cms in depth including consolidating each deposited layer by ramming, watering, etc. and disposing of surplus excavated soil as directed within a lead of 150 mtrs (pipe not exceeding 300 mm).</t>
  </si>
  <si>
    <t xml:space="preserve"> In ordinary soil.</t>
  </si>
  <si>
    <t>RCC HUME PIPE: :</t>
  </si>
  <si>
    <t xml:space="preserve">Providing, Laying. Testing &amp; Commissioning of RCC hume pipes of NP2 class with suitable collars filling the recess at joints of pipes with hemp dipped in hot bitumen or other suitable compound for chaulking of joint by jack, setting up of loose space over the collar joints caulked with CM 1:2, finished both ends to a slope of 1:1 including curing, testing of pipes, etc., complete.  </t>
  </si>
  <si>
    <t>200 mm dia</t>
  </si>
  <si>
    <t>300 mm dia</t>
  </si>
  <si>
    <t>PCC PEDESTALS FOR TERRCAE HYDRANT PIPES :</t>
  </si>
  <si>
    <t>Supplying and costruction of of P.C.C support blocks of 1 : 2 : 4 concrete mix of sizes as given below for pipe supports at terrace level to run the terrace fire hydrant pipes with necessary shuttering, plastering, pipe fixing anchors etc., complete as per specifications.</t>
  </si>
  <si>
    <t xml:space="preserve">a)  300 x 300 x 300 mm </t>
  </si>
  <si>
    <t>TOTAL = PART B</t>
  </si>
  <si>
    <t>SIGNAGES ( @ Near Every access entry)</t>
  </si>
  <si>
    <t>Providing and fixing in position the signages " FIRE ORDER" it should contain the following matter on 3mm thick "Opaque" PVC foam board of computerised cut, PVC non-reflective self adhesive vinyle painted foam board of 3' x 4'.</t>
  </si>
  <si>
    <t>LS</t>
  </si>
  <si>
    <t>a)  Alert the security at security at security room by actuating MANUAL CALL POINT located at strategic location.</t>
  </si>
  <si>
    <t>b)  Evacuate the occupant by using FIRE EXITS AND EMERGENCY EXITS ONLY and assenbly at various addembly points</t>
  </si>
  <si>
    <t>c) If possible try to extinguish the fire by using nearest/suitable portable extinguishers or water from nearest wer riser.</t>
  </si>
  <si>
    <t>d) Be calm and do not give an roon from panic, walk, do not run.</t>
  </si>
  <si>
    <t>e) If you encouner serious difficulty in evacuaton, flat and try to attract attention of rescue team.</t>
  </si>
  <si>
    <t>Action by security / Reception upon receipt of information through fire alarm or fire detector or by using public address system.</t>
  </si>
  <si>
    <t>A) Alart the occupants by using public address system.</t>
  </si>
  <si>
    <t>B) Inform fire control through any one of the following phone number: 101/Local nos.</t>
  </si>
  <si>
    <t>c) Refer evacuation plan from evacuating standard people.</t>
  </si>
  <si>
    <t>d) Guide the fire force, on their arrival to the seat of fire.</t>
  </si>
  <si>
    <t>E) in case of the casualties, call ambulance by dialling number…..</t>
  </si>
  <si>
    <t>FIRE FIGHTING AGNECY  ----------------------------</t>
  </si>
  <si>
    <t>PHONE : -----------------------</t>
  </si>
  <si>
    <t>FAX : ----------------------------</t>
  </si>
  <si>
    <t>Fire Exit Signage - LED Display
Make : Prolite</t>
  </si>
  <si>
    <t>Fire Exit Signage - Photoluminiscent - Dual sided</t>
  </si>
  <si>
    <t xml:space="preserve">Fire escape route plan in size of 20"x24"sheet  with removable dual sided Acrylic sandwich board should 12 mm minimum (6+6mm)  with 8 steels studs  </t>
  </si>
  <si>
    <t>TOTAL = PART C</t>
  </si>
  <si>
    <t>FIRE EXTINGUISHER SYSTEM</t>
  </si>
  <si>
    <t>ABC STORE PRESSURE Fire Extinguisher 6 Kgs capacity. (@ common area/Office space)</t>
  </si>
  <si>
    <t>Supply and install in position approved make ABC Stored pressure type Fire Extinguisher of 6 kgs capacity, fitted with discharge control valve (sq.grip type) CE marked and pressure gauge, filled with mono ammonium phosphate powder as per EN 3 615 approval, with discharge hose and open nozzle and supplied complete with initial charge as per IS: 15683 with ISI mark and wall bracket. Fire Rating 3A, 21B</t>
  </si>
  <si>
    <t>FOAM 9 Ltrs capacity Fire Extinguisher for Transformer Yard &amp; Diesel Generator</t>
  </si>
  <si>
    <t>Supply and install in position approved make Foam type Fire Extinguisher of 9lit capacity, fitted with discharge control valve (squeeze grip type), inside co2 gas cartridge of 60gms as per IS: 4947 with ISI mark and AFFF liquid of 540 ml as per IS: 4989 with ISI mark, with discharge hose and air induction nozzle and supplied complete with initial charge as per IS: 15683 with ISI mark and wall bracket. Fire Rating 3A, 34B</t>
  </si>
  <si>
    <t>CO2 Fire Extinguisher - 4.5Kg capacity. (@ Electrical room)</t>
  </si>
  <si>
    <t>Supply and install in position approved make CO2 Stored pressure type Fire Extinguisher of4.5 kgs capacity, fitted with discharge control valve (sq.grip type) CE marked and pressure gauge, filled with mono ammonium phosphate powder as per EN 3 615 approval, with discharge hose and open nozzle and supplied complete with initial charge as per IS: 15683 with ISI mark and wall bracket. Fire Rating 3A, 21B</t>
  </si>
  <si>
    <t>CO2 Fire Extinguisher - 2.0 Kg capacity. (Kitchen Area)</t>
  </si>
  <si>
    <t>Supply and install in position approved make CO2 Stored pressure type Fire Extinguisher of 2.0 kgs capacity, fitted with discharge control valve (sq.grip type) CE marked and pressure gauge, filled with mono ammonium phosphate powder as per EN 3 615 approval, with discharge hose and open nozzle and supplied complete with initial charge as per IS: 15683 with ISI mark and wall bracket. Fire Rating 3A, 21B</t>
  </si>
  <si>
    <t xml:space="preserve">Wet Chemical K Type -  Fire Extinguisher </t>
  </si>
  <si>
    <t>Supply and install in position approved make K Type Wet chemical Stored pressure type Fire Extinguisher of 2.0 kgs capacity, fitted with discharge control valve (sq.grip type) CE marked and pressure gauge,  as per EN 3 615 approval, with discharge hose and open nozzle and supplied complete with initial charge as per IS: 15683 with ISI mark and wall bracket. Fire Rating 3A, 21B</t>
  </si>
  <si>
    <t>TOTAL = PART D</t>
  </si>
  <si>
    <t xml:space="preserve">FIRE ALARM SYSTEM </t>
  </si>
  <si>
    <t>Providing ,fixing , testing and commissioning  of Analogue addressable Fire Alarm Control panel WITH battery back up for 48 hours normal operation and 15 minutes alarm operation. The control panel, battery charger etc, power supply units shall be UL listed  / EN54  approved. The panel shall be 2-10 loop capacity . The panel shall have minimum of  4*40 character LCD display and RS 232 &amp; 485 for networking.</t>
  </si>
  <si>
    <t>c) Cost for addition / deletion of extra Loop cards in to the panel mentioned above.</t>
  </si>
  <si>
    <t>Providing ,fixing , testing and commissioning  of  graphic software for programming( mapping) the Fire detection and alarm system through FACP / Lap top. The software shall consisting with facility like Upload / down load of information's to FACP, Graphics compatible to AutoCAD, Detectors information with change in address / sensitivity etc as required as per the technical specification.Panel Shall be EN/UL listed.</t>
  </si>
  <si>
    <t xml:space="preserve">Providing ,fixing , testing and commissioning  of Addressable Intelligent photoelectric Smoke detectors with standard base, Junction box and other accessories as required and Detectors shall be UL listed / EN 54 Approved </t>
  </si>
  <si>
    <t xml:space="preserve">Providing ,fixing , testing and commissioning  of Addressable Intelligent ROR heat detectors  with standard base, Junction box and other accessories as required and Detectors shall be UL listed and EN 54 Approved </t>
  </si>
  <si>
    <t>Providing ,fixing , testing and commissioning  of Response indicator for all detectors located above false ceiling and below false flooring areas.</t>
  </si>
  <si>
    <t>Providing ,fixing , testing and commissioning  of Hooter cum Strobe rated at 90 dBA @ 3m for Audible annunciation and 75cd flashing at 1 Hz for visual indication.The Hooter cum Strobe shall be as per technical specification and module  shall be UL listed and FM approved.Vendor shall consider the suitable control modules &amp; Power supply units  along with the Hooters.</t>
  </si>
  <si>
    <t>Providing ,fixing , testing and commissioning  of Intelligent Manual pull station  having an integrally mounted addressable module that monitors and reports contact status.The MCP shall be as per technical specification and module shall be of EN/UL listed )</t>
  </si>
  <si>
    <t>Providing ,fixing , testing and commissioning  of Fault isolator module capable of monitoring shorted loop circuit and automatically restore communications when shorted conditions are corrected and modules  shall be UL listed and FM approved .</t>
  </si>
  <si>
    <t xml:space="preserve">Providing ,fixing , testing and commissioning  of Addressable Intelligent Duct sensor detector with multiple sensitivity levels, programmable for timed automatic sensitivity ( adjustable at site) selection with base and fixing accessories as required and Detectors shall be EN/UL listed </t>
  </si>
  <si>
    <t>Providing ,fixing , testing and commissioning  of Monitor modules to indicate status of flow switches, supervision of pumps etc.The Addressable monitor module shall be as per technical specification and module  shall be UL listed and FM approved .</t>
  </si>
  <si>
    <t>Supply fixing and commissionong of Analogue Addressable Control relay module shall be capable of providing DPDTcontact rated at 24v DC, 2A. (For Hooters)</t>
  </si>
  <si>
    <t>Providing ,laying , testing and commissioning  of 2C x 1.5 armoured cable confirming to IS standards and specifications. The quoted rate shall inclusive of suitable saddles, hardware etc, complete.</t>
  </si>
  <si>
    <t>Providing ,laying , testing and commissioning  of 20 mm dia.GI flexible  conduits on ceiling / wall / floor etc. complete with accessories like, Junction boxes, Collars, Bends etc.</t>
  </si>
  <si>
    <t>Providing ,fixing , testing and commissioning  of PVC FRLS as per IS standards concealed conduits on ceiling / wall / floor etc. complete with accessories like, Junction boxes, Collars, Bends etc.</t>
  </si>
  <si>
    <t>20 mm dia</t>
  </si>
  <si>
    <t>25 mm dia</t>
  </si>
  <si>
    <t>32 mm dia</t>
  </si>
  <si>
    <t>Supplying and fixing of perforated G.I.sheet cable tray with necessary angle iron suspension supports, anchor fasteners etc. complete. Maximum height of suspension shall not exceed 500 mm.Size of the tray is 40mm x 200mm x 40mm and 2mm thick.For fire alam and PA system</t>
  </si>
  <si>
    <t>TOTAL = PART E</t>
  </si>
  <si>
    <t>PUMPS AND ANCILLARIES</t>
  </si>
  <si>
    <t>PUMP DRIVEN BY ELECTRICAL MOTOR(HYDRANT) :</t>
  </si>
  <si>
    <t>Supply erection testing and commissioning of automatic centrifugal pumpset of approved make(End suction type) for giving discharge of 27 ltrs/sec @ 60M head .when running at suitable rpm when directly coupled to suitable HP  TEFC motor to operate 400/440 volts 3 phase 50 cycles AC supply with a terminal box suitable for the reception of power cable termination, common base plate, necessary foundation bolts and accessories, pressure gauges, test valve connections, squirel cage for motor etc., all as per detailed specification. Rate quoted shall include necessary sluice valves(suction side) and butterfly &amp; non return valves as required on suction , delvery  and testline common header side ., etc complete. Priming tank requirement for the fire negative suction pump is as per the pump supplier's requirement.</t>
  </si>
  <si>
    <t xml:space="preserve">MCC PANEL AND ACCESSORIS : </t>
  </si>
  <si>
    <t>INCOMING :</t>
  </si>
  <si>
    <t>Incoming MCCB 160A</t>
  </si>
  <si>
    <t>3 Nos of phase indicating lamps with SFU Rated 160A</t>
  </si>
  <si>
    <t>1 Nos. Set of 160 Amps. TPNE Al. Bus bars</t>
  </si>
  <si>
    <t>1 Nos. 0-160 Amps. Ammeter, 1 No. 0-630V  Voltmeter</t>
  </si>
  <si>
    <t>with phase selector switch, Isolating Switch 160A</t>
  </si>
  <si>
    <t>OUTGOING for Main Electrical Pump 1No :</t>
  </si>
  <si>
    <t>1No. 125 Amps MCCB</t>
  </si>
  <si>
    <t>1 No. S/D starter suitable for 150HP</t>
  </si>
  <si>
    <t>1No. 3 phase preventor suitable for the pump described above</t>
  </si>
  <si>
    <t>1No. set of ON/OFF indicating lamps</t>
  </si>
  <si>
    <t>1No. Automanual selector switch</t>
  </si>
  <si>
    <t>Cable size from motor to panel: 3.5C X 35.0sq.mm (qty: 20mt)</t>
  </si>
  <si>
    <t>PUMP ROOM WORKS :</t>
  </si>
  <si>
    <t>Supplying,fabricating and installing M.S.Fabricating supports comprising of  M.S Angle/Box sections of suitable cross section.</t>
  </si>
  <si>
    <t>Kgs.</t>
  </si>
  <si>
    <t>Supply,installing pre-fabricated slotted G.I Cable trays for cable works inside the pump room 300 mm wide with necessary supports</t>
  </si>
  <si>
    <t>Supply,installing pre-fabricated slotted G.I Cable trays for cable works inside the pump room 150 mm wide with necessary supports</t>
  </si>
  <si>
    <t>STRAINER :</t>
  </si>
  <si>
    <t>Supply, Installation , Testing &amp; Commissioning of MS Fabricated Pot/ 'Y' Strainer with accessories etc., complete.</t>
  </si>
  <si>
    <t>150 mm dia</t>
  </si>
  <si>
    <t>NON RETURN VALVES :</t>
  </si>
  <si>
    <t>Supply, Installation , Testing &amp; Commissioning of CI NON RETURN VALVE (Dual plate type) with accessories etc., complete.</t>
  </si>
  <si>
    <t>150mm dia-PN10 (Delivery outlet)</t>
  </si>
  <si>
    <t>BUTTERFLY VALVES :</t>
  </si>
  <si>
    <t xml:space="preserve">Supplying, Installing, testing and commissioning CI butterfly valves as per BS 5155 ( PN 10) slim seal standard lever operated type with required flanges, nuts, bolts etc. complete. </t>
  </si>
  <si>
    <t>a) 80mm dia. - (Test line)</t>
  </si>
  <si>
    <t>b) 150mm dia. - (pump Inlet and outlet to Manifold)</t>
  </si>
  <si>
    <t>c) 150mm dia. - (Suction line)</t>
  </si>
  <si>
    <t>FLOW METER :</t>
  </si>
  <si>
    <t>Supplying, Installing, testing and commissioning of Flow meter with necessary accessories as per standard specifications etc complete.
150 mm dia.- PN10</t>
  </si>
  <si>
    <t>TOTAL PART G</t>
  </si>
  <si>
    <t>SPRINKLERS SYSTEM:</t>
  </si>
  <si>
    <t>SPRINKLERS</t>
  </si>
  <si>
    <t xml:space="preserve">A) UPRIGHT SPRINKLERS </t>
  </si>
  <si>
    <r>
      <t>Providing and fixing nominal bore quartzoid bulb type sprinkler 68 Deg.C K80 quick</t>
    </r>
    <r>
      <rPr>
        <b/>
        <sz val="11"/>
        <rFont val="Calibri"/>
        <family val="2"/>
        <scheme val="minor"/>
      </rPr>
      <t xml:space="preserve"> response upright</t>
    </r>
    <r>
      <rPr>
        <sz val="11"/>
        <rFont val="Calibri"/>
        <family val="2"/>
        <scheme val="minor"/>
      </rPr>
      <t xml:space="preserve">  type including range pipe upto 65 mm dia heavy grade mild steel confirming to IS 1239 with CI taper special conforming to BS 1641 suspending arrangement with ceiling / wall / beam, clamp clips etc., complete.
</t>
    </r>
  </si>
  <si>
    <t>Each</t>
  </si>
  <si>
    <t>B) PENDANT SPRINKLERS</t>
  </si>
  <si>
    <r>
      <t xml:space="preserve">Providing and fixing nominal bore quartzoid bulb type sprinkler 68 Deg.C K80  </t>
    </r>
    <r>
      <rPr>
        <b/>
        <sz val="11"/>
        <rFont val="Calibri"/>
        <family val="2"/>
        <scheme val="minor"/>
      </rPr>
      <t xml:space="preserve">quick response pendent type </t>
    </r>
    <r>
      <rPr>
        <sz val="11"/>
        <rFont val="Calibri"/>
        <family val="2"/>
        <scheme val="minor"/>
      </rPr>
      <t xml:space="preserve"> including range pipe upto 65 mm dia heavy grade mild steel confirming to IS 1239 with CI taper special conforming to BS 1641 suspending arrangement with ceiling / wall / beam, clamp clips etc., complete.
</t>
    </r>
  </si>
  <si>
    <t>C) SIDE WALL TYPE SPRINKLERS</t>
  </si>
  <si>
    <t xml:space="preserve">Providing and fixing nominal bore quartzoid bulb type sprinkler 68 Deg.C K80 extended coverage side wall  type including range pipe upto 65 mm dia heavy grade mild steel confirming to IS 1239 with CI taper special conforming to BS 1641 suspending arrangement with ceiling / wall / beam, clamp clips etc., complete.
</t>
  </si>
  <si>
    <t>D) ROSETTE PLATE</t>
  </si>
  <si>
    <t xml:space="preserve">Supply &amp; fixing of approved type rosette plates (Recessed type, in two piece) for Sprinklers below false ceiling area. The Rosette shall be fabricated by M.S. plate of 2mm thick and the finish shall be powder coated and color shall be as approved by architects / clients.
</t>
  </si>
  <si>
    <t>E) FLEXIBLE HOSE PIPE</t>
  </si>
  <si>
    <t xml:space="preserve">Supplying, installing, testing and comissioing of Stainless steel corrugated flexible pipe(hose) for dropping sprinklers below false ceiling, pipe shall be 16 bar pressure rating and 1500 mm long with supports, fasteners, union / reducer collar, clamps etc. as required. (UL aproved)
</t>
  </si>
  <si>
    <t>25 mm dIa</t>
  </si>
  <si>
    <t>SPRINKLER PIPING  :</t>
  </si>
  <si>
    <t xml:space="preserve">Supply, erection, testing, jointing and commissioning of heavy class GI pipes conforming to IS 1239. Pipe specials such as bends, tees, reducers, etc. shall confirm to ASTM A 234 Gr WPB forged fittings. The pipe shall be with flanged joints / weld joints. Rate quoted shall include for necessary pair of flanges gaskets, nuts, bolts, etc., for pipes being suspended from ceilings beam bottom, clamped on to the walls, etc., and fittings upto 50mm socket welded type, 65 and above should be butt welded type.and complete.
</t>
  </si>
  <si>
    <t xml:space="preserve">Rate below shall include providing, fixing as pipe supports from column/wall or suspenders from roof slab to suit various dia of pipes made out of GI adjustable rods threaded for a sufficient length to adjust the height of support along with clamping arrangement for holding pipes of anchor fastening arrangement design of hanger and should confirm to specification. (pipe support - 25 mm dia to 50 mm dia @ every 1.5 m c/c and 65 mm to 100 mm dia @ every 2.5 m c/c) 
</t>
  </si>
  <si>
    <t xml:space="preserve">Also rate shal include necessary pipe supports for 150 dia with supply and fixing of channel, angle iron, flats as per drawing / instruction at site to suit site condition, including for necessary G.I 'U' clamps, welding, cutting, nuts, washers, etc., rate quoted shall also include for giving one coat of zinc chromate primer and two coats of approved enamel paint for pipe supports.Rate quoted shall include the insert plate, anchor fastners to fix the plates. Also it shall include necessary cutting and welding of supports as required. 
</t>
  </si>
  <si>
    <t>b) 32 mm dia.</t>
  </si>
  <si>
    <t>c) 40 mm dia.</t>
  </si>
  <si>
    <t>d) 50 mm dia</t>
  </si>
  <si>
    <t>e) 65 mm dia.</t>
  </si>
  <si>
    <t>f) 80 mm dia.</t>
  </si>
  <si>
    <t>g) 150 mm dia.</t>
  </si>
  <si>
    <t>SPRINKLER DRAIN UNIT AND FLOW SWITCH UNIT.</t>
  </si>
  <si>
    <t>A) DRAIN UNIT.</t>
  </si>
  <si>
    <t>Supply, fixing, testing and commissioning of set comprising of bypass unit, union, sight glass unit.Valve 50 mm dia, 50 mm dia interconnecting pipe,  by detailed drg.</t>
  </si>
  <si>
    <t>B) FLOW SWITCHES.</t>
  </si>
  <si>
    <t xml:space="preserve">Supplying, installing, testing and commissioning flow switch on sprinkler distribution header on each floor and shall be connected to fire alarm panel through cable. Cable shall be measured seperately.
</t>
  </si>
  <si>
    <t>SPRINKLER CONTROL VALVE,TEST VALVE AND AIR RELEASE VALVE.</t>
  </si>
  <si>
    <t>A) BUTTERFLY VALVES :</t>
  </si>
  <si>
    <t xml:space="preserve">Supplying, Installing, testing and commissioning CI butterfly valves as per BS 5155 (PN10) slim seal  INSITU MOULDED standard lever operated type with required flanges, nuts, bolts etc. complete( with lock and key arrangement)
</t>
  </si>
  <si>
    <t>1)65mm dia</t>
  </si>
  <si>
    <t>2)100mm dia</t>
  </si>
  <si>
    <t>B) AUTOMATIC AIR RELEASE VALVES  :</t>
  </si>
  <si>
    <t xml:space="preserve">Supply, fixing, testing and commissioning of Air  release valves screwed ends of approved brand of manufacture, with accressories,etc complete
</t>
  </si>
  <si>
    <t>C) TEST VALVE (FOR TEST/INSPECTION LINE)</t>
  </si>
  <si>
    <t xml:space="preserve">Supplying, installing, testing and commissioning of Gun Metal gate valves screwed ends of approved brand of manufacture.(Test valve)
</t>
  </si>
  <si>
    <t>TOTAL FOR SPRINKLERS</t>
  </si>
  <si>
    <t>: Fire Prefered makes</t>
  </si>
  <si>
    <t>FPS - PREFERED MAKES</t>
  </si>
  <si>
    <t>FIRE PUMPS</t>
  </si>
  <si>
    <t>KIRLOSKAR /WILO /GRUNDFOS/XYLUM</t>
  </si>
  <si>
    <t>DIESEL ENGINE</t>
  </si>
  <si>
    <t>KIRLOSKAR OIL ENGINE /CUMMINS INDIA/CLARKE</t>
  </si>
  <si>
    <t>G.I./ M.S. PIPES</t>
  </si>
  <si>
    <t>JINDAL( HISSAR)/ JINDAL (STAR) / TATA</t>
  </si>
  <si>
    <t>PIPE FITTINGS</t>
  </si>
  <si>
    <t>SANJAY FORGE / GOYAL / B &amp; M</t>
  </si>
  <si>
    <t>BUTTERFLY VALES</t>
  </si>
  <si>
    <t>AUDCO / ADVANCE / INTERVALVE</t>
  </si>
  <si>
    <t>NON – RETURN VALVES</t>
  </si>
  <si>
    <t>AUDCO / KIRLOSKER / H. SARKER</t>
  </si>
  <si>
    <t>GATE VALVES</t>
  </si>
  <si>
    <t>NVR / ZOLOTO /LEADER / NETA</t>
  </si>
  <si>
    <t>BALL VALES</t>
  </si>
  <si>
    <t>NVR / ZOLOTO / LEADER / NETA</t>
  </si>
  <si>
    <t>STRAINERS</t>
  </si>
  <si>
    <t>H. SARKER / UPADYA / KALPANA</t>
  </si>
  <si>
    <t>C.I. GATE VALVES</t>
  </si>
  <si>
    <t>H. SARKER / CRESENT / KALPANA</t>
  </si>
  <si>
    <t>FOOT VALVES</t>
  </si>
  <si>
    <t>NORMEX / KIRLOSKAR/ EQUI.</t>
  </si>
  <si>
    <t>FLOW METRE</t>
  </si>
  <si>
    <t>FORBES MARSHALL / EUREKA</t>
  </si>
  <si>
    <t>PRESSURE SWITCH</t>
  </si>
  <si>
    <t>INDFOS / SWITZER / DANFOS</t>
  </si>
  <si>
    <t>PRESSURE GAUGE</t>
  </si>
  <si>
    <t>H. GURU / FIEBIG / WIKI</t>
  </si>
  <si>
    <t>ANTICORROSIVE MATERIAL</t>
  </si>
  <si>
    <t>I W L / RUSTECH / JANSON</t>
  </si>
  <si>
    <t>HYDRANT VALVES</t>
  </si>
  <si>
    <t>NEWAGE / WINCO / SHAHBHOGILAL</t>
  </si>
  <si>
    <t>BRANCH PIPE WITH NOZZLE</t>
  </si>
  <si>
    <t>NEWAGE / WINCO/ SHAHBHOGILAL</t>
  </si>
  <si>
    <t>FIRE HOSES</t>
  </si>
  <si>
    <t>NEWAGE / CRC/ WINCO</t>
  </si>
  <si>
    <t>HOSE COUPLINGS</t>
  </si>
  <si>
    <t>HOSE REEL</t>
  </si>
  <si>
    <t>NEWAGE  / EVERSAFE/ WINCO</t>
  </si>
  <si>
    <t>HOSE BOX / FIRE DUCT SHUTTER</t>
  </si>
  <si>
    <t>EVERSAFE / REPUTED / FABRICATED</t>
  </si>
  <si>
    <t>FIRE EXTINGUISHERS</t>
  </si>
  <si>
    <t>SAFEX / CEASEFIRE / ALERT / KALpEX</t>
  </si>
  <si>
    <t>TYCO / VIKING / HD</t>
  </si>
  <si>
    <t>SPRINKLER ALARM VALVE</t>
  </si>
  <si>
    <t>FLOW SWITCH</t>
  </si>
  <si>
    <t>SYSTEM SENSOR / POTTER / SWITZER</t>
  </si>
  <si>
    <t>PAINT</t>
  </si>
  <si>
    <t>ASIAN / BERGER / NEROLAC</t>
  </si>
  <si>
    <t>AIR RELEASE VALVES</t>
  </si>
  <si>
    <t>NEWAGE/ SHAHBHOGILAL / RB</t>
  </si>
  <si>
    <t>WELDING ELECTRODES</t>
  </si>
  <si>
    <t>ESAB 28 / ADVANI / SUN ARC</t>
  </si>
  <si>
    <t>HDPE TANK</t>
  </si>
  <si>
    <t>SINTEX / HITANK / EQUI.</t>
  </si>
  <si>
    <t>MOBILE FOAM UNIT</t>
  </si>
  <si>
    <t>NEWAGE / SAFEX / ANSHUL</t>
  </si>
  <si>
    <t>PRESSURE REDUCING VALVE</t>
  </si>
  <si>
    <t>LEHRY/ZOLOTO / NVR</t>
  </si>
  <si>
    <t>FIRE -RELATED ELECTRICAL WORKS</t>
  </si>
  <si>
    <t>ELECTRIC MOTORS</t>
  </si>
  <si>
    <t>KIRLOSKAR ELECTRIC / CROMPTON</t>
  </si>
  <si>
    <t>GREAVES / SIEMENS / ABB</t>
  </si>
  <si>
    <t>BATTERY</t>
  </si>
  <si>
    <t>EXIDE / STANDARD / AMAR RAJA/MINIMAX</t>
  </si>
  <si>
    <t>MOTOR CONTROL CENTRE</t>
  </si>
  <si>
    <t>RJMS / LOAD CONTROLS / PACE</t>
  </si>
  <si>
    <t>CONTROL / POWER CABLES</t>
  </si>
  <si>
    <t>GLOSTER / UNIVERSAL / ASIAN / CCI/FINOLEX</t>
  </si>
  <si>
    <t>MCCB</t>
  </si>
  <si>
    <t>L&amp;T / MERLINGERIN / ABB / C&amp;S</t>
  </si>
  <si>
    <t>CONTROL MCB</t>
  </si>
  <si>
    <t>ABB/ MERLINGERIN / SIEMENS / LEGRAND</t>
  </si>
  <si>
    <t>VOLT METER SELECT SWITCH</t>
  </si>
  <si>
    <t>SALZER / L &amp; T / KAYCEE</t>
  </si>
  <si>
    <t>VOLTMETER ( AC / DC)</t>
  </si>
  <si>
    <t>ELTRAC/TRINITY/CONZERVE</t>
  </si>
  <si>
    <t>AMMETER ( AC / DC)</t>
  </si>
  <si>
    <t>POWER CONTACTORS</t>
  </si>
  <si>
    <t>INDICATING LAPS (LED type)</t>
  </si>
  <si>
    <t>BINAY / TEKNIC /  VAISHNO</t>
  </si>
  <si>
    <t>PUSH BUTTONS</t>
  </si>
  <si>
    <t>TEKNIC / SIEMENS / VAISHNO</t>
  </si>
  <si>
    <t>AUTO / MANUAL SELECTOR</t>
  </si>
  <si>
    <t>SALZER / KAYCEE / VAISHNO</t>
  </si>
  <si>
    <t>TIMERS</t>
  </si>
  <si>
    <t>EAPL / AE / MINILEC</t>
  </si>
  <si>
    <t>TERMINAL BLOCKS</t>
  </si>
  <si>
    <t>ELMEX / WAGO / CONNECT WELL</t>
  </si>
  <si>
    <t>CURRENT TRANSFORMERS</t>
  </si>
  <si>
    <t>KALPA / VOLTAMPS / KAPPA</t>
  </si>
  <si>
    <t>OVER LOAD RELAY</t>
  </si>
  <si>
    <t>SINGLE PHASE PREVENTORS</t>
  </si>
  <si>
    <t>MINILEC / AE / EAPL</t>
  </si>
  <si>
    <t>ENGINE CONTROL SELECTOR</t>
  </si>
  <si>
    <t>SALZER / KAYCEE / L&amp;T</t>
  </si>
  <si>
    <t>MAIN SUPPLY SELECTOR</t>
  </si>
  <si>
    <t>DPMCB : SIEMENS / MERLINGERIN</t>
  </si>
  <si>
    <t>BATTERY CHARGING SELECTOR</t>
  </si>
  <si>
    <t>SALZER / L &amp; T/ KAYCEE</t>
  </si>
  <si>
    <t>BATTERY CHARGER</t>
  </si>
  <si>
    <t>KAYBEE POWEREC / HBL-NIFE/ AFCO/CHABBI</t>
  </si>
  <si>
    <t>SIREN / HOOTER</t>
  </si>
  <si>
    <t>KHERAJ /  RISHAB/ REALSAFE</t>
  </si>
  <si>
    <t>TOGGLE SWITCH</t>
  </si>
  <si>
    <t>JAY / KAYCEE / IDEAL</t>
  </si>
  <si>
    <t>END TERMINATIONS</t>
  </si>
  <si>
    <t>DOWEWLS / MULTI/ JANSON</t>
  </si>
  <si>
    <t>STORACK / PAN / MAG / REPUTED</t>
  </si>
  <si>
    <t>FIRE DETECTION &amp; ALARM WITH P.A.SYSTEM</t>
  </si>
  <si>
    <t>ADDS.MAIN CONTROL PANEL</t>
  </si>
  <si>
    <t>RAVEL OR EQUIVALENT MAKE</t>
  </si>
  <si>
    <t>ADDS.MANUAL CALL POINTS</t>
  </si>
  <si>
    <t>ADDS.ELECTRONIC HOOTERS</t>
  </si>
  <si>
    <t>ADD.COMBINATION DETECTOR</t>
  </si>
  <si>
    <t>ADD.HEAT DETECTOR</t>
  </si>
  <si>
    <t>DUCT DETECTOR</t>
  </si>
  <si>
    <t>BEAM DETECTOR</t>
  </si>
  <si>
    <t>MONITOR MODULE</t>
  </si>
  <si>
    <t>CONTROL RELAY MODULE</t>
  </si>
  <si>
    <t>CONTROL MODULE</t>
  </si>
  <si>
    <t>HITACHI / DRYSIL / JOHNSON / RESTOLITE / PANASONIC</t>
  </si>
  <si>
    <t>COPPER CONDUCTOR CONTROL</t>
  </si>
  <si>
    <t>POLYCAB / VARSHA/ FINOLEX CABLE / WIRES SHAKTHCAB / FINECORE</t>
  </si>
  <si>
    <t>COMMUNICATION WIRES</t>
  </si>
  <si>
    <t>POLYCAB / VARSHA / SHAKTICAB/ FINECORE / FINOLEX</t>
  </si>
  <si>
    <t>M S CONDUITS</t>
  </si>
  <si>
    <t>BHARATH / GB / PRINCE</t>
  </si>
  <si>
    <t>PVC CONDUITS</t>
  </si>
  <si>
    <t>VIP / PRECISION / NELCO</t>
  </si>
  <si>
    <t xml:space="preserve">P.A. SPEAKERS </t>
  </si>
  <si>
    <t>BOSCH / HONEYWELL / HEINRICH</t>
  </si>
  <si>
    <t>P.A. AMPLIFIERS</t>
  </si>
  <si>
    <t>P.A.CONSOLE (two way talk back)</t>
  </si>
  <si>
    <t>Electrical Package</t>
  </si>
  <si>
    <t>Fire Package</t>
  </si>
  <si>
    <t>Grand Total (Excluding taxes)</t>
  </si>
  <si>
    <t>Consolidated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</si>
</sst>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 #,##0.00_ ;_ * \-#,##0.00_ ;_ * &quot;-&quot;??_ ;_ @_ "/>
    <numFmt numFmtId="164" formatCode="_(&quot;$&quot;* #,##0.00_);_(&quot;$&quot;* \(#,##0.00\);_(&quot;$&quot;* &quot;-&quot;??_);_(@_)"/>
    <numFmt numFmtId="165" formatCode="_(* #,##0.00_);_(* \(#,##0.00\);_(* &quot;-&quot;??_);_(@_)"/>
    <numFmt numFmtId="166" formatCode="_-* #,##0.00_-;\-* #,##0.00_-;_-* &quot;-&quot;??_-;_-@_-"/>
    <numFmt numFmtId="167" formatCode="#,##0;[Red]#,##0"/>
    <numFmt numFmtId="168" formatCode="0.0"/>
    <numFmt numFmtId="169" formatCode="0_)"/>
    <numFmt numFmtId="170" formatCode="_(* #,##0_);_(* \(#,##0\);_(* &quot;-&quot;??_);_(@_)"/>
    <numFmt numFmtId="171" formatCode="0.0_)"/>
    <numFmt numFmtId="172" formatCode="_-* #,##0.00_-;_-* #,##0.00\-;_-* &quot;-&quot;??_-;_-@_-"/>
    <numFmt numFmtId="173" formatCode="_(&quot;Rs.&quot;* #,##0_);_(&quot;Rs.&quot;* \(#,##0\);_(&quot;Rs.&quot;* &quot;-&quot;_);_(@_)"/>
    <numFmt numFmtId="174" formatCode="#,##0.00&quot; &quot;;[Red]&quot;(&quot;#,##0.00&quot;)&quot;"/>
    <numFmt numFmtId="175" formatCode="* #,##0.00\ ;* \(#,##0.00\);* \-#\ ;@\ "/>
    <numFmt numFmtId="176" formatCode="_(* #,##0.00_);_(* \(#,##0.00\);_(* \-??_);_(@_)"/>
    <numFmt numFmtId="177" formatCode="#,##0.0"/>
    <numFmt numFmtId="178" formatCode="_(* #,##0_);_(* \(#,##0\);_(* \-??_);_(@_)"/>
    <numFmt numFmtId="179" formatCode="#,##0.00_ ;\-#,##0.00\ "/>
    <numFmt numFmtId="180" formatCode="_ * #,##0_ ;_ * \-#,##0_ ;_ * &quot;-&quot;??_ ;_ @_ "/>
  </numFmts>
  <fonts count="43">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b/>
      <sz val="11"/>
      <name val="Calibri"/>
      <family val="2"/>
      <scheme val="minor"/>
    </font>
    <font>
      <sz val="11"/>
      <name val="Calibri"/>
      <family val="2"/>
      <scheme val="minor"/>
    </font>
    <font>
      <sz val="10"/>
      <name val="Helv"/>
      <charset val="204"/>
    </font>
    <font>
      <i/>
      <sz val="11"/>
      <name val="Calibri"/>
      <family val="2"/>
      <scheme val="minor"/>
    </font>
    <font>
      <sz val="10"/>
      <name val="Courier"/>
      <family val="3"/>
    </font>
    <font>
      <b/>
      <i/>
      <u/>
      <sz val="11"/>
      <name val="Calibri"/>
      <family val="2"/>
      <scheme val="minor"/>
    </font>
    <font>
      <sz val="11"/>
      <color indexed="8"/>
      <name val="Calibri"/>
      <family val="2"/>
      <charset val="1"/>
    </font>
    <font>
      <sz val="10"/>
      <color theme="1"/>
      <name val="Arial1"/>
    </font>
    <font>
      <b/>
      <u/>
      <sz val="11"/>
      <name val="Calibri"/>
      <family val="2"/>
      <scheme val="minor"/>
    </font>
    <font>
      <sz val="11"/>
      <color indexed="8"/>
      <name val="Calibri"/>
      <family val="2"/>
    </font>
    <font>
      <sz val="10"/>
      <name val="Helv"/>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8"/>
      <name val="Calibri"/>
      <family val="2"/>
      <scheme val="minor"/>
    </font>
    <font>
      <b/>
      <sz val="11"/>
      <color indexed="8"/>
      <name val="Calibri"/>
      <family val="2"/>
      <scheme val="minor"/>
    </font>
    <font>
      <sz val="10"/>
      <name val="Arial"/>
      <family val="2"/>
      <charset val="204"/>
    </font>
    <font>
      <sz val="8"/>
      <name val="Calibri"/>
      <family val="2"/>
      <scheme val="minor"/>
    </font>
    <font>
      <sz val="10"/>
      <name val="Arial Narrow"/>
      <family val="2"/>
    </font>
    <font>
      <b/>
      <sz val="11"/>
      <color theme="1"/>
      <name val="Calibri"/>
      <family val="2"/>
      <scheme val="minor"/>
    </font>
    <font>
      <sz val="11"/>
      <color theme="1"/>
      <name val="Calibri"/>
      <family val="2"/>
    </font>
    <font>
      <b/>
      <sz val="11"/>
      <color theme="1"/>
      <name val="Calibri"/>
      <family val="2"/>
    </font>
    <font>
      <b/>
      <u/>
      <sz val="11"/>
      <color theme="1"/>
      <name val="Calibri"/>
      <family val="2"/>
    </font>
    <font>
      <sz val="12"/>
      <color indexed="8"/>
      <name val="Calibri"/>
      <family val="2"/>
      <scheme val="minor"/>
    </font>
    <font>
      <b/>
      <u/>
      <sz val="11"/>
      <color theme="1"/>
      <name val="Calibri"/>
      <family val="2"/>
      <scheme val="minor"/>
    </font>
    <font>
      <i/>
      <sz val="11"/>
      <color theme="1"/>
      <name val="Calibri"/>
      <family val="2"/>
      <scheme val="minor"/>
    </font>
  </fonts>
  <fills count="33">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9"/>
        <bgColor indexed="26"/>
      </patternFill>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0"/>
        <bgColor indexed="26"/>
      </patternFill>
    </fill>
    <fill>
      <patternFill patternType="solid">
        <fgColor theme="4" tint="0.79998168889431442"/>
        <bgColor indexed="64"/>
      </patternFill>
    </fill>
  </fills>
  <borders count="94">
    <border>
      <left/>
      <right/>
      <top/>
      <bottom/>
      <diagonal/>
    </border>
    <border>
      <left style="thin">
        <color indexed="64"/>
      </left>
      <right style="thin">
        <color indexed="64"/>
      </right>
      <top style="thin">
        <color indexed="64"/>
      </top>
      <bottom style="hair">
        <color theme="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hair">
        <color theme="1"/>
      </top>
      <bottom style="hair">
        <color theme="1"/>
      </bottom>
      <diagonal/>
    </border>
    <border>
      <left/>
      <right style="thin">
        <color indexed="64"/>
      </right>
      <top/>
      <bottom style="hair">
        <color theme="1"/>
      </bottom>
      <diagonal/>
    </border>
    <border>
      <left style="thin">
        <color indexed="64"/>
      </left>
      <right style="thin">
        <color indexed="64"/>
      </right>
      <top/>
      <bottom style="hair">
        <color theme="1"/>
      </bottom>
      <diagonal/>
    </border>
    <border>
      <left style="thin">
        <color indexed="64"/>
      </left>
      <right style="thin">
        <color indexed="64"/>
      </right>
      <top style="hair">
        <color theme="1"/>
      </top>
      <bottom/>
      <diagonal/>
    </border>
    <border>
      <left/>
      <right style="thin">
        <color indexed="64"/>
      </right>
      <top style="hair">
        <color them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theme="1"/>
      </top>
      <bottom style="hair">
        <color theme="1"/>
      </bottom>
      <diagonal/>
    </border>
    <border>
      <left style="thin">
        <color indexed="64"/>
      </left>
      <right style="thin">
        <color indexed="64"/>
      </right>
      <top/>
      <bottom/>
      <diagonal/>
    </border>
    <border>
      <left/>
      <right style="thin">
        <color indexed="64"/>
      </right>
      <top/>
      <bottom/>
      <diagonal/>
    </border>
    <border>
      <left style="hair">
        <color theme="1" tint="0.499984740745262"/>
      </left>
      <right style="hair">
        <color theme="1" tint="0.499984740745262"/>
      </right>
      <top style="hair">
        <color theme="1" tint="0.499984740745262"/>
      </top>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theme="1" tint="0.499984740745262"/>
      </right>
      <top style="thin">
        <color indexed="64"/>
      </top>
      <bottom style="hair">
        <color theme="1" tint="0.499984740745262"/>
      </bottom>
      <diagonal/>
    </border>
    <border>
      <left style="thin">
        <color indexed="64"/>
      </left>
      <right style="hair">
        <color theme="1" tint="0.499984740745262"/>
      </right>
      <top style="hair">
        <color theme="1" tint="0.499984740745262"/>
      </top>
      <bottom style="hair">
        <color theme="1" tint="0.499984740745262"/>
      </bottom>
      <diagonal/>
    </border>
    <border>
      <left style="hair">
        <color theme="1" tint="0.499984740745262"/>
      </left>
      <right style="thin">
        <color indexed="64"/>
      </right>
      <top style="hair">
        <color theme="1" tint="0.499984740745262"/>
      </top>
      <bottom/>
      <diagonal/>
    </border>
    <border>
      <left style="thin">
        <color indexed="64"/>
      </left>
      <right style="hair">
        <color theme="1" tint="0.499984740745262"/>
      </right>
      <top style="hair">
        <color theme="1" tint="0.499984740745262"/>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theme="1" tint="0.499984740745262"/>
      </left>
      <right/>
      <top style="hair">
        <color theme="1" tint="0.499984740745262"/>
      </top>
      <bottom style="hair">
        <color indexed="64"/>
      </bottom>
      <diagonal/>
    </border>
    <border>
      <left/>
      <right/>
      <top style="hair">
        <color theme="1" tint="0.499984740745262"/>
      </top>
      <bottom style="hair">
        <color indexed="64"/>
      </bottom>
      <diagonal/>
    </border>
    <border>
      <left/>
      <right style="thin">
        <color indexed="64"/>
      </right>
      <top style="hair">
        <color theme="1" tint="0.499984740745262"/>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theme="1" tint="0.499984740745262"/>
      </left>
      <right style="thin">
        <color indexed="64"/>
      </right>
      <top style="hair">
        <color theme="1" tint="0.499984740745262"/>
      </top>
      <bottom style="hair">
        <color theme="1" tint="0.4999847407452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hair">
        <color indexed="8"/>
      </top>
      <bottom style="hair">
        <color indexed="8"/>
      </bottom>
      <diagonal/>
    </border>
    <border>
      <left style="hair">
        <color theme="1" tint="0.499984740745262"/>
      </left>
      <right/>
      <top style="thin">
        <color indexed="64"/>
      </top>
      <bottom style="hair">
        <color theme="1" tint="0.499984740745262"/>
      </bottom>
      <diagonal/>
    </border>
    <border>
      <left/>
      <right/>
      <top style="thin">
        <color indexed="64"/>
      </top>
      <bottom style="hair">
        <color theme="1" tint="0.499984740745262"/>
      </bottom>
      <diagonal/>
    </border>
    <border>
      <left/>
      <right style="thin">
        <color indexed="64"/>
      </right>
      <top style="thin">
        <color indexed="64"/>
      </top>
      <bottom style="hair">
        <color theme="1" tint="0.499984740745262"/>
      </bottom>
      <diagonal/>
    </border>
    <border>
      <left style="thin">
        <color indexed="64"/>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style="double">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hair">
        <color theme="1"/>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theme="1"/>
      </right>
      <top/>
      <bottom/>
      <diagonal/>
    </border>
    <border>
      <left/>
      <right style="medium">
        <color indexed="64"/>
      </right>
      <top/>
      <bottom style="thin">
        <color indexed="64"/>
      </bottom>
      <diagonal/>
    </border>
    <border>
      <left style="medium">
        <color indexed="64"/>
      </left>
      <right style="thin">
        <color indexed="64"/>
      </right>
      <top style="thin">
        <color indexed="64"/>
      </top>
      <bottom style="hair">
        <color theme="1"/>
      </bottom>
      <diagonal/>
    </border>
    <border>
      <left style="thin">
        <color indexed="64"/>
      </left>
      <right style="medium">
        <color indexed="64"/>
      </right>
      <top style="thin">
        <color indexed="64"/>
      </top>
      <bottom/>
      <diagonal/>
    </border>
    <border>
      <left style="medium">
        <color indexed="64"/>
      </left>
      <right style="thin">
        <color indexed="64"/>
      </right>
      <top style="hair">
        <color theme="1"/>
      </top>
      <bottom style="hair">
        <color theme="1"/>
      </bottom>
      <diagonal/>
    </border>
    <border>
      <left style="thin">
        <color indexed="64"/>
      </left>
      <right style="medium">
        <color indexed="64"/>
      </right>
      <top/>
      <bottom style="hair">
        <color theme="1"/>
      </bottom>
      <diagonal/>
    </border>
    <border>
      <left style="medium">
        <color indexed="64"/>
      </left>
      <right style="thin">
        <color indexed="64"/>
      </right>
      <top style="hair">
        <color theme="1"/>
      </top>
      <bottom/>
      <diagonal/>
    </border>
    <border>
      <left style="thin">
        <color indexed="64"/>
      </left>
      <right style="medium">
        <color indexed="64"/>
      </right>
      <top style="hair">
        <color theme="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theme="1"/>
      </bottom>
      <diagonal/>
    </border>
    <border>
      <left style="thin">
        <color indexed="64"/>
      </left>
      <right style="medium">
        <color indexed="64"/>
      </right>
      <top style="hair">
        <color theme="1"/>
      </top>
      <bottom style="hair">
        <color theme="1"/>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hair">
        <color indexed="64"/>
      </top>
      <bottom/>
      <diagonal/>
    </border>
    <border>
      <left/>
      <right/>
      <top style="hair">
        <color indexed="64"/>
      </top>
      <bottom/>
      <diagonal/>
    </border>
    <border>
      <left style="hair">
        <color theme="1" tint="0.499984740745262"/>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theme="1"/>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hair">
        <color indexed="64"/>
      </bottom>
      <diagonal/>
    </border>
    <border>
      <left style="thin">
        <color indexed="64"/>
      </left>
      <right/>
      <top style="hair">
        <color indexed="64"/>
      </top>
      <bottom/>
      <diagonal/>
    </border>
    <border>
      <left style="double">
        <color indexed="64"/>
      </left>
      <right style="double">
        <color indexed="64"/>
      </right>
      <top/>
      <bottom/>
      <diagonal/>
    </border>
  </borders>
  <cellStyleXfs count="131">
    <xf numFmtId="0" fontId="0" fillId="0" borderId="0"/>
    <xf numFmtId="43" fontId="1" fillId="0" borderId="0" applyFont="0" applyFill="0" applyBorder="0" applyAlignment="0" applyProtection="0"/>
    <xf numFmtId="0" fontId="3" fillId="0" borderId="0"/>
    <xf numFmtId="0" fontId="3" fillId="0" borderId="0"/>
    <xf numFmtId="0" fontId="6" fillId="0" borderId="0"/>
    <xf numFmtId="165" fontId="3" fillId="0" borderId="0" applyFont="0" applyFill="0" applyBorder="0" applyAlignment="0" applyProtection="0"/>
    <xf numFmtId="0" fontId="6" fillId="0" borderId="0"/>
    <xf numFmtId="0" fontId="3" fillId="0" borderId="0"/>
    <xf numFmtId="0" fontId="3" fillId="0" borderId="0"/>
    <xf numFmtId="0" fontId="3" fillId="0" borderId="0"/>
    <xf numFmtId="169" fontId="8" fillId="0" borderId="0"/>
    <xf numFmtId="0" fontId="3" fillId="0" borderId="0"/>
    <xf numFmtId="0" fontId="6" fillId="0" borderId="0"/>
    <xf numFmtId="0" fontId="6"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2"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2"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3" fontId="3" fillId="0" borderId="0" applyFont="0" applyFill="0" applyBorder="0" applyAlignment="0" applyProtection="0"/>
    <xf numFmtId="0" fontId="10" fillId="0" borderId="0"/>
    <xf numFmtId="174"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6" fillId="0" borderId="0"/>
    <xf numFmtId="0" fontId="6" fillId="0" borderId="0"/>
    <xf numFmtId="0" fontId="3" fillId="0" borderId="0"/>
    <xf numFmtId="0" fontId="3" fillId="0" borderId="0"/>
    <xf numFmtId="0" fontId="3" fillId="0" borderId="0"/>
    <xf numFmtId="0" fontId="3" fillId="0" borderId="0"/>
    <xf numFmtId="0" fontId="6" fillId="0" borderId="0"/>
    <xf numFmtId="0" fontId="13" fillId="5"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4" borderId="0" applyNumberFormat="0" applyBorder="0" applyAlignment="0" applyProtection="0"/>
    <xf numFmtId="0" fontId="13" fillId="6"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6" borderId="0" applyNumberFormat="0" applyBorder="0" applyAlignment="0" applyProtection="0"/>
    <xf numFmtId="0" fontId="15" fillId="17" borderId="0" applyNumberFormat="0" applyBorder="0" applyAlignment="0" applyProtection="0"/>
    <xf numFmtId="0" fontId="15" fillId="12"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4" borderId="0" applyNumberFormat="0" applyBorder="0" applyAlignment="0" applyProtection="0"/>
    <xf numFmtId="0" fontId="15" fillId="20"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6" fillId="7" borderId="0" applyNumberFormat="0" applyBorder="0" applyAlignment="0" applyProtection="0"/>
    <xf numFmtId="0" fontId="17" fillId="13" borderId="31" applyNumberFormat="0" applyAlignment="0" applyProtection="0"/>
    <xf numFmtId="0" fontId="18" fillId="25" borderId="32" applyNumberFormat="0" applyAlignment="0" applyProtection="0"/>
    <xf numFmtId="175" fontId="3" fillId="0" borderId="0" applyFill="0" applyBorder="0" applyAlignment="0" applyProtection="0"/>
    <xf numFmtId="175"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70" fontId="3" fillId="0" borderId="0" applyFont="0" applyFill="0" applyBorder="0" applyAlignment="0" applyProtection="0"/>
    <xf numFmtId="175" fontId="3" fillId="0" borderId="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1" fillId="0" borderId="0" applyFont="0" applyFill="0" applyBorder="0" applyAlignment="0" applyProtection="0"/>
    <xf numFmtId="175" fontId="3" fillId="0" borderId="0" applyFill="0" applyBorder="0" applyAlignment="0" applyProtection="0"/>
    <xf numFmtId="166" fontId="13" fillId="0" borderId="0" applyFont="0" applyFill="0" applyBorder="0" applyAlignment="0" applyProtection="0"/>
    <xf numFmtId="166" fontId="3" fillId="0" borderId="0" applyFont="0" applyFill="0" applyBorder="0" applyAlignment="0" applyProtection="0"/>
    <xf numFmtId="175" fontId="3" fillId="0" borderId="0" applyFill="0" applyBorder="0" applyAlignment="0" applyProtection="0"/>
    <xf numFmtId="43" fontId="3" fillId="0" borderId="0" applyFont="0" applyFill="0" applyBorder="0" applyAlignment="0" applyProtection="0"/>
    <xf numFmtId="164" fontId="13" fillId="0" borderId="0" applyFont="0" applyFill="0" applyBorder="0" applyAlignment="0" applyProtection="0"/>
    <xf numFmtId="0" fontId="19" fillId="0" borderId="0" applyNumberFormat="0" applyFill="0" applyBorder="0" applyAlignment="0" applyProtection="0"/>
    <xf numFmtId="0" fontId="20" fillId="8" borderId="0" applyNumberFormat="0" applyBorder="0" applyAlignment="0" applyProtection="0"/>
    <xf numFmtId="0" fontId="27" fillId="0" borderId="33" applyNumberFormat="0" applyFill="0" applyAlignment="0" applyProtection="0"/>
    <xf numFmtId="0" fontId="28" fillId="0" borderId="34" applyNumberFormat="0" applyFill="0" applyAlignment="0" applyProtection="0"/>
    <xf numFmtId="0" fontId="29" fillId="0" borderId="35" applyNumberFormat="0" applyFill="0" applyAlignment="0" applyProtection="0"/>
    <xf numFmtId="0" fontId="29" fillId="0" borderId="0" applyNumberFormat="0" applyFill="0" applyBorder="0" applyAlignment="0" applyProtection="0"/>
    <xf numFmtId="0" fontId="21" fillId="6" borderId="31" applyNumberFormat="0" applyAlignment="0" applyProtection="0"/>
    <xf numFmtId="0" fontId="22" fillId="0" borderId="36" applyNumberFormat="0" applyFill="0" applyAlignment="0" applyProtection="0"/>
    <xf numFmtId="0" fontId="23" fillId="15" borderId="0" applyNumberFormat="0" applyBorder="0" applyAlignment="0" applyProtection="0"/>
    <xf numFmtId="0" fontId="3" fillId="0" borderId="0"/>
    <xf numFmtId="0" fontId="13" fillId="0" borderId="0"/>
    <xf numFmtId="0" fontId="3" fillId="0" borderId="0"/>
    <xf numFmtId="0" fontId="8" fillId="0" borderId="0"/>
    <xf numFmtId="0" fontId="1" fillId="0" borderId="0"/>
    <xf numFmtId="0" fontId="13" fillId="0" borderId="0"/>
    <xf numFmtId="0" fontId="1" fillId="0" borderId="0"/>
    <xf numFmtId="0" fontId="14" fillId="0" borderId="0"/>
    <xf numFmtId="0" fontId="3" fillId="0" borderId="0"/>
    <xf numFmtId="0" fontId="3" fillId="9" borderId="37" applyNumberFormat="0" applyFont="0" applyAlignment="0" applyProtection="0"/>
    <xf numFmtId="0" fontId="24" fillId="13" borderId="38" applyNumberFormat="0" applyAlignment="0" applyProtection="0"/>
    <xf numFmtId="0" fontId="3" fillId="0" borderId="0"/>
    <xf numFmtId="0" fontId="6" fillId="0" borderId="0"/>
    <xf numFmtId="0" fontId="30" fillId="0" borderId="0" applyNumberFormat="0" applyFill="0" applyBorder="0" applyAlignment="0" applyProtection="0"/>
    <xf numFmtId="0" fontId="25" fillId="0" borderId="39" applyNumberFormat="0" applyFill="0" applyAlignment="0" applyProtection="0"/>
    <xf numFmtId="0" fontId="26" fillId="0" borderId="0" applyNumberFormat="0" applyFill="0" applyBorder="0" applyAlignment="0" applyProtection="0"/>
    <xf numFmtId="0" fontId="33" fillId="0" borderId="0"/>
    <xf numFmtId="0" fontId="35" fillId="0" borderId="0"/>
    <xf numFmtId="37" fontId="3" fillId="0" borderId="0"/>
    <xf numFmtId="0" fontId="37" fillId="0" borderId="0"/>
    <xf numFmtId="43" fontId="37" fillId="0" borderId="0" applyFont="0" applyFill="0" applyBorder="0" applyAlignment="0" applyProtection="0"/>
    <xf numFmtId="166" fontId="3" fillId="0" borderId="0" applyFont="0" applyFill="0" applyBorder="0" applyAlignment="0" applyProtection="0"/>
    <xf numFmtId="0" fontId="33" fillId="0" borderId="0"/>
    <xf numFmtId="0" fontId="1" fillId="0" borderId="0"/>
  </cellStyleXfs>
  <cellXfs count="623">
    <xf numFmtId="0" fontId="0" fillId="0" borderId="0" xfId="0"/>
    <xf numFmtId="0" fontId="5" fillId="2" borderId="16" xfId="49" applyFont="1" applyFill="1" applyBorder="1" applyAlignment="1">
      <alignment horizontal="center" vertical="center" wrapText="1"/>
    </xf>
    <xf numFmtId="2" fontId="5" fillId="2" borderId="16" xfId="49" applyNumberFormat="1" applyFont="1" applyFill="1" applyBorder="1" applyAlignment="1">
      <alignment horizontal="left" vertical="center" wrapText="1"/>
    </xf>
    <xf numFmtId="0" fontId="5" fillId="0" borderId="16" xfId="0" applyFont="1" applyBorder="1" applyAlignment="1">
      <alignment horizontal="left" vertical="center" wrapText="1"/>
    </xf>
    <xf numFmtId="0" fontId="4" fillId="0" borderId="19" xfId="2" applyFont="1" applyBorder="1" applyAlignment="1">
      <alignment vertical="center" wrapText="1"/>
    </xf>
    <xf numFmtId="0" fontId="4" fillId="0" borderId="21" xfId="2" applyFont="1" applyBorder="1" applyAlignment="1">
      <alignment vertical="center" wrapText="1"/>
    </xf>
    <xf numFmtId="43" fontId="5" fillId="0" borderId="17" xfId="1" applyFont="1" applyFill="1" applyBorder="1" applyAlignment="1">
      <alignment vertical="center" wrapText="1"/>
    </xf>
    <xf numFmtId="0" fontId="4" fillId="0" borderId="7" xfId="4" applyFont="1" applyBorder="1" applyAlignment="1">
      <alignment horizontal="center" vertical="center" wrapText="1"/>
    </xf>
    <xf numFmtId="14" fontId="4" fillId="0" borderId="7" xfId="4" applyNumberFormat="1" applyFont="1" applyBorder="1" applyAlignment="1">
      <alignment horizontal="center" vertical="center" wrapText="1"/>
    </xf>
    <xf numFmtId="167" fontId="4" fillId="0" borderId="8" xfId="4" applyNumberFormat="1" applyFont="1" applyBorder="1" applyAlignment="1">
      <alignment horizontal="center" vertical="center" wrapText="1"/>
    </xf>
    <xf numFmtId="165" fontId="4" fillId="0" borderId="7" xfId="5" applyFont="1" applyFill="1" applyBorder="1" applyAlignment="1">
      <alignment horizontal="right" vertical="center" wrapText="1"/>
    </xf>
    <xf numFmtId="0" fontId="4" fillId="0" borderId="6" xfId="6" applyFont="1" applyBorder="1" applyAlignment="1">
      <alignment vertical="center" wrapText="1"/>
    </xf>
    <xf numFmtId="14" fontId="5" fillId="0" borderId="6" xfId="4" applyNumberFormat="1" applyFont="1" applyBorder="1" applyAlignment="1">
      <alignment horizontal="center" vertical="center" wrapText="1"/>
    </xf>
    <xf numFmtId="167" fontId="5" fillId="0" borderId="5" xfId="4" applyNumberFormat="1" applyFont="1" applyBorder="1" applyAlignment="1">
      <alignment horizontal="center" vertical="center" wrapText="1"/>
    </xf>
    <xf numFmtId="165" fontId="5" fillId="0" borderId="6" xfId="5" applyFont="1" applyFill="1" applyBorder="1" applyAlignment="1">
      <alignment horizontal="right" vertical="center" wrapText="1"/>
    </xf>
    <xf numFmtId="0" fontId="5" fillId="0" borderId="4" xfId="6" applyFont="1" applyBorder="1" applyAlignment="1">
      <alignment vertical="center" wrapText="1"/>
    </xf>
    <xf numFmtId="14" fontId="5" fillId="0" borderId="4" xfId="4" applyNumberFormat="1" applyFont="1" applyBorder="1" applyAlignment="1">
      <alignment horizontal="center" vertical="center" wrapText="1"/>
    </xf>
    <xf numFmtId="167" fontId="5" fillId="0" borderId="11" xfId="4" applyNumberFormat="1" applyFont="1" applyBorder="1" applyAlignment="1">
      <alignment horizontal="center" vertical="center" wrapText="1"/>
    </xf>
    <xf numFmtId="165" fontId="5" fillId="0" borderId="4" xfId="5" applyFont="1" applyFill="1" applyBorder="1" applyAlignment="1">
      <alignment horizontal="right" vertical="center" wrapText="1"/>
    </xf>
    <xf numFmtId="0" fontId="4" fillId="0" borderId="4" xfId="7" quotePrefix="1" applyFont="1" applyBorder="1" applyAlignment="1">
      <alignment horizontal="left" vertical="center" wrapText="1"/>
    </xf>
    <xf numFmtId="0" fontId="5" fillId="0" borderId="4" xfId="7" applyFont="1" applyBorder="1" applyAlignment="1">
      <alignment horizontal="justify" vertical="center" wrapText="1"/>
    </xf>
    <xf numFmtId="0" fontId="5" fillId="0" borderId="4" xfId="7" quotePrefix="1" applyFont="1" applyBorder="1" applyAlignment="1">
      <alignment horizontal="left" vertical="center" wrapText="1"/>
    </xf>
    <xf numFmtId="0" fontId="5" fillId="0" borderId="4" xfId="6" quotePrefix="1" applyFont="1" applyBorder="1" applyAlignment="1">
      <alignment horizontal="left" vertical="center" wrapText="1"/>
    </xf>
    <xf numFmtId="0" fontId="5" fillId="0" borderId="4" xfId="6" applyFont="1" applyBorder="1" applyAlignment="1">
      <alignment horizontal="justify" vertical="center" wrapText="1"/>
    </xf>
    <xf numFmtId="0" fontId="5" fillId="0" borderId="4" xfId="6" applyFont="1" applyBorder="1" applyAlignment="1">
      <alignment horizontal="center" vertical="center" wrapText="1"/>
    </xf>
    <xf numFmtId="167" fontId="5" fillId="0" borderId="4" xfId="4" applyNumberFormat="1" applyFont="1" applyBorder="1" applyAlignment="1">
      <alignment horizontal="center" vertical="center" wrapText="1"/>
    </xf>
    <xf numFmtId="1" fontId="5" fillId="0" borderId="11" xfId="4" applyNumberFormat="1" applyFont="1" applyBorder="1" applyAlignment="1">
      <alignment horizontal="center" vertical="center" wrapText="1"/>
    </xf>
    <xf numFmtId="0" fontId="5" fillId="0" borderId="4" xfId="6" applyFont="1" applyBorder="1" applyAlignment="1">
      <alignment horizontal="left" vertical="center" wrapText="1"/>
    </xf>
    <xf numFmtId="0" fontId="4" fillId="0" borderId="4" xfId="6" applyFont="1" applyBorder="1" applyAlignment="1">
      <alignment horizontal="justify" vertical="center" wrapText="1"/>
    </xf>
    <xf numFmtId="0" fontId="5" fillId="0" borderId="7" xfId="6" applyFont="1" applyBorder="1" applyAlignment="1">
      <alignment horizontal="left" vertical="center" wrapText="1"/>
    </xf>
    <xf numFmtId="14" fontId="5" fillId="0" borderId="7" xfId="4" applyNumberFormat="1" applyFont="1" applyBorder="1" applyAlignment="1">
      <alignment horizontal="center" vertical="center" wrapText="1"/>
    </xf>
    <xf numFmtId="167" fontId="5" fillId="0" borderId="8" xfId="4" applyNumberFormat="1" applyFont="1" applyBorder="1" applyAlignment="1">
      <alignment horizontal="center" vertical="center" wrapText="1"/>
    </xf>
    <xf numFmtId="0" fontId="4" fillId="0" borderId="12" xfId="6" applyFont="1" applyBorder="1" applyAlignment="1">
      <alignment horizontal="justify" vertical="center" wrapText="1"/>
    </xf>
    <xf numFmtId="14" fontId="5" fillId="0" borderId="12" xfId="4" applyNumberFormat="1" applyFont="1" applyBorder="1" applyAlignment="1">
      <alignment horizontal="center" vertical="center" wrapText="1"/>
    </xf>
    <xf numFmtId="167" fontId="5" fillId="0" borderId="13" xfId="4" applyNumberFormat="1" applyFont="1" applyBorder="1" applyAlignment="1">
      <alignment horizontal="center" vertical="center" wrapText="1"/>
    </xf>
    <xf numFmtId="165" fontId="5" fillId="0" borderId="12" xfId="5" applyFont="1" applyFill="1" applyBorder="1" applyAlignment="1">
      <alignment horizontal="right" vertical="center" wrapText="1"/>
    </xf>
    <xf numFmtId="0" fontId="5" fillId="0" borderId="6" xfId="6" applyFont="1" applyBorder="1" applyAlignment="1">
      <alignment horizontal="justify" vertical="center" wrapText="1"/>
    </xf>
    <xf numFmtId="0" fontId="4" fillId="0" borderId="4" xfId="0" quotePrefix="1" applyFont="1" applyBorder="1" applyAlignment="1">
      <alignment horizontal="justify" vertical="center" wrapText="1"/>
    </xf>
    <xf numFmtId="0" fontId="5" fillId="0" borderId="4" xfId="0" quotePrefix="1" applyFont="1" applyBorder="1" applyAlignment="1">
      <alignment horizontal="left" vertical="center" wrapText="1"/>
    </xf>
    <xf numFmtId="0" fontId="7" fillId="0" borderId="4" xfId="6" applyFont="1" applyBorder="1" applyAlignment="1">
      <alignment horizontal="left" vertical="center" wrapText="1"/>
    </xf>
    <xf numFmtId="0" fontId="4" fillId="0" borderId="4" xfId="0" quotePrefix="1" applyFont="1" applyBorder="1" applyAlignment="1">
      <alignment horizontal="left" vertical="center" wrapText="1"/>
    </xf>
    <xf numFmtId="0" fontId="5" fillId="0" borderId="4" xfId="0" applyFont="1" applyBorder="1" applyAlignment="1">
      <alignment horizontal="center" vertical="center" wrapText="1"/>
    </xf>
    <xf numFmtId="0" fontId="4" fillId="0" borderId="4" xfId="6" applyFont="1" applyBorder="1" applyAlignment="1">
      <alignment vertical="center" wrapText="1"/>
    </xf>
    <xf numFmtId="0" fontId="5" fillId="0" borderId="12" xfId="6" applyFont="1" applyBorder="1" applyAlignment="1">
      <alignment horizontal="left" vertical="center" wrapText="1"/>
    </xf>
    <xf numFmtId="2" fontId="5" fillId="0" borderId="4" xfId="8" applyNumberFormat="1" applyFont="1" applyBorder="1" applyAlignment="1">
      <alignment horizontal="justify" vertical="center" wrapText="1"/>
    </xf>
    <xf numFmtId="2" fontId="5" fillId="0" borderId="4" xfId="8" quotePrefix="1" applyNumberFormat="1" applyFont="1" applyBorder="1" applyAlignment="1">
      <alignment horizontal="left" vertical="center" wrapText="1"/>
    </xf>
    <xf numFmtId="2" fontId="5" fillId="0" borderId="7" xfId="8" quotePrefix="1" applyNumberFormat="1" applyFont="1" applyBorder="1" applyAlignment="1">
      <alignment horizontal="left" vertical="center" wrapText="1"/>
    </xf>
    <xf numFmtId="2" fontId="5" fillId="0" borderId="6" xfId="8" applyNumberFormat="1" applyFont="1" applyBorder="1" applyAlignment="1">
      <alignment horizontal="justify" vertical="center" wrapText="1"/>
    </xf>
    <xf numFmtId="2" fontId="4" fillId="0" borderId="4" xfId="8" applyNumberFormat="1" applyFont="1" applyBorder="1" applyAlignment="1">
      <alignment horizontal="justify" vertical="center" wrapText="1"/>
    </xf>
    <xf numFmtId="0" fontId="5" fillId="0" borderId="4" xfId="9" applyFont="1" applyBorder="1" applyAlignment="1">
      <alignment vertical="center" wrapText="1"/>
    </xf>
    <xf numFmtId="49" fontId="5" fillId="0" borderId="4" xfId="8" applyNumberFormat="1" applyFont="1" applyBorder="1" applyAlignment="1">
      <alignment vertical="center" wrapText="1"/>
    </xf>
    <xf numFmtId="0" fontId="5" fillId="0" borderId="6" xfId="0" quotePrefix="1" applyFont="1" applyBorder="1" applyAlignment="1">
      <alignment horizontal="left"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4" xfId="0" quotePrefix="1" applyFont="1" applyBorder="1" applyAlignment="1">
      <alignment horizontal="justify" vertical="center" wrapText="1"/>
    </xf>
    <xf numFmtId="1" fontId="5" fillId="0" borderId="4" xfId="5" applyNumberFormat="1" applyFont="1" applyFill="1" applyBorder="1" applyAlignment="1">
      <alignment horizontal="left" vertical="center" wrapText="1"/>
    </xf>
    <xf numFmtId="14" fontId="5" fillId="0" borderId="4" xfId="4" quotePrefix="1" applyNumberFormat="1" applyFont="1" applyBorder="1" applyAlignment="1">
      <alignment horizontal="center" vertical="center" wrapText="1"/>
    </xf>
    <xf numFmtId="0" fontId="5" fillId="0" borderId="12" xfId="9" applyFont="1" applyBorder="1" applyAlignment="1">
      <alignment horizontal="left" vertical="center" wrapText="1"/>
    </xf>
    <xf numFmtId="0" fontId="5" fillId="0" borderId="4" xfId="6" quotePrefix="1" applyFont="1" applyBorder="1" applyAlignment="1">
      <alignment horizontal="justify" vertical="center" wrapText="1"/>
    </xf>
    <xf numFmtId="169" fontId="4" fillId="0" borderId="4" xfId="10" applyFont="1" applyBorder="1" applyAlignment="1">
      <alignment horizontal="left" vertical="center" wrapText="1"/>
    </xf>
    <xf numFmtId="169" fontId="5" fillId="0" borderId="4" xfId="10" applyFont="1" applyBorder="1" applyAlignment="1">
      <alignment vertical="center" wrapText="1"/>
    </xf>
    <xf numFmtId="170" fontId="5" fillId="0" borderId="4" xfId="5" applyNumberFormat="1" applyFont="1" applyFill="1" applyBorder="1" applyAlignment="1">
      <alignment horizontal="center" vertical="center" wrapText="1"/>
    </xf>
    <xf numFmtId="0" fontId="5" fillId="0" borderId="7" xfId="9" applyFont="1" applyBorder="1" applyAlignment="1">
      <alignment horizontal="right" vertical="center" wrapText="1"/>
    </xf>
    <xf numFmtId="170" fontId="5" fillId="0" borderId="7" xfId="5" applyNumberFormat="1" applyFont="1" applyFill="1" applyBorder="1" applyAlignment="1">
      <alignment horizontal="center" vertical="center" wrapText="1"/>
    </xf>
    <xf numFmtId="169" fontId="4" fillId="0" borderId="12" xfId="10" applyFont="1" applyBorder="1" applyAlignment="1">
      <alignment vertical="center" wrapText="1"/>
    </xf>
    <xf numFmtId="14" fontId="4" fillId="0" borderId="12" xfId="4" applyNumberFormat="1" applyFont="1" applyBorder="1" applyAlignment="1">
      <alignment horizontal="center" vertical="center" wrapText="1"/>
    </xf>
    <xf numFmtId="169" fontId="4" fillId="0" borderId="6" xfId="10" applyFont="1" applyBorder="1" applyAlignment="1">
      <alignment vertical="center" wrapText="1"/>
    </xf>
    <xf numFmtId="0" fontId="5" fillId="0" borderId="4" xfId="9" applyFont="1" applyBorder="1" applyAlignment="1">
      <alignment horizontal="left" vertical="center" wrapText="1"/>
    </xf>
    <xf numFmtId="0" fontId="5" fillId="0" borderId="4" xfId="9" applyFont="1" applyBorder="1" applyAlignment="1">
      <alignment horizontal="right" vertical="center" wrapText="1"/>
    </xf>
    <xf numFmtId="169" fontId="4" fillId="0" borderId="4" xfId="10" applyFont="1" applyBorder="1" applyAlignment="1">
      <alignment horizontal="justify" vertical="center" wrapText="1"/>
    </xf>
    <xf numFmtId="169" fontId="5" fillId="0" borderId="4" xfId="10" quotePrefix="1" applyFont="1" applyBorder="1" applyAlignment="1">
      <alignment horizontal="left" vertical="center" wrapText="1"/>
    </xf>
    <xf numFmtId="0" fontId="5" fillId="0" borderId="7" xfId="6" applyFont="1" applyBorder="1" applyAlignment="1">
      <alignment vertical="center" wrapText="1"/>
    </xf>
    <xf numFmtId="0" fontId="4" fillId="0" borderId="12" xfId="6" applyFont="1" applyBorder="1" applyAlignment="1">
      <alignment vertical="center" wrapText="1"/>
    </xf>
    <xf numFmtId="0" fontId="4" fillId="0" borderId="12" xfId="0" applyFont="1" applyBorder="1" applyAlignment="1">
      <alignment horizontal="center" vertical="center" wrapText="1"/>
    </xf>
    <xf numFmtId="0" fontId="5" fillId="0" borderId="6" xfId="6" applyFont="1" applyBorder="1" applyAlignment="1">
      <alignment vertical="center" wrapText="1"/>
    </xf>
    <xf numFmtId="171" fontId="4" fillId="0" borderId="4" xfId="6" applyNumberFormat="1" applyFont="1" applyBorder="1" applyAlignment="1">
      <alignment vertical="center" wrapText="1"/>
    </xf>
    <xf numFmtId="0" fontId="5" fillId="0" borderId="4" xfId="11" applyFont="1" applyBorder="1" applyAlignment="1">
      <alignment horizontal="justify" vertical="center" wrapText="1"/>
    </xf>
    <xf numFmtId="0" fontId="5" fillId="0" borderId="7" xfId="9" applyFont="1" applyBorder="1" applyAlignment="1">
      <alignment horizontal="left" vertical="center" wrapText="1"/>
    </xf>
    <xf numFmtId="0" fontId="4" fillId="0" borderId="6" xfId="9" applyFont="1" applyBorder="1" applyAlignment="1">
      <alignment vertical="center" wrapText="1"/>
    </xf>
    <xf numFmtId="0" fontId="5" fillId="0" borderId="4" xfId="9" applyFont="1" applyBorder="1" applyAlignment="1">
      <alignment horizontal="center" vertical="center" wrapText="1"/>
    </xf>
    <xf numFmtId="0" fontId="4" fillId="0" borderId="15" xfId="2" applyFont="1" applyBorder="1" applyAlignment="1">
      <alignment vertical="center" wrapText="1"/>
    </xf>
    <xf numFmtId="0" fontId="5" fillId="0" borderId="17" xfId="49" applyFont="1" applyBorder="1" applyAlignment="1">
      <alignment horizontal="center" vertical="center" wrapText="1"/>
    </xf>
    <xf numFmtId="2" fontId="5" fillId="0" borderId="17" xfId="49" applyNumberFormat="1" applyFont="1" applyBorder="1" applyAlignment="1">
      <alignment vertical="center" wrapText="1"/>
    </xf>
    <xf numFmtId="43" fontId="5" fillId="0" borderId="17" xfId="1" applyFont="1" applyFill="1" applyBorder="1" applyAlignment="1">
      <alignment horizontal="right" vertical="center" wrapText="1"/>
    </xf>
    <xf numFmtId="2" fontId="5" fillId="0" borderId="17" xfId="49" applyNumberFormat="1" applyFont="1" applyBorder="1" applyAlignment="1">
      <alignment horizontal="left" vertical="center" wrapText="1"/>
    </xf>
    <xf numFmtId="43" fontId="5" fillId="0" borderId="17" xfId="1" applyFont="1" applyFill="1" applyBorder="1" applyAlignment="1">
      <alignment horizontal="left" vertical="center" wrapText="1"/>
    </xf>
    <xf numFmtId="2" fontId="5" fillId="0" borderId="17" xfId="49" quotePrefix="1" applyNumberFormat="1" applyFont="1" applyBorder="1" applyAlignment="1">
      <alignment horizontal="left" vertical="center" wrapText="1"/>
    </xf>
    <xf numFmtId="43" fontId="5" fillId="0" borderId="17" xfId="1" quotePrefix="1" applyFont="1" applyFill="1" applyBorder="1" applyAlignment="1">
      <alignment horizontal="right" vertical="center" wrapText="1"/>
    </xf>
    <xf numFmtId="0" fontId="4" fillId="3" borderId="9" xfId="49" applyFont="1" applyFill="1" applyBorder="1" applyAlignment="1">
      <alignment horizontal="center" vertical="center" wrapText="1"/>
    </xf>
    <xf numFmtId="2" fontId="4" fillId="3" borderId="9" xfId="49" applyNumberFormat="1" applyFont="1" applyFill="1" applyBorder="1" applyAlignment="1">
      <alignment horizontal="center" vertical="center" wrapText="1"/>
    </xf>
    <xf numFmtId="0" fontId="5" fillId="3" borderId="9" xfId="0" applyFont="1" applyFill="1" applyBorder="1" applyAlignment="1">
      <alignment vertical="center" wrapText="1"/>
    </xf>
    <xf numFmtId="2" fontId="4" fillId="3" borderId="9" xfId="49" applyNumberFormat="1" applyFont="1" applyFill="1" applyBorder="1" applyAlignment="1">
      <alignment vertical="center" wrapText="1"/>
    </xf>
    <xf numFmtId="43" fontId="4" fillId="3" borderId="9" xfId="1" applyFont="1" applyFill="1" applyBorder="1" applyAlignment="1">
      <alignment vertical="center" wrapText="1"/>
    </xf>
    <xf numFmtId="0" fontId="4" fillId="3" borderId="9" xfId="6" applyFont="1" applyFill="1" applyBorder="1" applyAlignment="1">
      <alignment vertical="center" wrapText="1"/>
    </xf>
    <xf numFmtId="14" fontId="5" fillId="3" borderId="9" xfId="4" applyNumberFormat="1" applyFont="1" applyFill="1" applyBorder="1" applyAlignment="1">
      <alignment horizontal="center" vertical="center" wrapText="1"/>
    </xf>
    <xf numFmtId="167" fontId="5" fillId="3" borderId="10" xfId="4" applyNumberFormat="1" applyFont="1" applyFill="1" applyBorder="1" applyAlignment="1">
      <alignment horizontal="center" vertical="center" wrapText="1"/>
    </xf>
    <xf numFmtId="165" fontId="5" fillId="3" borderId="9" xfId="5" applyFont="1" applyFill="1" applyBorder="1" applyAlignment="1">
      <alignment horizontal="right" vertical="center" wrapText="1"/>
    </xf>
    <xf numFmtId="0" fontId="4" fillId="3" borderId="9" xfId="6" applyFont="1" applyFill="1" applyBorder="1" applyAlignment="1">
      <alignment horizontal="center" vertical="center" wrapText="1"/>
    </xf>
    <xf numFmtId="2" fontId="4" fillId="3" borderId="9" xfId="8" applyNumberFormat="1" applyFont="1" applyFill="1" applyBorder="1" applyAlignment="1">
      <alignment horizontal="left" vertical="center" wrapText="1"/>
    </xf>
    <xf numFmtId="14" fontId="4" fillId="3" borderId="9" xfId="4" applyNumberFormat="1" applyFont="1" applyFill="1" applyBorder="1" applyAlignment="1">
      <alignment horizontal="center" vertical="center" wrapText="1"/>
    </xf>
    <xf numFmtId="167" fontId="4" fillId="3" borderId="10" xfId="4" applyNumberFormat="1" applyFont="1" applyFill="1" applyBorder="1" applyAlignment="1">
      <alignment horizontal="center" vertical="center" wrapText="1"/>
    </xf>
    <xf numFmtId="165" fontId="4" fillId="3" borderId="9" xfId="5" applyFont="1" applyFill="1" applyBorder="1" applyAlignment="1">
      <alignment horizontal="right" vertical="center" wrapText="1"/>
    </xf>
    <xf numFmtId="0" fontId="4" fillId="3" borderId="9" xfId="6" applyFont="1" applyFill="1" applyBorder="1" applyAlignment="1">
      <alignment horizontal="left" vertical="center" wrapText="1"/>
    </xf>
    <xf numFmtId="0" fontId="4" fillId="3" borderId="9" xfId="9" applyFont="1" applyFill="1" applyBorder="1" applyAlignment="1">
      <alignment vertical="center" wrapText="1"/>
    </xf>
    <xf numFmtId="169" fontId="4" fillId="3" borderId="9" xfId="10" applyFont="1" applyFill="1" applyBorder="1" applyAlignment="1">
      <alignment vertical="center" wrapText="1"/>
    </xf>
    <xf numFmtId="3" fontId="5" fillId="3" borderId="10" xfId="4" applyNumberFormat="1" applyFont="1" applyFill="1" applyBorder="1" applyAlignment="1">
      <alignment horizontal="center" vertical="center" wrapText="1"/>
    </xf>
    <xf numFmtId="3" fontId="4" fillId="3" borderId="10" xfId="4" applyNumberFormat="1" applyFont="1" applyFill="1" applyBorder="1" applyAlignment="1">
      <alignment horizontal="center" vertical="center" wrapText="1"/>
    </xf>
    <xf numFmtId="0" fontId="5" fillId="3" borderId="9" xfId="0" applyFont="1" applyFill="1" applyBorder="1" applyAlignment="1">
      <alignment horizontal="center" vertical="center" wrapText="1"/>
    </xf>
    <xf numFmtId="169" fontId="5" fillId="0" borderId="7" xfId="10" applyFont="1" applyBorder="1" applyAlignment="1">
      <alignment vertical="center" wrapText="1"/>
    </xf>
    <xf numFmtId="2" fontId="5" fillId="0" borderId="17" xfId="49" quotePrefix="1" applyNumberFormat="1" applyFont="1" applyBorder="1" applyAlignment="1">
      <alignment vertical="center" wrapText="1"/>
    </xf>
    <xf numFmtId="0" fontId="4" fillId="3" borderId="9" xfId="0" applyFont="1" applyFill="1" applyBorder="1" applyAlignment="1">
      <alignment horizontal="center" vertical="center" wrapText="1"/>
    </xf>
    <xf numFmtId="0" fontId="4" fillId="0" borderId="30" xfId="2" applyFont="1" applyBorder="1" applyAlignment="1">
      <alignment vertical="center" wrapText="1"/>
    </xf>
    <xf numFmtId="0" fontId="5" fillId="0" borderId="42" xfId="45" applyFont="1" applyBorder="1" applyAlignment="1">
      <alignment horizontal="left" vertical="center"/>
    </xf>
    <xf numFmtId="43" fontId="5" fillId="0" borderId="0" xfId="1" applyFont="1" applyFill="1" applyBorder="1" applyAlignment="1" applyProtection="1">
      <alignment vertical="center"/>
    </xf>
    <xf numFmtId="0" fontId="5" fillId="0" borderId="0" xfId="45" applyFont="1" applyAlignment="1">
      <alignment vertical="center"/>
    </xf>
    <xf numFmtId="0" fontId="0" fillId="0" borderId="22" xfId="0" applyBorder="1" applyAlignment="1">
      <alignment horizontal="left"/>
    </xf>
    <xf numFmtId="0" fontId="0" fillId="0" borderId="29" xfId="0" applyBorder="1" applyAlignment="1">
      <alignment horizontal="left"/>
    </xf>
    <xf numFmtId="0" fontId="4" fillId="0" borderId="9" xfId="0" applyFont="1" applyBorder="1" applyAlignment="1">
      <alignment horizontal="center" vertical="center" wrapText="1"/>
    </xf>
    <xf numFmtId="0" fontId="4" fillId="0" borderId="14" xfId="3" quotePrefix="1" applyFont="1" applyBorder="1" applyAlignment="1">
      <alignment horizontal="left" vertical="center" wrapText="1"/>
    </xf>
    <xf numFmtId="169" fontId="5" fillId="0" borderId="4" xfId="10" applyFont="1" applyBorder="1" applyAlignment="1">
      <alignment horizontal="justify" vertical="center" wrapText="1"/>
    </xf>
    <xf numFmtId="169" fontId="4" fillId="0" borderId="4" xfId="10" applyFont="1" applyBorder="1" applyAlignment="1">
      <alignment vertical="center" wrapText="1"/>
    </xf>
    <xf numFmtId="165" fontId="5" fillId="0" borderId="4" xfId="5" applyFont="1" applyFill="1" applyBorder="1" applyAlignment="1" applyProtection="1">
      <alignment horizontal="right" vertical="center" wrapText="1"/>
      <protection locked="0"/>
    </xf>
    <xf numFmtId="0" fontId="5" fillId="0" borderId="17" xfId="0" applyFont="1" applyBorder="1" applyAlignment="1">
      <alignment horizontal="center" vertical="center"/>
    </xf>
    <xf numFmtId="3" fontId="5" fillId="0" borderId="43" xfId="0" applyNumberFormat="1" applyFont="1" applyBorder="1" applyAlignment="1">
      <alignment horizontal="center" vertical="center" wrapText="1"/>
    </xf>
    <xf numFmtId="43" fontId="5" fillId="0" borderId="0" xfId="1" applyFont="1" applyFill="1" applyBorder="1" applyAlignment="1" applyProtection="1">
      <alignment horizontal="justify" vertical="center" wrapText="1"/>
      <protection locked="0"/>
    </xf>
    <xf numFmtId="0" fontId="5" fillId="0" borderId="0" xfId="0" applyFont="1" applyAlignment="1">
      <alignment vertical="center"/>
    </xf>
    <xf numFmtId="14" fontId="5" fillId="0" borderId="12" xfId="4" quotePrefix="1" applyNumberFormat="1" applyFont="1" applyBorder="1" applyAlignment="1">
      <alignment horizontal="center" vertical="center" wrapText="1"/>
    </xf>
    <xf numFmtId="0" fontId="5" fillId="0" borderId="12" xfId="0" applyFont="1" applyBorder="1" applyAlignment="1">
      <alignment horizontal="center" vertical="center"/>
    </xf>
    <xf numFmtId="0" fontId="4" fillId="3" borderId="9" xfId="0" applyFont="1" applyFill="1" applyBorder="1" applyAlignment="1">
      <alignment horizontal="left" vertical="center"/>
    </xf>
    <xf numFmtId="0" fontId="5" fillId="3" borderId="9" xfId="0" applyFont="1" applyFill="1" applyBorder="1" applyAlignment="1">
      <alignment horizontal="center" vertical="center"/>
    </xf>
    <xf numFmtId="3" fontId="4" fillId="3" borderId="9" xfId="1" applyNumberFormat="1" applyFont="1" applyFill="1" applyBorder="1" applyAlignment="1" applyProtection="1">
      <alignment horizontal="center" vertical="center" wrapText="1"/>
    </xf>
    <xf numFmtId="0" fontId="5" fillId="0" borderId="43" xfId="1" applyNumberFormat="1" applyFont="1" applyFill="1" applyBorder="1" applyAlignment="1" applyProtection="1">
      <alignment horizontal="justify" vertical="center" wrapText="1"/>
      <protection locked="0"/>
    </xf>
    <xf numFmtId="176" fontId="5" fillId="0" borderId="43" xfId="1" applyNumberFormat="1" applyFont="1" applyFill="1" applyBorder="1" applyAlignment="1" applyProtection="1">
      <alignment horizontal="center" vertical="center" wrapText="1"/>
      <protection locked="0"/>
    </xf>
    <xf numFmtId="1" fontId="5" fillId="0" borderId="43" xfId="1" applyNumberFormat="1" applyFont="1" applyFill="1" applyBorder="1" applyAlignment="1" applyProtection="1">
      <alignment horizontal="center" vertical="center" wrapText="1"/>
      <protection locked="0"/>
    </xf>
    <xf numFmtId="0" fontId="5" fillId="0" borderId="17" xfId="0" applyFont="1" applyBorder="1" applyAlignment="1">
      <alignment horizontal="left" wrapText="1"/>
    </xf>
    <xf numFmtId="0" fontId="5" fillId="0" borderId="17" xfId="0" applyFont="1" applyBorder="1" applyAlignment="1">
      <alignment horizontal="center"/>
    </xf>
    <xf numFmtId="0" fontId="5" fillId="0" borderId="43" xfId="0" applyFont="1" applyBorder="1" applyAlignment="1">
      <alignment horizontal="center" vertical="center"/>
    </xf>
    <xf numFmtId="1" fontId="5" fillId="26" borderId="43" xfId="45" applyNumberFormat="1" applyFont="1" applyFill="1" applyBorder="1" applyAlignment="1">
      <alignment horizontal="center" vertical="center" wrapText="1"/>
    </xf>
    <xf numFmtId="0" fontId="32" fillId="0" borderId="12" xfId="0" applyFont="1" applyBorder="1" applyAlignment="1">
      <alignment horizontal="left" vertical="center" wrapText="1"/>
    </xf>
    <xf numFmtId="0" fontId="5" fillId="0" borderId="17" xfId="0" applyFont="1" applyBorder="1" applyAlignment="1">
      <alignment horizontal="left"/>
    </xf>
    <xf numFmtId="1" fontId="5" fillId="0" borderId="43" xfId="45" applyNumberFormat="1" applyFont="1" applyBorder="1" applyAlignment="1">
      <alignment horizontal="center" vertical="center" wrapText="1"/>
    </xf>
    <xf numFmtId="0" fontId="5" fillId="0" borderId="12" xfId="0" applyFont="1" applyBorder="1" applyAlignment="1">
      <alignment horizontal="left"/>
    </xf>
    <xf numFmtId="0" fontId="5" fillId="0" borderId="12" xfId="0" applyFont="1" applyBorder="1" applyAlignment="1">
      <alignment horizontal="center"/>
    </xf>
    <xf numFmtId="0" fontId="5" fillId="0" borderId="43" xfId="45" applyFont="1" applyBorder="1" applyAlignment="1">
      <alignment horizontal="left" vertical="center"/>
    </xf>
    <xf numFmtId="0" fontId="5" fillId="0" borderId="43" xfId="45" applyFont="1" applyBorder="1" applyAlignment="1">
      <alignment horizontal="center" vertical="center" wrapText="1"/>
    </xf>
    <xf numFmtId="0" fontId="4" fillId="0" borderId="17" xfId="0" applyFont="1" applyBorder="1" applyAlignment="1">
      <alignment horizontal="left" vertical="center" wrapText="1"/>
    </xf>
    <xf numFmtId="0" fontId="31" fillId="0" borderId="17" xfId="0" applyFont="1" applyBorder="1" applyAlignment="1">
      <alignment horizontal="center" vertical="center"/>
    </xf>
    <xf numFmtId="169" fontId="31" fillId="0" borderId="17" xfId="0" applyNumberFormat="1" applyFont="1" applyBorder="1" applyAlignment="1">
      <alignment horizontal="center" vertical="center"/>
    </xf>
    <xf numFmtId="1" fontId="31" fillId="0" borderId="17" xfId="0" applyNumberFormat="1" applyFont="1" applyBorder="1" applyAlignment="1">
      <alignment horizontal="center" vertical="center"/>
    </xf>
    <xf numFmtId="0" fontId="5" fillId="0" borderId="17" xfId="0" applyFont="1" applyBorder="1" applyAlignment="1">
      <alignment horizontal="left" vertical="center" wrapText="1"/>
    </xf>
    <xf numFmtId="0" fontId="5" fillId="0" borderId="12" xfId="45" applyFont="1" applyBorder="1" applyAlignment="1">
      <alignment horizontal="left" vertical="center"/>
    </xf>
    <xf numFmtId="0" fontId="5" fillId="0" borderId="12" xfId="45" applyFont="1" applyBorder="1" applyAlignment="1">
      <alignment horizontal="center" vertical="center" wrapText="1"/>
    </xf>
    <xf numFmtId="1" fontId="5" fillId="0" borderId="12" xfId="45" applyNumberFormat="1" applyFont="1" applyBorder="1" applyAlignment="1">
      <alignment horizontal="center" vertical="center" wrapText="1"/>
    </xf>
    <xf numFmtId="0" fontId="1" fillId="0" borderId="0" xfId="0" applyFont="1"/>
    <xf numFmtId="0" fontId="5" fillId="0" borderId="18" xfId="0" applyFont="1" applyBorder="1" applyAlignment="1">
      <alignment vertical="center"/>
    </xf>
    <xf numFmtId="0" fontId="12" fillId="0" borderId="19" xfId="0" applyFont="1" applyBorder="1" applyAlignment="1">
      <alignment horizontal="center" vertical="center"/>
    </xf>
    <xf numFmtId="0" fontId="0" fillId="0" borderId="22" xfId="0" applyBorder="1"/>
    <xf numFmtId="0" fontId="5" fillId="0" borderId="44" xfId="0" applyFont="1" applyBorder="1" applyAlignment="1">
      <alignment vertical="center"/>
    </xf>
    <xf numFmtId="0" fontId="12" fillId="0" borderId="24" xfId="0" applyFont="1" applyBorder="1" applyAlignment="1">
      <alignment vertical="center"/>
    </xf>
    <xf numFmtId="0" fontId="4" fillId="3" borderId="9" xfId="9" applyFont="1" applyFill="1" applyBorder="1"/>
    <xf numFmtId="0" fontId="0" fillId="0" borderId="27" xfId="0" applyBorder="1" applyAlignment="1">
      <alignment horizontal="center" vertical="center"/>
    </xf>
    <xf numFmtId="166" fontId="1" fillId="0" borderId="0" xfId="0" applyNumberFormat="1" applyFont="1"/>
    <xf numFmtId="43" fontId="1" fillId="0" borderId="0" xfId="0" applyNumberFormat="1" applyFont="1"/>
    <xf numFmtId="1" fontId="5" fillId="0" borderId="43" xfId="1" applyNumberFormat="1" applyFont="1" applyFill="1" applyBorder="1" applyAlignment="1" applyProtection="1">
      <alignment horizontal="center" vertical="center" wrapText="1"/>
    </xf>
    <xf numFmtId="1" fontId="5" fillId="0" borderId="13" xfId="1" applyNumberFormat="1" applyFont="1" applyFill="1" applyBorder="1" applyAlignment="1" applyProtection="1">
      <alignment horizontal="center" vertical="center" wrapText="1"/>
    </xf>
    <xf numFmtId="169" fontId="5" fillId="0" borderId="17" xfId="0" applyNumberFormat="1" applyFont="1" applyBorder="1" applyAlignment="1">
      <alignment horizontal="center" vertical="center"/>
    </xf>
    <xf numFmtId="0" fontId="4" fillId="3" borderId="9" xfId="4" applyFont="1" applyFill="1" applyBorder="1" applyAlignment="1">
      <alignment horizontal="center" vertical="center" wrapText="1"/>
    </xf>
    <xf numFmtId="165" fontId="4" fillId="3" borderId="9" xfId="5" applyFont="1" applyFill="1" applyBorder="1" applyAlignment="1">
      <alignment horizontal="center" vertical="center" wrapText="1"/>
    </xf>
    <xf numFmtId="0" fontId="5" fillId="0" borderId="0" xfId="124" applyFont="1" applyAlignment="1">
      <alignment vertical="center" wrapText="1"/>
    </xf>
    <xf numFmtId="0" fontId="4" fillId="0" borderId="1" xfId="4" applyFont="1" applyBorder="1" applyAlignment="1">
      <alignment vertical="center" wrapText="1"/>
    </xf>
    <xf numFmtId="0" fontId="4" fillId="0" borderId="16" xfId="124" applyFont="1" applyBorder="1" applyAlignment="1">
      <alignment horizontal="center" vertical="center" wrapText="1"/>
    </xf>
    <xf numFmtId="0" fontId="4" fillId="0" borderId="50" xfId="124" applyFont="1" applyBorder="1" applyAlignment="1">
      <alignment horizontal="center" vertical="center" wrapText="1"/>
    </xf>
    <xf numFmtId="0" fontId="5" fillId="0" borderId="51" xfId="124" applyFont="1" applyBorder="1" applyAlignment="1">
      <alignment horizontal="center" vertical="center"/>
    </xf>
    <xf numFmtId="0" fontId="5" fillId="0" borderId="17" xfId="124" applyFont="1" applyBorder="1" applyAlignment="1">
      <alignment horizontal="left" vertical="center"/>
    </xf>
    <xf numFmtId="0" fontId="5" fillId="0" borderId="23" xfId="124" applyFont="1" applyBorder="1" applyAlignment="1">
      <alignment horizontal="center" vertical="center"/>
    </xf>
    <xf numFmtId="0" fontId="5" fillId="0" borderId="0" xfId="124" applyFont="1" applyAlignment="1">
      <alignment vertical="center"/>
    </xf>
    <xf numFmtId="2" fontId="5" fillId="0" borderId="51" xfId="124" applyNumberFormat="1" applyFont="1" applyBorder="1" applyAlignment="1">
      <alignment horizontal="center" vertical="center"/>
    </xf>
    <xf numFmtId="1" fontId="5" fillId="0" borderId="23" xfId="124" applyNumberFormat="1" applyFont="1" applyBorder="1" applyAlignment="1">
      <alignment horizontal="center" vertical="center"/>
    </xf>
    <xf numFmtId="0" fontId="5" fillId="0" borderId="17" xfId="32" applyFont="1" applyBorder="1" applyAlignment="1">
      <alignment horizontal="left" vertical="center"/>
    </xf>
    <xf numFmtId="0" fontId="5" fillId="0" borderId="0" xfId="124" applyFont="1" applyAlignment="1">
      <alignment horizontal="center" vertical="center"/>
    </xf>
    <xf numFmtId="166" fontId="5" fillId="0" borderId="0" xfId="124" applyNumberFormat="1" applyFont="1" applyAlignment="1">
      <alignment vertical="center"/>
    </xf>
    <xf numFmtId="0" fontId="1" fillId="27" borderId="0" xfId="0" applyFont="1" applyFill="1"/>
    <xf numFmtId="0" fontId="5" fillId="27" borderId="0" xfId="9" applyFont="1" applyFill="1"/>
    <xf numFmtId="0" fontId="5" fillId="0" borderId="17" xfId="9" applyFont="1" applyBorder="1" applyAlignment="1">
      <alignment horizontal="center" vertical="center"/>
    </xf>
    <xf numFmtId="0" fontId="5" fillId="0" borderId="17" xfId="9" applyFont="1" applyBorder="1"/>
    <xf numFmtId="169" fontId="5" fillId="0" borderId="47" xfId="10" applyFont="1" applyBorder="1" applyAlignment="1">
      <alignment horizontal="justify" vertical="top" wrapText="1"/>
    </xf>
    <xf numFmtId="0" fontId="5" fillId="0" borderId="12" xfId="0" applyFont="1" applyBorder="1" applyAlignment="1">
      <alignment horizontal="center" vertical="center" wrapText="1"/>
    </xf>
    <xf numFmtId="0" fontId="4" fillId="0" borderId="17" xfId="0" quotePrefix="1" applyFont="1" applyBorder="1" applyAlignment="1">
      <alignment horizontal="justify" vertical="center" wrapText="1"/>
    </xf>
    <xf numFmtId="0" fontId="5" fillId="0" borderId="13" xfId="0" applyFont="1" applyBorder="1" applyAlignment="1">
      <alignment horizontal="center" vertical="center" wrapText="1"/>
    </xf>
    <xf numFmtId="167" fontId="5" fillId="28" borderId="11" xfId="4" applyNumberFormat="1" applyFont="1" applyFill="1" applyBorder="1" applyAlignment="1">
      <alignment horizontal="center" vertical="center" wrapText="1"/>
    </xf>
    <xf numFmtId="167" fontId="5" fillId="29" borderId="11" xfId="4" applyNumberFormat="1" applyFont="1" applyFill="1" applyBorder="1" applyAlignment="1">
      <alignment horizontal="center" vertical="center" wrapText="1"/>
    </xf>
    <xf numFmtId="0" fontId="4" fillId="0" borderId="59" xfId="2" applyFont="1" applyBorder="1" applyAlignment="1">
      <alignment horizontal="left" vertical="center" wrapText="1"/>
    </xf>
    <xf numFmtId="0" fontId="4" fillId="0" borderId="65" xfId="4" applyFont="1" applyBorder="1" applyAlignment="1">
      <alignment horizontal="center" vertical="center" wrapText="1"/>
    </xf>
    <xf numFmtId="165" fontId="4" fillId="0" borderId="66" xfId="5" applyFont="1" applyFill="1" applyBorder="1" applyAlignment="1">
      <alignment horizontal="right" vertical="center" wrapText="1"/>
    </xf>
    <xf numFmtId="168" fontId="4" fillId="3" borderId="67" xfId="6" applyNumberFormat="1" applyFont="1" applyFill="1" applyBorder="1" applyAlignment="1">
      <alignment horizontal="center" vertical="center" wrapText="1"/>
    </xf>
    <xf numFmtId="165" fontId="5" fillId="3" borderId="68" xfId="5" applyFont="1" applyFill="1" applyBorder="1" applyAlignment="1">
      <alignment horizontal="right" vertical="center" wrapText="1"/>
    </xf>
    <xf numFmtId="168" fontId="4" fillId="0" borderId="69" xfId="6" applyNumberFormat="1" applyFont="1" applyBorder="1" applyAlignment="1">
      <alignment horizontal="center" vertical="center" wrapText="1"/>
    </xf>
    <xf numFmtId="165" fontId="5" fillId="0" borderId="64" xfId="5" applyFont="1" applyFill="1" applyBorder="1" applyAlignment="1">
      <alignment horizontal="right" vertical="center" wrapText="1"/>
    </xf>
    <xf numFmtId="0" fontId="5" fillId="0" borderId="63" xfId="6" applyFont="1" applyBorder="1" applyAlignment="1">
      <alignment horizontal="center" vertical="center" wrapText="1"/>
    </xf>
    <xf numFmtId="165" fontId="5" fillId="0" borderId="70" xfId="5" applyFont="1" applyFill="1" applyBorder="1" applyAlignment="1">
      <alignment horizontal="right" vertical="center" wrapText="1"/>
    </xf>
    <xf numFmtId="165" fontId="5" fillId="0" borderId="63" xfId="5" applyFont="1" applyFill="1" applyBorder="1" applyAlignment="1">
      <alignment horizontal="center" vertical="center" wrapText="1"/>
    </xf>
    <xf numFmtId="168" fontId="5" fillId="0" borderId="63" xfId="6" applyNumberFormat="1" applyFont="1" applyBorder="1" applyAlignment="1">
      <alignment horizontal="center" vertical="center" wrapText="1"/>
    </xf>
    <xf numFmtId="2" fontId="5" fillId="0" borderId="63" xfId="6" applyNumberFormat="1" applyFont="1" applyBorder="1" applyAlignment="1">
      <alignment horizontal="center" vertical="center" wrapText="1"/>
    </xf>
    <xf numFmtId="165" fontId="5" fillId="0" borderId="70" xfId="5" applyFont="1" applyFill="1" applyBorder="1" applyAlignment="1" applyProtection="1">
      <alignment horizontal="right" vertical="center" wrapText="1"/>
      <protection locked="0"/>
    </xf>
    <xf numFmtId="0" fontId="2" fillId="0" borderId="65" xfId="6" applyFont="1" applyBorder="1" applyAlignment="1">
      <alignment horizontal="center" vertical="center" wrapText="1"/>
    </xf>
    <xf numFmtId="0" fontId="4" fillId="3" borderId="67" xfId="6" applyFont="1" applyFill="1" applyBorder="1" applyAlignment="1">
      <alignment horizontal="center" vertical="center" wrapText="1"/>
    </xf>
    <xf numFmtId="165" fontId="4" fillId="3" borderId="68" xfId="5" applyFont="1" applyFill="1" applyBorder="1" applyAlignment="1">
      <alignment horizontal="right" vertical="center" wrapText="1"/>
    </xf>
    <xf numFmtId="0" fontId="5" fillId="0" borderId="71" xfId="6" applyFont="1" applyBorder="1" applyAlignment="1">
      <alignment horizontal="center" vertical="center" wrapText="1"/>
    </xf>
    <xf numFmtId="165" fontId="5" fillId="0" borderId="72" xfId="5" applyFont="1" applyFill="1" applyBorder="1" applyAlignment="1">
      <alignment horizontal="right" vertical="center" wrapText="1"/>
    </xf>
    <xf numFmtId="0" fontId="5" fillId="0" borderId="69" xfId="6" applyFont="1" applyBorder="1" applyAlignment="1">
      <alignment horizontal="center" vertical="center" wrapText="1"/>
    </xf>
    <xf numFmtId="0" fontId="4" fillId="0" borderId="63" xfId="6" applyFont="1" applyBorder="1" applyAlignment="1">
      <alignment horizontal="center" vertical="center" wrapText="1"/>
    </xf>
    <xf numFmtId="0" fontId="4" fillId="0" borderId="63" xfId="0" applyFont="1" applyBorder="1" applyAlignment="1">
      <alignment horizontal="center" vertical="center" wrapText="1"/>
    </xf>
    <xf numFmtId="0" fontId="4" fillId="0" borderId="69" xfId="6" applyFont="1" applyBorder="1" applyAlignment="1">
      <alignment horizontal="center" vertical="center" wrapText="1"/>
    </xf>
    <xf numFmtId="0" fontId="5" fillId="0" borderId="65" xfId="6" applyFont="1" applyBorder="1" applyAlignment="1">
      <alignment horizontal="center" vertical="center" wrapText="1"/>
    </xf>
    <xf numFmtId="168" fontId="4" fillId="3" borderId="67" xfId="9" applyNumberFormat="1" applyFont="1" applyFill="1" applyBorder="1" applyAlignment="1">
      <alignment horizontal="center" vertical="center" wrapText="1"/>
    </xf>
    <xf numFmtId="0" fontId="4" fillId="0" borderId="69" xfId="9" applyFont="1" applyBorder="1" applyAlignment="1">
      <alignment horizontal="center" vertical="center" wrapText="1"/>
    </xf>
    <xf numFmtId="0" fontId="5" fillId="0" borderId="63" xfId="9" applyFont="1" applyBorder="1" applyAlignment="1">
      <alignment horizontal="center" vertical="center" wrapText="1"/>
    </xf>
    <xf numFmtId="2" fontId="5" fillId="0" borderId="63" xfId="9" applyNumberFormat="1" applyFont="1" applyBorder="1" applyAlignment="1">
      <alignment horizontal="center" vertical="center" wrapText="1"/>
    </xf>
    <xf numFmtId="0" fontId="4" fillId="3" borderId="67" xfId="9" applyFont="1" applyFill="1" applyBorder="1" applyAlignment="1">
      <alignment horizontal="center" vertical="center" wrapText="1"/>
    </xf>
    <xf numFmtId="0" fontId="5" fillId="0" borderId="71" xfId="9" applyFont="1" applyBorder="1" applyAlignment="1">
      <alignment horizontal="center" vertical="center" wrapText="1"/>
    </xf>
    <xf numFmtId="0" fontId="5" fillId="0" borderId="69"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71" xfId="0" applyFont="1" applyBorder="1" applyAlignment="1">
      <alignment horizontal="center" vertical="center" wrapText="1"/>
    </xf>
    <xf numFmtId="165" fontId="5" fillId="0" borderId="73" xfId="5" applyFont="1" applyFill="1" applyBorder="1" applyAlignment="1">
      <alignment horizontal="right" vertical="center" wrapText="1"/>
    </xf>
    <xf numFmtId="0" fontId="5" fillId="0" borderId="74" xfId="9" applyFont="1" applyBorder="1" applyAlignment="1">
      <alignment horizontal="center" vertical="center"/>
    </xf>
    <xf numFmtId="169" fontId="5" fillId="0" borderId="75" xfId="0" applyNumberFormat="1" applyFont="1" applyBorder="1" applyAlignment="1">
      <alignment horizontal="center" vertical="center"/>
    </xf>
    <xf numFmtId="0" fontId="5" fillId="0" borderId="71" xfId="10" applyNumberFormat="1" applyFont="1" applyBorder="1" applyAlignment="1">
      <alignment horizontal="center" vertical="center" wrapText="1"/>
    </xf>
    <xf numFmtId="0" fontId="4" fillId="0" borderId="69" xfId="0" applyFont="1" applyBorder="1" applyAlignment="1">
      <alignment horizontal="center" vertical="center" wrapText="1"/>
    </xf>
    <xf numFmtId="168" fontId="5" fillId="0" borderId="63" xfId="9" applyNumberFormat="1" applyFont="1" applyBorder="1" applyAlignment="1">
      <alignment horizontal="center" vertical="center" wrapText="1"/>
    </xf>
    <xf numFmtId="0" fontId="4" fillId="3" borderId="67" xfId="10" applyNumberFormat="1" applyFont="1" applyFill="1" applyBorder="1" applyAlignment="1">
      <alignment horizontal="center" vertical="center" wrapText="1"/>
    </xf>
    <xf numFmtId="168" fontId="4" fillId="3" borderId="67" xfId="10" applyNumberFormat="1" applyFont="1" applyFill="1" applyBorder="1" applyAlignment="1">
      <alignment horizontal="center" vertical="center" wrapText="1"/>
    </xf>
    <xf numFmtId="0" fontId="5" fillId="0" borderId="69" xfId="10" applyNumberFormat="1" applyFont="1" applyBorder="1" applyAlignment="1">
      <alignment horizontal="center" vertical="center" wrapText="1"/>
    </xf>
    <xf numFmtId="0" fontId="5" fillId="0" borderId="63" xfId="10" applyNumberFormat="1" applyFont="1" applyBorder="1" applyAlignment="1">
      <alignment horizontal="center" vertical="center" wrapText="1"/>
    </xf>
    <xf numFmtId="0" fontId="5" fillId="0" borderId="65" xfId="10" applyNumberFormat="1" applyFont="1" applyBorder="1" applyAlignment="1">
      <alignment horizontal="center" vertical="center" wrapText="1"/>
    </xf>
    <xf numFmtId="0" fontId="4" fillId="0" borderId="69" xfId="10" applyNumberFormat="1" applyFont="1" applyBorder="1" applyAlignment="1">
      <alignment horizontal="center" vertical="center" wrapText="1"/>
    </xf>
    <xf numFmtId="2" fontId="5" fillId="0" borderId="63" xfId="10" applyNumberFormat="1" applyFont="1" applyBorder="1" applyAlignment="1">
      <alignment horizontal="center" vertical="center" wrapText="1"/>
    </xf>
    <xf numFmtId="0" fontId="4" fillId="0" borderId="63" xfId="10" applyNumberFormat="1" applyFont="1" applyBorder="1" applyAlignment="1">
      <alignment horizontal="center" vertical="center" wrapText="1"/>
    </xf>
    <xf numFmtId="168" fontId="4" fillId="0" borderId="63" xfId="10" applyNumberFormat="1" applyFont="1" applyBorder="1" applyAlignment="1">
      <alignment horizontal="center" vertical="center" wrapText="1"/>
    </xf>
    <xf numFmtId="0" fontId="5" fillId="0" borderId="0" xfId="45" applyFont="1" applyAlignment="1">
      <alignment horizontal="left" vertical="center"/>
    </xf>
    <xf numFmtId="0" fontId="5" fillId="0" borderId="63" xfId="6" quotePrefix="1" applyFont="1" applyBorder="1" applyAlignment="1">
      <alignment horizontal="center" vertical="center" wrapText="1"/>
    </xf>
    <xf numFmtId="2" fontId="5" fillId="0" borderId="63" xfId="6" quotePrefix="1" applyNumberFormat="1" applyFont="1" applyBorder="1" applyAlignment="1">
      <alignment horizontal="center" vertical="center" wrapText="1"/>
    </xf>
    <xf numFmtId="177" fontId="5" fillId="0" borderId="76" xfId="45" applyNumberFormat="1" applyFont="1" applyBorder="1" applyAlignment="1">
      <alignment horizontal="center" vertical="center" wrapText="1"/>
    </xf>
    <xf numFmtId="178" fontId="5" fillId="26" borderId="77" xfId="1" applyNumberFormat="1" applyFont="1" applyFill="1" applyBorder="1" applyAlignment="1" applyProtection="1">
      <alignment horizontal="right" vertical="center" wrapText="1"/>
    </xf>
    <xf numFmtId="0" fontId="31" fillId="3" borderId="67" xfId="0" applyFont="1" applyFill="1" applyBorder="1" applyAlignment="1">
      <alignment horizontal="center" vertical="center"/>
    </xf>
    <xf numFmtId="3" fontId="4" fillId="3" borderId="68" xfId="1" applyNumberFormat="1" applyFont="1" applyFill="1" applyBorder="1" applyAlignment="1" applyProtection="1">
      <alignment horizontal="center" vertical="center" wrapText="1"/>
    </xf>
    <xf numFmtId="43" fontId="5" fillId="0" borderId="76" xfId="1" applyFont="1" applyFill="1" applyBorder="1" applyAlignment="1" applyProtection="1">
      <alignment horizontal="justify" vertical="center" wrapText="1"/>
      <protection locked="0"/>
    </xf>
    <xf numFmtId="3" fontId="5" fillId="0" borderId="77" xfId="1" applyNumberFormat="1" applyFont="1" applyFill="1" applyBorder="1" applyAlignment="1" applyProtection="1">
      <alignment horizontal="right" vertical="center" wrapText="1"/>
      <protection locked="0"/>
    </xf>
    <xf numFmtId="178" fontId="5" fillId="0" borderId="77" xfId="1" applyNumberFormat="1" applyFont="1" applyFill="1" applyBorder="1" applyAlignment="1" applyProtection="1">
      <alignment horizontal="right" vertical="center" wrapText="1"/>
    </xf>
    <xf numFmtId="1" fontId="5" fillId="0" borderId="77" xfId="0" applyNumberFormat="1" applyFont="1" applyBorder="1" applyAlignment="1">
      <alignment horizontal="center" vertical="center" wrapText="1"/>
    </xf>
    <xf numFmtId="177" fontId="5" fillId="0" borderId="74" xfId="0" applyNumberFormat="1" applyFont="1" applyBorder="1" applyAlignment="1">
      <alignment horizontal="center" vertical="center"/>
    </xf>
    <xf numFmtId="0" fontId="31" fillId="0" borderId="78" xfId="0" applyFont="1" applyBorder="1" applyAlignment="1">
      <alignment horizontal="center" vertical="center"/>
    </xf>
    <xf numFmtId="0" fontId="5" fillId="0" borderId="74" xfId="0" applyFont="1" applyBorder="1" applyAlignment="1">
      <alignment horizontal="center" vertical="center"/>
    </xf>
    <xf numFmtId="4" fontId="5" fillId="0" borderId="76" xfId="45" applyNumberFormat="1" applyFont="1" applyBorder="1" applyAlignment="1">
      <alignment horizontal="center" vertical="center" wrapText="1"/>
    </xf>
    <xf numFmtId="177" fontId="5" fillId="0" borderId="71" xfId="45" applyNumberFormat="1" applyFont="1" applyBorder="1" applyAlignment="1">
      <alignment horizontal="center" vertical="center" wrapText="1"/>
    </xf>
    <xf numFmtId="178" fontId="5" fillId="0" borderId="72" xfId="1" applyNumberFormat="1" applyFont="1" applyFill="1" applyBorder="1" applyAlignment="1" applyProtection="1">
      <alignment horizontal="right" vertical="center" wrapText="1"/>
    </xf>
    <xf numFmtId="4" fontId="5" fillId="0" borderId="74" xfId="0" applyNumberFormat="1" applyFont="1" applyBorder="1" applyAlignment="1">
      <alignment horizontal="center" vertical="center"/>
    </xf>
    <xf numFmtId="0" fontId="1" fillId="0" borderId="0" xfId="0" applyFont="1" applyAlignment="1">
      <alignment horizontal="center" vertical="center"/>
    </xf>
    <xf numFmtId="169" fontId="31" fillId="0" borderId="0" xfId="0" applyNumberFormat="1" applyFont="1" applyAlignment="1">
      <alignment horizontal="center" vertical="center"/>
    </xf>
    <xf numFmtId="0" fontId="4" fillId="3" borderId="79" xfId="6" applyFont="1" applyFill="1" applyBorder="1" applyAlignment="1">
      <alignment horizontal="center" vertical="center" wrapText="1"/>
    </xf>
    <xf numFmtId="0" fontId="4" fillId="3" borderId="80" xfId="0" applyFont="1" applyFill="1" applyBorder="1" applyAlignment="1">
      <alignment horizontal="left" vertical="center"/>
    </xf>
    <xf numFmtId="0" fontId="4" fillId="3" borderId="80" xfId="0" applyFont="1" applyFill="1" applyBorder="1" applyAlignment="1">
      <alignment horizontal="center" vertical="center" wrapText="1"/>
    </xf>
    <xf numFmtId="3" fontId="4" fillId="3" borderId="81" xfId="4" applyNumberFormat="1" applyFont="1" applyFill="1" applyBorder="1" applyAlignment="1">
      <alignment horizontal="center" vertical="center" wrapText="1"/>
    </xf>
    <xf numFmtId="165" fontId="4" fillId="3" borderId="80" xfId="5" applyFont="1" applyFill="1" applyBorder="1" applyAlignment="1">
      <alignment horizontal="right" vertical="center" wrapText="1"/>
    </xf>
    <xf numFmtId="165" fontId="4" fillId="3" borderId="82" xfId="5" applyFont="1" applyFill="1" applyBorder="1" applyAlignment="1">
      <alignment horizontal="right" vertical="center" wrapText="1"/>
    </xf>
    <xf numFmtId="167" fontId="1" fillId="0" borderId="0" xfId="0" applyNumberFormat="1" applyFont="1"/>
    <xf numFmtId="1" fontId="5" fillId="0" borderId="0" xfId="9" applyNumberFormat="1" applyFont="1"/>
    <xf numFmtId="0" fontId="5" fillId="0" borderId="0" xfId="9" applyFont="1"/>
    <xf numFmtId="167" fontId="5" fillId="0" borderId="0" xfId="9" applyNumberFormat="1" applyFont="1"/>
    <xf numFmtId="0" fontId="37" fillId="0" borderId="0" xfId="126"/>
    <xf numFmtId="37" fontId="4" fillId="0" borderId="14" xfId="125" quotePrefix="1" applyFont="1" applyBorder="1" applyAlignment="1">
      <alignment horizontal="left" vertical="center" wrapText="1"/>
    </xf>
    <xf numFmtId="37" fontId="4" fillId="0" borderId="20" xfId="125" quotePrefix="1" applyFont="1" applyBorder="1" applyAlignment="1">
      <alignment horizontal="left" vertical="center" wrapText="1"/>
    </xf>
    <xf numFmtId="0" fontId="4" fillId="0" borderId="9" xfId="126" applyFont="1" applyBorder="1" applyAlignment="1">
      <alignment horizontal="center" vertical="center" wrapText="1"/>
    </xf>
    <xf numFmtId="0" fontId="1" fillId="0" borderId="0" xfId="126" applyFont="1"/>
    <xf numFmtId="0" fontId="4" fillId="0" borderId="47" xfId="36" applyFont="1" applyBorder="1" applyAlignment="1">
      <alignment horizontal="center"/>
    </xf>
    <xf numFmtId="0" fontId="4" fillId="0" borderId="50" xfId="36" applyFont="1" applyBorder="1" applyAlignment="1">
      <alignment horizontal="center" wrapText="1"/>
    </xf>
    <xf numFmtId="0" fontId="4" fillId="0" borderId="47" xfId="36" applyFont="1" applyBorder="1" applyAlignment="1">
      <alignment horizontal="center" wrapText="1"/>
    </xf>
    <xf numFmtId="1" fontId="4" fillId="0" borderId="47" xfId="36" applyNumberFormat="1" applyFont="1" applyBorder="1" applyAlignment="1">
      <alignment horizontal="center" vertical="center" wrapText="1"/>
    </xf>
    <xf numFmtId="0" fontId="1" fillId="0" borderId="47" xfId="126" applyFont="1" applyBorder="1"/>
    <xf numFmtId="0" fontId="5" fillId="0" borderId="17" xfId="36" applyFont="1" applyBorder="1" applyAlignment="1">
      <alignment horizontal="center" vertical="center"/>
    </xf>
    <xf numFmtId="43" fontId="5" fillId="0" borderId="17" xfId="127" applyFont="1" applyFill="1" applyBorder="1" applyAlignment="1">
      <alignment vertical="center" wrapText="1"/>
    </xf>
    <xf numFmtId="43" fontId="5" fillId="0" borderId="17" xfId="127" applyFont="1" applyFill="1" applyBorder="1" applyAlignment="1">
      <alignment horizontal="right" vertical="center" wrapText="1"/>
    </xf>
    <xf numFmtId="0" fontId="5" fillId="0" borderId="17" xfId="36" applyFont="1" applyBorder="1" applyAlignment="1">
      <alignment horizontal="center"/>
    </xf>
    <xf numFmtId="0" fontId="1" fillId="0" borderId="17" xfId="126" applyFont="1" applyBorder="1" applyAlignment="1">
      <alignment horizontal="center"/>
    </xf>
    <xf numFmtId="0" fontId="5" fillId="0" borderId="83" xfId="36" applyFont="1" applyBorder="1" applyAlignment="1">
      <alignment horizontal="center" vertical="center"/>
    </xf>
    <xf numFmtId="2" fontId="5" fillId="0" borderId="84" xfId="49" applyNumberFormat="1" applyFont="1" applyBorder="1" applyAlignment="1">
      <alignment vertical="center" wrapText="1"/>
    </xf>
    <xf numFmtId="43" fontId="5" fillId="0" borderId="83" xfId="127" applyFont="1" applyFill="1" applyBorder="1" applyAlignment="1">
      <alignment vertical="center" wrapText="1"/>
    </xf>
    <xf numFmtId="43" fontId="5" fillId="0" borderId="83" xfId="127" applyFont="1" applyFill="1" applyBorder="1" applyAlignment="1">
      <alignment horizontal="right" vertical="center" wrapText="1"/>
    </xf>
    <xf numFmtId="0" fontId="5" fillId="0" borderId="83" xfId="36" applyFont="1" applyBorder="1" applyAlignment="1">
      <alignment horizontal="center"/>
    </xf>
    <xf numFmtId="0" fontId="5" fillId="0" borderId="84" xfId="36" applyFont="1" applyBorder="1" applyAlignment="1">
      <alignment horizontal="center" wrapText="1"/>
    </xf>
    <xf numFmtId="1" fontId="5" fillId="0" borderId="83" xfId="36" applyNumberFormat="1" applyFont="1" applyBorder="1" applyAlignment="1">
      <alignment horizontal="center" vertical="center" wrapText="1"/>
    </xf>
    <xf numFmtId="0" fontId="1" fillId="0" borderId="83" xfId="126" applyFont="1" applyBorder="1"/>
    <xf numFmtId="0" fontId="5" fillId="3" borderId="9" xfId="126" applyFont="1" applyFill="1" applyBorder="1" applyAlignment="1">
      <alignment vertical="center" wrapText="1"/>
    </xf>
    <xf numFmtId="43" fontId="4" fillId="3" borderId="9" xfId="127" applyFont="1" applyFill="1" applyBorder="1" applyAlignment="1">
      <alignment vertical="center" wrapText="1"/>
    </xf>
    <xf numFmtId="166" fontId="1" fillId="0" borderId="0" xfId="126" applyNumberFormat="1" applyFont="1"/>
    <xf numFmtId="0" fontId="12" fillId="0" borderId="18" xfId="126" applyFont="1" applyBorder="1" applyAlignment="1">
      <alignment horizontal="center" vertical="center" wrapText="1"/>
    </xf>
    <xf numFmtId="0" fontId="38" fillId="0" borderId="27" xfId="126" applyFont="1" applyBorder="1" applyAlignment="1">
      <alignment horizontal="center"/>
    </xf>
    <xf numFmtId="0" fontId="39" fillId="0" borderId="22" xfId="126" applyFont="1" applyBorder="1" applyAlignment="1">
      <alignment horizontal="left"/>
    </xf>
    <xf numFmtId="0" fontId="38" fillId="0" borderId="23" xfId="126" applyFont="1" applyBorder="1" applyAlignment="1">
      <alignment horizontal="left"/>
    </xf>
    <xf numFmtId="0" fontId="38" fillId="0" borderId="28" xfId="126" applyFont="1" applyBorder="1" applyAlignment="1">
      <alignment horizontal="left"/>
    </xf>
    <xf numFmtId="0" fontId="38" fillId="0" borderId="0" xfId="126" applyFont="1"/>
    <xf numFmtId="0" fontId="37" fillId="0" borderId="27" xfId="126" applyBorder="1" applyAlignment="1">
      <alignment horizontal="center"/>
    </xf>
    <xf numFmtId="0" fontId="37" fillId="0" borderId="22" xfId="126" applyBorder="1" applyAlignment="1">
      <alignment horizontal="left"/>
    </xf>
    <xf numFmtId="0" fontId="37" fillId="0" borderId="23" xfId="126" applyBorder="1" applyAlignment="1">
      <alignment horizontal="left"/>
    </xf>
    <xf numFmtId="0" fontId="37" fillId="0" borderId="28" xfId="126" applyBorder="1" applyAlignment="1">
      <alignment horizontal="left"/>
    </xf>
    <xf numFmtId="0" fontId="37" fillId="0" borderId="29" xfId="126" applyBorder="1" applyAlignment="1">
      <alignment horizontal="left"/>
    </xf>
    <xf numFmtId="0" fontId="37" fillId="0" borderId="40" xfId="126" applyBorder="1" applyAlignment="1">
      <alignment horizontal="left"/>
    </xf>
    <xf numFmtId="0" fontId="37" fillId="0" borderId="41" xfId="126" applyBorder="1" applyAlignment="1">
      <alignment horizontal="left"/>
    </xf>
    <xf numFmtId="0" fontId="1" fillId="0" borderId="0" xfId="126" applyFont="1" applyAlignment="1">
      <alignment wrapText="1"/>
    </xf>
    <xf numFmtId="0" fontId="37" fillId="0" borderId="0" xfId="126" applyAlignment="1">
      <alignment vertical="center"/>
    </xf>
    <xf numFmtId="0" fontId="4" fillId="0" borderId="88" xfId="2" applyFont="1" applyBorder="1" applyAlignment="1">
      <alignment horizontal="left" vertical="center" wrapText="1"/>
    </xf>
    <xf numFmtId="1" fontId="4" fillId="3" borderId="9" xfId="126" applyNumberFormat="1" applyFont="1" applyFill="1" applyBorder="1" applyAlignment="1">
      <alignment horizontal="center" vertical="center" wrapText="1"/>
    </xf>
    <xf numFmtId="1" fontId="4" fillId="3" borderId="9" xfId="126" applyNumberFormat="1" applyFont="1" applyFill="1" applyBorder="1" applyAlignment="1">
      <alignment vertical="center" wrapText="1"/>
    </xf>
    <xf numFmtId="0" fontId="1" fillId="0" borderId="0" xfId="126" applyFont="1" applyAlignment="1">
      <alignment vertical="center"/>
    </xf>
    <xf numFmtId="1" fontId="4" fillId="3" borderId="9" xfId="126" applyNumberFormat="1" applyFont="1" applyFill="1" applyBorder="1" applyAlignment="1">
      <alignment horizontal="center" vertical="center"/>
    </xf>
    <xf numFmtId="0" fontId="4" fillId="3" borderId="9" xfId="126" applyFont="1" applyFill="1" applyBorder="1" applyAlignment="1">
      <alignment horizontal="left" vertical="center" wrapText="1"/>
    </xf>
    <xf numFmtId="1" fontId="5" fillId="0" borderId="12" xfId="126" applyNumberFormat="1" applyFont="1" applyBorder="1" applyAlignment="1">
      <alignment horizontal="center" vertical="center"/>
    </xf>
    <xf numFmtId="0" fontId="5" fillId="2" borderId="0" xfId="126" applyFont="1" applyFill="1" applyAlignment="1">
      <alignment horizontal="justify" vertical="center" wrapText="1"/>
    </xf>
    <xf numFmtId="1" fontId="5" fillId="0" borderId="12" xfId="127" applyNumberFormat="1" applyFont="1" applyFill="1" applyBorder="1" applyAlignment="1" applyProtection="1">
      <alignment horizontal="center" vertical="center"/>
    </xf>
    <xf numFmtId="1" fontId="5" fillId="0" borderId="0" xfId="127" applyNumberFormat="1" applyFont="1" applyFill="1" applyBorder="1" applyAlignment="1" applyProtection="1">
      <alignment horizontal="center" vertical="center"/>
    </xf>
    <xf numFmtId="1" fontId="5" fillId="0" borderId="90" xfId="127" applyNumberFormat="1" applyFont="1" applyFill="1" applyBorder="1" applyAlignment="1" applyProtection="1">
      <alignment horizontal="center" vertical="center"/>
    </xf>
    <xf numFmtId="1" fontId="4" fillId="0" borderId="17" xfId="126" applyNumberFormat="1" applyFont="1" applyBorder="1" applyAlignment="1">
      <alignment horizontal="center" vertical="center"/>
    </xf>
    <xf numFmtId="0" fontId="4" fillId="0" borderId="23" xfId="126" applyFont="1" applyBorder="1" applyAlignment="1">
      <alignment vertical="center" wrapText="1"/>
    </xf>
    <xf numFmtId="1" fontId="5" fillId="0" borderId="17" xfId="127" applyNumberFormat="1" applyFont="1" applyFill="1" applyBorder="1" applyAlignment="1" applyProtection="1">
      <alignment horizontal="center" vertical="center"/>
    </xf>
    <xf numFmtId="1" fontId="5" fillId="0" borderId="23" xfId="127" applyNumberFormat="1" applyFont="1" applyFill="1" applyBorder="1" applyAlignment="1" applyProtection="1">
      <alignment horizontal="center" vertical="center"/>
    </xf>
    <xf numFmtId="1" fontId="5" fillId="0" borderId="27" xfId="127" applyNumberFormat="1" applyFont="1" applyFill="1" applyBorder="1" applyAlignment="1" applyProtection="1">
      <alignment horizontal="center" vertical="center"/>
    </xf>
    <xf numFmtId="1" fontId="5" fillId="0" borderId="47" xfId="126" applyNumberFormat="1" applyFont="1" applyBorder="1" applyAlignment="1">
      <alignment horizontal="center" vertical="center"/>
    </xf>
    <xf numFmtId="0" fontId="5" fillId="2" borderId="50" xfId="126" applyFont="1" applyFill="1" applyBorder="1" applyAlignment="1">
      <alignment horizontal="justify" vertical="center" wrapText="1"/>
    </xf>
    <xf numFmtId="165" fontId="5" fillId="0" borderId="47" xfId="127" applyNumberFormat="1" applyFont="1" applyFill="1" applyBorder="1" applyAlignment="1" applyProtection="1">
      <alignment horizontal="center" vertical="center"/>
    </xf>
    <xf numFmtId="1" fontId="5" fillId="0" borderId="50" xfId="127" applyNumberFormat="1" applyFont="1" applyFill="1" applyBorder="1" applyAlignment="1" applyProtection="1">
      <alignment horizontal="center" vertical="center"/>
    </xf>
    <xf numFmtId="1" fontId="5" fillId="0" borderId="91" xfId="127" applyNumberFormat="1" applyFont="1" applyFill="1" applyBorder="1" applyAlignment="1" applyProtection="1">
      <alignment horizontal="center" vertical="center"/>
    </xf>
    <xf numFmtId="1" fontId="5" fillId="0" borderId="47" xfId="127" applyNumberFormat="1" applyFont="1" applyFill="1" applyBorder="1" applyAlignment="1" applyProtection="1">
      <alignment horizontal="center" vertical="center"/>
    </xf>
    <xf numFmtId="1" fontId="5" fillId="0" borderId="17" xfId="126" applyNumberFormat="1" applyFont="1" applyBorder="1" applyAlignment="1">
      <alignment horizontal="center" vertical="center"/>
    </xf>
    <xf numFmtId="0" fontId="5" fillId="2" borderId="23" xfId="126" applyFont="1" applyFill="1" applyBorder="1" applyAlignment="1">
      <alignment horizontal="justify" vertical="center" wrapText="1"/>
    </xf>
    <xf numFmtId="165" fontId="5" fillId="0" borderId="17" xfId="127" applyNumberFormat="1" applyFont="1" applyFill="1" applyBorder="1" applyAlignment="1" applyProtection="1">
      <alignment horizontal="center" vertical="center"/>
    </xf>
    <xf numFmtId="0" fontId="5" fillId="0" borderId="23" xfId="126" applyFont="1" applyBorder="1" applyAlignment="1">
      <alignment vertical="center" wrapText="1"/>
    </xf>
    <xf numFmtId="1" fontId="5" fillId="0" borderId="83" xfId="126" applyNumberFormat="1" applyFont="1" applyBorder="1" applyAlignment="1">
      <alignment horizontal="center" vertical="center"/>
    </xf>
    <xf numFmtId="0" fontId="5" fillId="2" borderId="84" xfId="126" applyFont="1" applyFill="1" applyBorder="1" applyAlignment="1">
      <alignment horizontal="justify" vertical="center" wrapText="1"/>
    </xf>
    <xf numFmtId="1" fontId="5" fillId="0" borderId="83" xfId="127" applyNumberFormat="1" applyFont="1" applyFill="1" applyBorder="1" applyAlignment="1" applyProtection="1">
      <alignment horizontal="center" vertical="center"/>
    </xf>
    <xf numFmtId="1" fontId="5" fillId="0" borderId="84" xfId="127" applyNumberFormat="1" applyFont="1" applyFill="1" applyBorder="1" applyAlignment="1" applyProtection="1">
      <alignment horizontal="center" vertical="center"/>
    </xf>
    <xf numFmtId="1" fontId="4" fillId="0" borderId="17" xfId="127" applyNumberFormat="1" applyFont="1" applyFill="1" applyBorder="1" applyAlignment="1" applyProtection="1">
      <alignment horizontal="center" vertical="center"/>
    </xf>
    <xf numFmtId="1" fontId="4" fillId="0" borderId="23" xfId="127" applyNumberFormat="1" applyFont="1" applyFill="1" applyBorder="1" applyAlignment="1" applyProtection="1">
      <alignment horizontal="center" vertical="center"/>
    </xf>
    <xf numFmtId="0" fontId="36" fillId="0" borderId="0" xfId="126" applyFont="1" applyAlignment="1">
      <alignment vertical="center"/>
    </xf>
    <xf numFmtId="0" fontId="5" fillId="0" borderId="50" xfId="126" applyFont="1" applyBorder="1" applyAlignment="1">
      <alignment vertical="center" wrapText="1"/>
    </xf>
    <xf numFmtId="0" fontId="5" fillId="0" borderId="84" xfId="126" applyFont="1" applyBorder="1" applyAlignment="1">
      <alignment vertical="center" wrapText="1"/>
    </xf>
    <xf numFmtId="165" fontId="5" fillId="0" borderId="83" xfId="127" applyNumberFormat="1" applyFont="1" applyFill="1" applyBorder="1" applyAlignment="1" applyProtection="1">
      <alignment horizontal="center" vertical="center"/>
    </xf>
    <xf numFmtId="1" fontId="5" fillId="2" borderId="47" xfId="127" applyNumberFormat="1" applyFont="1" applyFill="1" applyBorder="1" applyAlignment="1" applyProtection="1">
      <alignment horizontal="center" vertical="center"/>
    </xf>
    <xf numFmtId="1" fontId="5" fillId="2" borderId="50" xfId="127" applyNumberFormat="1" applyFont="1" applyFill="1" applyBorder="1" applyAlignment="1" applyProtection="1">
      <alignment horizontal="center" vertical="center"/>
    </xf>
    <xf numFmtId="1" fontId="5" fillId="2" borderId="83" xfId="127" applyNumberFormat="1" applyFont="1" applyFill="1" applyBorder="1" applyAlignment="1" applyProtection="1">
      <alignment horizontal="center" vertical="center"/>
    </xf>
    <xf numFmtId="1" fontId="5" fillId="2" borderId="84" xfId="127" applyNumberFormat="1" applyFont="1" applyFill="1" applyBorder="1" applyAlignment="1" applyProtection="1">
      <alignment horizontal="center" vertical="center"/>
    </xf>
    <xf numFmtId="0" fontId="5" fillId="2" borderId="47" xfId="126" applyFont="1" applyFill="1" applyBorder="1" applyAlignment="1">
      <alignment horizontal="justify" vertical="center" wrapText="1"/>
    </xf>
    <xf numFmtId="0" fontId="12" fillId="2" borderId="50" xfId="126" applyFont="1" applyFill="1" applyBorder="1" applyAlignment="1">
      <alignment horizontal="justify" vertical="center" wrapText="1"/>
    </xf>
    <xf numFmtId="0" fontId="5" fillId="2" borderId="47" xfId="126" applyFont="1" applyFill="1" applyBorder="1" applyAlignment="1">
      <alignment horizontal="center" vertical="center" wrapText="1"/>
    </xf>
    <xf numFmtId="0" fontId="5" fillId="2" borderId="50" xfId="126" applyFont="1" applyFill="1" applyBorder="1" applyAlignment="1">
      <alignment horizontal="center" vertical="center" wrapText="1"/>
    </xf>
    <xf numFmtId="1" fontId="5" fillId="2" borderId="17" xfId="126" applyNumberFormat="1" applyFont="1" applyFill="1" applyBorder="1" applyAlignment="1">
      <alignment horizontal="center" vertical="center"/>
    </xf>
    <xf numFmtId="1" fontId="5" fillId="2" borderId="83" xfId="126" applyNumberFormat="1" applyFont="1" applyFill="1" applyBorder="1" applyAlignment="1">
      <alignment horizontal="center" vertical="center"/>
    </xf>
    <xf numFmtId="0" fontId="40" fillId="0" borderId="22" xfId="126" applyFont="1" applyBorder="1" applyAlignment="1">
      <alignment horizontal="left" vertical="top" wrapText="1"/>
    </xf>
    <xf numFmtId="0" fontId="36" fillId="30" borderId="23" xfId="126" applyFont="1" applyFill="1" applyBorder="1" applyAlignment="1">
      <alignment horizontal="justify" vertical="center" wrapText="1"/>
    </xf>
    <xf numFmtId="0" fontId="4" fillId="0" borderId="17" xfId="126" applyFont="1" applyBorder="1" applyAlignment="1">
      <alignment horizontal="center" vertical="center"/>
    </xf>
    <xf numFmtId="1" fontId="4" fillId="0" borderId="23" xfId="126" applyNumberFormat="1" applyFont="1" applyBorder="1" applyAlignment="1">
      <alignment horizontal="center" vertical="center"/>
    </xf>
    <xf numFmtId="0" fontId="5" fillId="0" borderId="17" xfId="126" applyFont="1" applyBorder="1" applyAlignment="1">
      <alignment horizontal="center" vertical="center"/>
    </xf>
    <xf numFmtId="1" fontId="5" fillId="0" borderId="23" xfId="126" applyNumberFormat="1" applyFont="1" applyBorder="1" applyAlignment="1">
      <alignment horizontal="center" vertical="center"/>
    </xf>
    <xf numFmtId="0" fontId="1" fillId="30" borderId="23" xfId="126" applyFont="1" applyFill="1" applyBorder="1" applyAlignment="1">
      <alignment horizontal="justify" vertical="center" wrapText="1"/>
    </xf>
    <xf numFmtId="0" fontId="1" fillId="30" borderId="84" xfId="126" applyFont="1" applyFill="1" applyBorder="1" applyAlignment="1">
      <alignment horizontal="justify" vertical="center" wrapText="1"/>
    </xf>
    <xf numFmtId="0" fontId="5" fillId="0" borderId="83" xfId="126" applyFont="1" applyBorder="1" applyAlignment="1">
      <alignment horizontal="center" vertical="center"/>
    </xf>
    <xf numFmtId="1" fontId="5" fillId="0" borderId="84" xfId="126" applyNumberFormat="1" applyFont="1" applyBorder="1" applyAlignment="1">
      <alignment horizontal="center" vertical="center"/>
    </xf>
    <xf numFmtId="0" fontId="5" fillId="30" borderId="84" xfId="126" applyFont="1" applyFill="1" applyBorder="1" applyAlignment="1">
      <alignment horizontal="justify" vertical="center" wrapText="1"/>
    </xf>
    <xf numFmtId="0" fontId="4" fillId="3" borderId="9" xfId="126" applyFont="1" applyFill="1" applyBorder="1" applyAlignment="1">
      <alignment horizontal="center" vertical="center" wrapText="1"/>
    </xf>
    <xf numFmtId="1" fontId="4" fillId="0" borderId="12" xfId="126" applyNumberFormat="1" applyFont="1" applyBorder="1" applyAlignment="1">
      <alignment horizontal="center" vertical="center"/>
    </xf>
    <xf numFmtId="0" fontId="1" fillId="30" borderId="0" xfId="126" applyFont="1" applyFill="1" applyAlignment="1">
      <alignment horizontal="justify" vertical="center" wrapText="1"/>
    </xf>
    <xf numFmtId="0" fontId="4" fillId="0" borderId="12" xfId="126" applyFont="1" applyBorder="1" applyAlignment="1">
      <alignment horizontal="center" vertical="center"/>
    </xf>
    <xf numFmtId="1" fontId="4" fillId="0" borderId="0" xfId="126" applyNumberFormat="1" applyFont="1" applyAlignment="1">
      <alignment horizontal="center" vertical="center"/>
    </xf>
    <xf numFmtId="1" fontId="4" fillId="0" borderId="83" xfId="126" applyNumberFormat="1" applyFont="1" applyBorder="1" applyAlignment="1">
      <alignment horizontal="center" vertical="center"/>
    </xf>
    <xf numFmtId="0" fontId="4" fillId="30" borderId="84" xfId="126" applyFont="1" applyFill="1" applyBorder="1" applyAlignment="1">
      <alignment horizontal="justify" vertical="center" wrapText="1"/>
    </xf>
    <xf numFmtId="0" fontId="4" fillId="0" borderId="83" xfId="126" applyFont="1" applyBorder="1" applyAlignment="1">
      <alignment horizontal="center" vertical="center"/>
    </xf>
    <xf numFmtId="1" fontId="4" fillId="30" borderId="84" xfId="126" applyNumberFormat="1" applyFont="1" applyFill="1" applyBorder="1" applyAlignment="1">
      <alignment horizontal="center" vertical="center"/>
    </xf>
    <xf numFmtId="1" fontId="5" fillId="2" borderId="12" xfId="126" applyNumberFormat="1" applyFont="1" applyFill="1" applyBorder="1" applyAlignment="1">
      <alignment horizontal="center" vertical="center"/>
    </xf>
    <xf numFmtId="165" fontId="5" fillId="2" borderId="12" xfId="127" applyNumberFormat="1" applyFont="1" applyFill="1" applyBorder="1" applyAlignment="1" applyProtection="1">
      <alignment horizontal="center" vertical="center"/>
    </xf>
    <xf numFmtId="1" fontId="5" fillId="2" borderId="0" xfId="127" applyNumberFormat="1" applyFont="1" applyFill="1" applyBorder="1" applyAlignment="1" applyProtection="1">
      <alignment horizontal="center" vertical="center"/>
    </xf>
    <xf numFmtId="1" fontId="5" fillId="2" borderId="47" xfId="126" applyNumberFormat="1" applyFont="1" applyFill="1" applyBorder="1" applyAlignment="1">
      <alignment horizontal="center" vertical="center"/>
    </xf>
    <xf numFmtId="0" fontId="5" fillId="30" borderId="23" xfId="126" applyFont="1" applyFill="1" applyBorder="1" applyAlignment="1">
      <alignment vertical="center" wrapText="1"/>
    </xf>
    <xf numFmtId="0" fontId="5" fillId="2" borderId="23" xfId="126" quotePrefix="1" applyFont="1" applyFill="1" applyBorder="1" applyAlignment="1">
      <alignment horizontal="justify" vertical="center" wrapText="1"/>
    </xf>
    <xf numFmtId="165" fontId="5" fillId="2" borderId="17" xfId="127" applyNumberFormat="1" applyFont="1" applyFill="1" applyBorder="1" applyAlignment="1" applyProtection="1">
      <alignment horizontal="center" vertical="center"/>
    </xf>
    <xf numFmtId="1" fontId="5" fillId="2" borderId="23" xfId="127" applyNumberFormat="1" applyFont="1" applyFill="1" applyBorder="1" applyAlignment="1" applyProtection="1">
      <alignment horizontal="center" vertical="center"/>
    </xf>
    <xf numFmtId="1" fontId="1" fillId="0" borderId="17" xfId="126" applyNumberFormat="1" applyFont="1" applyBorder="1" applyAlignment="1">
      <alignment horizontal="center" vertical="center"/>
    </xf>
    <xf numFmtId="0" fontId="1" fillId="0" borderId="23" xfId="126" applyFont="1" applyBorder="1" applyAlignment="1">
      <alignment vertical="center" wrapText="1"/>
    </xf>
    <xf numFmtId="1" fontId="1" fillId="0" borderId="23" xfId="126" applyNumberFormat="1" applyFont="1" applyBorder="1" applyAlignment="1">
      <alignment horizontal="center" vertical="center"/>
    </xf>
    <xf numFmtId="165" fontId="5" fillId="2" borderId="83" xfId="127" applyNumberFormat="1" applyFont="1" applyFill="1" applyBorder="1" applyAlignment="1" applyProtection="1">
      <alignment horizontal="center" vertical="center"/>
    </xf>
    <xf numFmtId="1" fontId="36" fillId="0" borderId="12" xfId="126" applyNumberFormat="1" applyFont="1" applyBorder="1" applyAlignment="1">
      <alignment horizontal="center" vertical="center"/>
    </xf>
    <xf numFmtId="0" fontId="36" fillId="0" borderId="0" xfId="126" applyFont="1" applyAlignment="1">
      <alignment vertical="center" wrapText="1"/>
    </xf>
    <xf numFmtId="0" fontId="36" fillId="0" borderId="12" xfId="126" applyFont="1" applyBorder="1" applyAlignment="1">
      <alignment horizontal="center" vertical="center"/>
    </xf>
    <xf numFmtId="1" fontId="36" fillId="0" borderId="0" xfId="126" applyNumberFormat="1" applyFont="1" applyAlignment="1">
      <alignment horizontal="center" vertical="center"/>
    </xf>
    <xf numFmtId="0" fontId="5" fillId="0" borderId="83" xfId="126" applyFont="1" applyBorder="1" applyAlignment="1">
      <alignment horizontal="center" vertical="center" wrapText="1"/>
    </xf>
    <xf numFmtId="1" fontId="36" fillId="0" borderId="17" xfId="126" applyNumberFormat="1" applyFont="1" applyBorder="1" applyAlignment="1">
      <alignment horizontal="center" vertical="center"/>
    </xf>
    <xf numFmtId="0" fontId="36" fillId="0" borderId="23" xfId="126" applyFont="1" applyBorder="1" applyAlignment="1">
      <alignment vertical="center" wrapText="1"/>
    </xf>
    <xf numFmtId="165" fontId="4" fillId="0" borderId="17" xfId="127" applyNumberFormat="1" applyFont="1" applyFill="1" applyBorder="1" applyAlignment="1" applyProtection="1">
      <alignment horizontal="center" vertical="center"/>
    </xf>
    <xf numFmtId="1" fontId="36" fillId="0" borderId="23" xfId="126" applyNumberFormat="1" applyFont="1" applyBorder="1" applyAlignment="1">
      <alignment horizontal="center" vertical="center"/>
    </xf>
    <xf numFmtId="0" fontId="5" fillId="0" borderId="0" xfId="126" applyFont="1" applyAlignment="1">
      <alignment vertical="center" wrapText="1"/>
    </xf>
    <xf numFmtId="165" fontId="5" fillId="0" borderId="12" xfId="127" applyNumberFormat="1" applyFont="1" applyFill="1" applyBorder="1" applyAlignment="1" applyProtection="1">
      <alignment horizontal="center" vertical="center"/>
    </xf>
    <xf numFmtId="0" fontId="5" fillId="30" borderId="84" xfId="126" applyFont="1" applyFill="1" applyBorder="1" applyAlignment="1">
      <alignment vertical="center" wrapText="1"/>
    </xf>
    <xf numFmtId="165" fontId="4" fillId="3" borderId="9" xfId="127" applyNumberFormat="1" applyFont="1" applyFill="1" applyBorder="1" applyAlignment="1" applyProtection="1">
      <alignment horizontal="center" vertical="center"/>
    </xf>
    <xf numFmtId="1" fontId="4" fillId="3" borderId="9" xfId="127" applyNumberFormat="1" applyFont="1" applyFill="1" applyBorder="1" applyAlignment="1" applyProtection="1">
      <alignment horizontal="center" vertical="center"/>
    </xf>
    <xf numFmtId="1" fontId="1" fillId="0" borderId="47" xfId="126" applyNumberFormat="1" applyFont="1" applyBorder="1" applyAlignment="1">
      <alignment horizontal="center" vertical="center"/>
    </xf>
    <xf numFmtId="0" fontId="5" fillId="0" borderId="50" xfId="126" applyFont="1" applyBorder="1" applyAlignment="1">
      <alignment horizontal="left" vertical="center" wrapText="1"/>
    </xf>
    <xf numFmtId="1" fontId="1" fillId="0" borderId="50" xfId="126" applyNumberFormat="1" applyFont="1" applyBorder="1" applyAlignment="1">
      <alignment horizontal="center" vertical="center"/>
    </xf>
    <xf numFmtId="1" fontId="1" fillId="0" borderId="83" xfId="126" applyNumberFormat="1" applyFont="1" applyBorder="1" applyAlignment="1">
      <alignment horizontal="center" vertical="center"/>
    </xf>
    <xf numFmtId="0" fontId="1" fillId="0" borderId="84" xfId="126" applyFont="1" applyBorder="1" applyAlignment="1">
      <alignment vertical="center" wrapText="1"/>
    </xf>
    <xf numFmtId="1" fontId="1" fillId="0" borderId="84" xfId="126" applyNumberFormat="1" applyFont="1" applyBorder="1" applyAlignment="1">
      <alignment horizontal="center" vertical="center"/>
    </xf>
    <xf numFmtId="1" fontId="1" fillId="0" borderId="0" xfId="126" quotePrefix="1" applyNumberFormat="1" applyFont="1" applyAlignment="1">
      <alignment horizontal="center" vertical="center"/>
    </xf>
    <xf numFmtId="1" fontId="36" fillId="0" borderId="47" xfId="126" applyNumberFormat="1" applyFont="1" applyBorder="1" applyAlignment="1">
      <alignment horizontal="center" vertical="center"/>
    </xf>
    <xf numFmtId="0" fontId="4" fillId="0" borderId="50" xfId="126" applyFont="1" applyBorder="1" applyAlignment="1">
      <alignment vertical="center" wrapText="1"/>
    </xf>
    <xf numFmtId="1" fontId="1" fillId="0" borderId="50" xfId="126" quotePrefix="1" applyNumberFormat="1" applyFont="1" applyBorder="1" applyAlignment="1">
      <alignment horizontal="center" vertical="center"/>
    </xf>
    <xf numFmtId="1" fontId="1" fillId="0" borderId="23" xfId="126" quotePrefix="1" applyNumberFormat="1" applyFont="1" applyBorder="1" applyAlignment="1">
      <alignment horizontal="center" vertical="center"/>
    </xf>
    <xf numFmtId="0" fontId="1" fillId="30" borderId="23" xfId="126" applyFont="1" applyFill="1" applyBorder="1" applyAlignment="1">
      <alignment vertical="center" wrapText="1"/>
    </xf>
    <xf numFmtId="0" fontId="36" fillId="30" borderId="17" xfId="126" applyFont="1" applyFill="1" applyBorder="1" applyAlignment="1">
      <alignment horizontal="center" vertical="center"/>
    </xf>
    <xf numFmtId="0" fontId="36" fillId="30" borderId="23" xfId="126" quotePrefix="1" applyFont="1" applyFill="1" applyBorder="1" applyAlignment="1">
      <alignment vertical="center" wrapText="1"/>
    </xf>
    <xf numFmtId="0" fontId="41" fillId="30" borderId="23" xfId="126" applyFont="1" applyFill="1" applyBorder="1" applyAlignment="1">
      <alignment vertical="center" wrapText="1"/>
    </xf>
    <xf numFmtId="0" fontId="1" fillId="30" borderId="23" xfId="126" quotePrefix="1" applyFont="1" applyFill="1" applyBorder="1" applyAlignment="1">
      <alignment vertical="center" wrapText="1"/>
    </xf>
    <xf numFmtId="0" fontId="36" fillId="30" borderId="23" xfId="126" applyFont="1" applyFill="1" applyBorder="1" applyAlignment="1">
      <alignment vertical="center" wrapText="1"/>
    </xf>
    <xf numFmtId="0" fontId="1" fillId="30" borderId="17" xfId="126" applyFont="1" applyFill="1" applyBorder="1" applyAlignment="1">
      <alignment horizontal="center" vertical="center"/>
    </xf>
    <xf numFmtId="1" fontId="36" fillId="0" borderId="83" xfId="126" applyNumberFormat="1" applyFont="1" applyBorder="1" applyAlignment="1">
      <alignment horizontal="right" vertical="center"/>
    </xf>
    <xf numFmtId="0" fontId="1" fillId="30" borderId="84" xfId="126" applyFont="1" applyFill="1" applyBorder="1" applyAlignment="1">
      <alignment vertical="center" wrapText="1"/>
    </xf>
    <xf numFmtId="0" fontId="1" fillId="30" borderId="83" xfId="126" applyFont="1" applyFill="1" applyBorder="1" applyAlignment="1">
      <alignment horizontal="center" vertical="center"/>
    </xf>
    <xf numFmtId="0" fontId="1" fillId="30" borderId="50" xfId="126" applyFont="1" applyFill="1" applyBorder="1" applyAlignment="1">
      <alignment vertical="center" wrapText="1"/>
    </xf>
    <xf numFmtId="0" fontId="1" fillId="30" borderId="47" xfId="126" applyFont="1" applyFill="1" applyBorder="1" applyAlignment="1">
      <alignment horizontal="center" vertical="center"/>
    </xf>
    <xf numFmtId="1" fontId="5" fillId="0" borderId="50" xfId="126" applyNumberFormat="1" applyFont="1" applyBorder="1" applyAlignment="1">
      <alignment horizontal="center" vertical="center"/>
    </xf>
    <xf numFmtId="168" fontId="1" fillId="0" borderId="83" xfId="126" applyNumberFormat="1" applyFont="1" applyBorder="1" applyAlignment="1">
      <alignment horizontal="center" vertical="center"/>
    </xf>
    <xf numFmtId="0" fontId="1" fillId="30" borderId="84" xfId="126" quotePrefix="1" applyFont="1" applyFill="1" applyBorder="1" applyAlignment="1">
      <alignment vertical="center" wrapText="1"/>
    </xf>
    <xf numFmtId="0" fontId="1" fillId="0" borderId="50" xfId="126" applyFont="1" applyBorder="1" applyAlignment="1">
      <alignment vertical="center" wrapText="1"/>
    </xf>
    <xf numFmtId="168" fontId="1" fillId="0" borderId="17" xfId="126" applyNumberFormat="1" applyFont="1" applyBorder="1" applyAlignment="1">
      <alignment horizontal="center" vertical="center"/>
    </xf>
    <xf numFmtId="0" fontId="36" fillId="30" borderId="84" xfId="126" applyFont="1" applyFill="1" applyBorder="1" applyAlignment="1">
      <alignment vertical="center" wrapText="1"/>
    </xf>
    <xf numFmtId="168" fontId="1" fillId="0" borderId="12" xfId="126" applyNumberFormat="1" applyFont="1" applyBorder="1" applyAlignment="1">
      <alignment horizontal="center" vertical="center"/>
    </xf>
    <xf numFmtId="0" fontId="5" fillId="30" borderId="0" xfId="126" applyFont="1" applyFill="1" applyAlignment="1">
      <alignment vertical="center" wrapText="1"/>
    </xf>
    <xf numFmtId="0" fontId="1" fillId="30" borderId="12" xfId="126" applyFont="1" applyFill="1" applyBorder="1" applyAlignment="1">
      <alignment horizontal="center" vertical="center"/>
    </xf>
    <xf numFmtId="1" fontId="5" fillId="0" borderId="0" xfId="126" applyNumberFormat="1" applyFont="1" applyAlignment="1">
      <alignment horizontal="center" vertical="center"/>
    </xf>
    <xf numFmtId="0" fontId="5" fillId="3" borderId="9" xfId="126" applyFont="1" applyFill="1" applyBorder="1" applyAlignment="1">
      <alignment horizontal="center" vertical="center" wrapText="1"/>
    </xf>
    <xf numFmtId="1" fontId="5" fillId="3" borderId="9" xfId="126" applyNumberFormat="1" applyFont="1" applyFill="1" applyBorder="1" applyAlignment="1">
      <alignment horizontal="center" vertical="center" wrapText="1"/>
    </xf>
    <xf numFmtId="0" fontId="4" fillId="2" borderId="9" xfId="51" applyFont="1" applyFill="1" applyBorder="1" applyAlignment="1" applyProtection="1">
      <alignment horizontal="center" wrapText="1"/>
      <protection hidden="1"/>
    </xf>
    <xf numFmtId="0" fontId="5" fillId="2" borderId="9" xfId="51" applyFont="1" applyFill="1" applyBorder="1" applyAlignment="1" applyProtection="1">
      <alignment horizontal="justify" wrapText="1"/>
      <protection hidden="1"/>
    </xf>
    <xf numFmtId="166" fontId="5" fillId="2" borderId="9" xfId="128" applyFont="1" applyFill="1" applyBorder="1" applyAlignment="1" applyProtection="1">
      <alignment horizontal="center"/>
      <protection hidden="1"/>
    </xf>
    <xf numFmtId="179" fontId="5" fillId="2" borderId="9" xfId="128" applyNumberFormat="1" applyFont="1" applyFill="1" applyBorder="1" applyAlignment="1" applyProtection="1">
      <alignment horizontal="center"/>
      <protection hidden="1"/>
    </xf>
    <xf numFmtId="0" fontId="4" fillId="2" borderId="9" xfId="51" applyFont="1" applyFill="1" applyBorder="1" applyAlignment="1" applyProtection="1">
      <alignment horizontal="justify" wrapText="1"/>
      <protection hidden="1"/>
    </xf>
    <xf numFmtId="0" fontId="5" fillId="30" borderId="9" xfId="51" applyFont="1" applyFill="1" applyBorder="1" applyAlignment="1" applyProtection="1">
      <alignment horizontal="justify" vertical="top" wrapText="1"/>
      <protection hidden="1"/>
    </xf>
    <xf numFmtId="166" fontId="5" fillId="0" borderId="9" xfId="128" applyFont="1" applyFill="1" applyBorder="1" applyAlignment="1" applyProtection="1">
      <alignment horizontal="center"/>
      <protection hidden="1"/>
    </xf>
    <xf numFmtId="166" fontId="5" fillId="30" borderId="9" xfId="128" applyFont="1" applyFill="1" applyBorder="1" applyAlignment="1" applyProtection="1">
      <alignment horizontal="center"/>
      <protection hidden="1"/>
    </xf>
    <xf numFmtId="179" fontId="5" fillId="30" borderId="9" xfId="128" applyNumberFormat="1" applyFont="1" applyFill="1" applyBorder="1" applyAlignment="1" applyProtection="1">
      <alignment horizontal="center"/>
      <protection hidden="1"/>
    </xf>
    <xf numFmtId="0" fontId="5" fillId="0" borderId="9" xfId="51" applyFont="1" applyBorder="1" applyAlignment="1" applyProtection="1">
      <alignment horizontal="justify" wrapText="1"/>
      <protection hidden="1"/>
    </xf>
    <xf numFmtId="0" fontId="5" fillId="31" borderId="9" xfId="129" applyFont="1" applyFill="1" applyBorder="1" applyAlignment="1" applyProtection="1">
      <alignment horizontal="justify" wrapText="1"/>
      <protection hidden="1"/>
    </xf>
    <xf numFmtId="0" fontId="4" fillId="30" borderId="9" xfId="51" applyFont="1" applyFill="1" applyBorder="1" applyAlignment="1" applyProtection="1">
      <alignment horizontal="justify" wrapText="1"/>
      <protection hidden="1"/>
    </xf>
    <xf numFmtId="1" fontId="4" fillId="0" borderId="9" xfId="51" applyNumberFormat="1" applyFont="1" applyBorder="1" applyAlignment="1" applyProtection="1">
      <alignment horizontal="center"/>
      <protection hidden="1"/>
    </xf>
    <xf numFmtId="0" fontId="5" fillId="30" borderId="9" xfId="51" applyFont="1" applyFill="1" applyBorder="1" applyAlignment="1" applyProtection="1">
      <alignment horizontal="justify" wrapText="1"/>
      <protection hidden="1"/>
    </xf>
    <xf numFmtId="1" fontId="4" fillId="30" borderId="9" xfId="51" applyNumberFormat="1" applyFont="1" applyFill="1" applyBorder="1" applyAlignment="1" applyProtection="1">
      <alignment horizontal="center"/>
      <protection hidden="1"/>
    </xf>
    <xf numFmtId="0" fontId="5" fillId="30" borderId="9" xfId="51" applyFont="1" applyFill="1" applyBorder="1" applyAlignment="1" applyProtection="1">
      <alignment horizontal="justify" vertical="center" wrapText="1"/>
      <protection hidden="1"/>
    </xf>
    <xf numFmtId="166" fontId="5" fillId="30" borderId="9" xfId="128" applyFont="1" applyFill="1" applyBorder="1" applyAlignment="1" applyProtection="1">
      <alignment horizontal="center" vertical="center"/>
      <protection hidden="1"/>
    </xf>
    <xf numFmtId="179" fontId="5" fillId="2" borderId="9" xfId="128" applyNumberFormat="1" applyFont="1" applyFill="1" applyBorder="1" applyAlignment="1" applyProtection="1">
      <alignment horizontal="center" vertical="center"/>
      <protection hidden="1"/>
    </xf>
    <xf numFmtId="1" fontId="4" fillId="32" borderId="9" xfId="51" applyNumberFormat="1" applyFont="1" applyFill="1" applyBorder="1" applyAlignment="1" applyProtection="1">
      <alignment horizontal="center"/>
      <protection hidden="1"/>
    </xf>
    <xf numFmtId="0" fontId="4" fillId="32" borderId="9" xfId="51" applyFont="1" applyFill="1" applyBorder="1" applyAlignment="1" applyProtection="1">
      <alignment horizontal="justify" wrapText="1"/>
      <protection hidden="1"/>
    </xf>
    <xf numFmtId="166" fontId="4" fillId="32" borderId="9" xfId="128" applyFont="1" applyFill="1" applyBorder="1" applyAlignment="1" applyProtection="1">
      <alignment horizontal="center" wrapText="1"/>
      <protection hidden="1"/>
    </xf>
    <xf numFmtId="179" fontId="4" fillId="32" borderId="9" xfId="128" applyNumberFormat="1" applyFont="1" applyFill="1" applyBorder="1" applyAlignment="1" applyProtection="1">
      <alignment horizontal="center" wrapText="1"/>
      <protection hidden="1"/>
    </xf>
    <xf numFmtId="166" fontId="4" fillId="32" borderId="9" xfId="128" applyFont="1" applyFill="1" applyBorder="1" applyAlignment="1" applyProtection="1">
      <alignment horizontal="center" wrapText="1"/>
      <protection locked="0"/>
    </xf>
    <xf numFmtId="1" fontId="1" fillId="0" borderId="9" xfId="51" applyNumberFormat="1" applyFont="1" applyBorder="1" applyAlignment="1" applyProtection="1">
      <alignment horizontal="center"/>
      <protection hidden="1"/>
    </xf>
    <xf numFmtId="0" fontId="1" fillId="0" borderId="9" xfId="51" applyFont="1" applyBorder="1" applyAlignment="1" applyProtection="1">
      <alignment horizontal="justify" wrapText="1"/>
      <protection hidden="1"/>
    </xf>
    <xf numFmtId="166" fontId="1" fillId="0" borderId="9" xfId="128" applyFont="1" applyFill="1" applyBorder="1" applyAlignment="1" applyProtection="1">
      <alignment horizontal="center"/>
      <protection hidden="1"/>
    </xf>
    <xf numFmtId="179" fontId="1" fillId="0" borderId="9" xfId="128" applyNumberFormat="1" applyFont="1" applyFill="1" applyBorder="1" applyAlignment="1" applyProtection="1">
      <alignment horizontal="center"/>
      <protection hidden="1"/>
    </xf>
    <xf numFmtId="166" fontId="1" fillId="0" borderId="9" xfId="128" applyFont="1" applyFill="1" applyBorder="1" applyAlignment="1" applyProtection="1">
      <alignment horizontal="center"/>
      <protection locked="0"/>
    </xf>
    <xf numFmtId="1" fontId="1" fillId="0" borderId="0" xfId="126" applyNumberFormat="1" applyFont="1" applyAlignment="1">
      <alignment horizontal="center" vertical="center"/>
    </xf>
    <xf numFmtId="0" fontId="1" fillId="0" borderId="0" xfId="126" applyFont="1" applyAlignment="1">
      <alignment horizontal="justify" vertical="center" wrapText="1"/>
    </xf>
    <xf numFmtId="0" fontId="1" fillId="0" borderId="0" xfId="126" applyFont="1" applyAlignment="1">
      <alignment horizontal="center" vertical="center"/>
    </xf>
    <xf numFmtId="1" fontId="1" fillId="0" borderId="93" xfId="126" applyNumberFormat="1" applyFont="1" applyBorder="1" applyAlignment="1">
      <alignment horizontal="center" vertical="center"/>
    </xf>
    <xf numFmtId="0" fontId="1" fillId="0" borderId="93" xfId="126" applyFont="1" applyBorder="1" applyAlignment="1">
      <alignment horizontal="center" vertical="center"/>
    </xf>
    <xf numFmtId="0" fontId="1" fillId="0" borderId="0" xfId="130"/>
    <xf numFmtId="0" fontId="1" fillId="0" borderId="9" xfId="130" applyBorder="1" applyAlignment="1">
      <alignment horizontal="center" vertical="center" wrapText="1"/>
    </xf>
    <xf numFmtId="0" fontId="1" fillId="0" borderId="9" xfId="130" applyBorder="1" applyAlignment="1">
      <alignment vertical="center" wrapText="1"/>
    </xf>
    <xf numFmtId="0" fontId="1" fillId="0" borderId="9" xfId="130" applyBorder="1" applyAlignment="1">
      <alignment vertical="center"/>
    </xf>
    <xf numFmtId="0" fontId="1" fillId="0" borderId="9" xfId="130" applyBorder="1"/>
    <xf numFmtId="0" fontId="36" fillId="0" borderId="9" xfId="130" applyFont="1" applyBorder="1" applyAlignment="1">
      <alignment horizontal="center" vertical="center" wrapText="1"/>
    </xf>
    <xf numFmtId="0" fontId="36" fillId="0" borderId="9" xfId="130" applyFont="1" applyBorder="1" applyAlignment="1">
      <alignment vertical="center" wrapText="1"/>
    </xf>
    <xf numFmtId="0" fontId="1" fillId="0" borderId="9" xfId="130" applyBorder="1" applyAlignment="1">
      <alignment horizontal="right" vertical="center" wrapText="1"/>
    </xf>
    <xf numFmtId="0" fontId="42" fillId="0" borderId="9" xfId="130" applyFont="1" applyBorder="1" applyAlignment="1">
      <alignment vertical="center" wrapText="1"/>
    </xf>
    <xf numFmtId="0" fontId="5" fillId="0" borderId="83" xfId="49" applyFont="1" applyBorder="1" applyAlignment="1">
      <alignment horizontal="center" vertical="center" wrapText="1"/>
    </xf>
    <xf numFmtId="2" fontId="5" fillId="0" borderId="83" xfId="49" applyNumberFormat="1" applyFont="1" applyBorder="1" applyAlignment="1">
      <alignment vertical="center" wrapText="1"/>
    </xf>
    <xf numFmtId="43" fontId="5" fillId="0" borderId="83" xfId="1" applyFont="1" applyFill="1" applyBorder="1" applyAlignment="1">
      <alignment horizontal="right" vertical="center" wrapText="1"/>
    </xf>
    <xf numFmtId="165" fontId="0" fillId="0" borderId="0" xfId="0" applyNumberFormat="1"/>
    <xf numFmtId="165" fontId="1" fillId="0" borderId="0" xfId="0" applyNumberFormat="1" applyFont="1"/>
    <xf numFmtId="1" fontId="4" fillId="3" borderId="9" xfId="0" applyNumberFormat="1" applyFont="1" applyFill="1" applyBorder="1" applyAlignment="1">
      <alignment horizontal="center" vertical="center" wrapText="1"/>
    </xf>
    <xf numFmtId="1" fontId="4" fillId="0" borderId="0" xfId="0" applyNumberFormat="1" applyFont="1" applyAlignment="1">
      <alignment horizontal="center" vertical="center"/>
    </xf>
    <xf numFmtId="1" fontId="36" fillId="0" borderId="0" xfId="0" applyNumberFormat="1" applyFont="1" applyAlignment="1">
      <alignment horizontal="center" vertical="center"/>
    </xf>
    <xf numFmtId="1" fontId="1" fillId="0" borderId="0" xfId="0" quotePrefix="1" applyNumberFormat="1" applyFont="1" applyAlignment="1">
      <alignment horizontal="center" vertical="center"/>
    </xf>
    <xf numFmtId="1" fontId="5" fillId="3" borderId="9" xfId="0" applyNumberFormat="1" applyFont="1" applyFill="1" applyBorder="1" applyAlignment="1">
      <alignment horizontal="center" vertical="center" wrapText="1"/>
    </xf>
    <xf numFmtId="1" fontId="1" fillId="0" borderId="0" xfId="0" applyNumberFormat="1" applyFont="1" applyAlignment="1">
      <alignment horizontal="center" vertical="center"/>
    </xf>
    <xf numFmtId="43" fontId="4" fillId="0" borderId="14" xfId="1" quotePrefix="1" applyFont="1" applyBorder="1" applyAlignment="1">
      <alignment horizontal="left" vertical="center" wrapText="1"/>
    </xf>
    <xf numFmtId="43" fontId="4" fillId="0" borderId="20" xfId="1" quotePrefix="1" applyFont="1" applyBorder="1" applyAlignment="1">
      <alignment horizontal="left" vertical="center" wrapText="1"/>
    </xf>
    <xf numFmtId="43" fontId="4" fillId="3" borderId="9" xfId="1" applyFont="1" applyFill="1" applyBorder="1" applyAlignment="1">
      <alignment horizontal="center" vertical="center" wrapText="1"/>
    </xf>
    <xf numFmtId="43" fontId="5" fillId="2" borderId="16" xfId="1" applyFont="1" applyFill="1" applyBorder="1" applyAlignment="1">
      <alignment horizontal="left" vertical="center" wrapText="1"/>
    </xf>
    <xf numFmtId="43" fontId="5" fillId="0" borderId="16" xfId="1" applyFont="1" applyBorder="1" applyAlignment="1">
      <alignment horizontal="left" vertical="center" wrapText="1"/>
    </xf>
    <xf numFmtId="43" fontId="5" fillId="0" borderId="45" xfId="1" applyFont="1" applyBorder="1" applyAlignment="1">
      <alignment vertical="center"/>
    </xf>
    <xf numFmtId="43" fontId="5" fillId="0" borderId="46" xfId="1" applyFont="1" applyBorder="1" applyAlignment="1">
      <alignment vertical="center"/>
    </xf>
    <xf numFmtId="43" fontId="12" fillId="0" borderId="25" xfId="1" applyFont="1" applyBorder="1" applyAlignment="1">
      <alignment vertical="center"/>
    </xf>
    <xf numFmtId="43" fontId="12" fillId="0" borderId="26" xfId="1" applyFont="1" applyBorder="1" applyAlignment="1">
      <alignment vertical="center"/>
    </xf>
    <xf numFmtId="43" fontId="0" fillId="0" borderId="23" xfId="1" applyFont="1" applyBorder="1" applyAlignment="1">
      <alignment horizontal="left"/>
    </xf>
    <xf numFmtId="43" fontId="0" fillId="0" borderId="28" xfId="1" applyFont="1" applyBorder="1" applyAlignment="1">
      <alignment horizontal="left"/>
    </xf>
    <xf numFmtId="43" fontId="0" fillId="0" borderId="23" xfId="1" applyFont="1" applyBorder="1"/>
    <xf numFmtId="43" fontId="0" fillId="0" borderId="40" xfId="1" applyFont="1" applyBorder="1" applyAlignment="1">
      <alignment horizontal="left"/>
    </xf>
    <xf numFmtId="43" fontId="0" fillId="0" borderId="41" xfId="1" applyFont="1" applyBorder="1" applyAlignment="1">
      <alignment horizontal="left"/>
    </xf>
    <xf numFmtId="43" fontId="0" fillId="0" borderId="0" xfId="1" applyFont="1"/>
    <xf numFmtId="0" fontId="36" fillId="0" borderId="9" xfId="0" applyFont="1" applyBorder="1"/>
    <xf numFmtId="165" fontId="36" fillId="0" borderId="9" xfId="0" applyNumberFormat="1" applyFont="1" applyBorder="1"/>
    <xf numFmtId="0" fontId="36" fillId="0" borderId="0" xfId="0" applyFont="1"/>
    <xf numFmtId="180" fontId="5" fillId="0" borderId="90" xfId="1" applyNumberFormat="1" applyFont="1" applyFill="1" applyBorder="1" applyAlignment="1" applyProtection="1">
      <alignment horizontal="center" vertical="center"/>
    </xf>
    <xf numFmtId="180" fontId="5" fillId="0" borderId="12" xfId="1" applyNumberFormat="1" applyFont="1" applyFill="1" applyBorder="1" applyAlignment="1" applyProtection="1">
      <alignment horizontal="center" vertical="center"/>
    </xf>
    <xf numFmtId="180" fontId="5" fillId="0" borderId="27" xfId="1" applyNumberFormat="1" applyFont="1" applyFill="1" applyBorder="1" applyAlignment="1" applyProtection="1">
      <alignment horizontal="center" vertical="center"/>
    </xf>
    <xf numFmtId="180" fontId="5" fillId="0" borderId="17" xfId="1" applyNumberFormat="1" applyFont="1" applyFill="1" applyBorder="1" applyAlignment="1" applyProtection="1">
      <alignment horizontal="center" vertical="center"/>
    </xf>
    <xf numFmtId="180" fontId="5" fillId="0" borderId="91" xfId="1" applyNumberFormat="1" applyFont="1" applyFill="1" applyBorder="1" applyAlignment="1" applyProtection="1">
      <alignment horizontal="center" vertical="center"/>
    </xf>
    <xf numFmtId="180" fontId="5" fillId="0" borderId="47" xfId="1" applyNumberFormat="1" applyFont="1" applyFill="1" applyBorder="1" applyAlignment="1" applyProtection="1">
      <alignment horizontal="center" vertical="center"/>
    </xf>
    <xf numFmtId="180" fontId="5" fillId="0" borderId="92" xfId="1" applyNumberFormat="1" applyFont="1" applyBorder="1" applyAlignment="1">
      <alignment horizontal="center" vertical="center"/>
    </xf>
    <xf numFmtId="180" fontId="5" fillId="0" borderId="83" xfId="1" applyNumberFormat="1" applyFont="1" applyBorder="1" applyAlignment="1">
      <alignment horizontal="center" vertical="center"/>
    </xf>
    <xf numFmtId="180" fontId="5" fillId="0" borderId="92" xfId="1" applyNumberFormat="1" applyFont="1" applyFill="1" applyBorder="1" applyAlignment="1" applyProtection="1">
      <alignment horizontal="center" vertical="center"/>
    </xf>
    <xf numFmtId="180" fontId="5" fillId="0" borderId="83" xfId="1" applyNumberFormat="1" applyFont="1" applyFill="1" applyBorder="1" applyAlignment="1" applyProtection="1">
      <alignment horizontal="center" vertical="center"/>
    </xf>
    <xf numFmtId="180" fontId="4" fillId="3" borderId="9" xfId="1" applyNumberFormat="1" applyFont="1" applyFill="1" applyBorder="1" applyAlignment="1">
      <alignment horizontal="center" vertical="center" wrapText="1"/>
    </xf>
    <xf numFmtId="180" fontId="4" fillId="0" borderId="90" xfId="1" applyNumberFormat="1" applyFont="1" applyBorder="1" applyAlignment="1">
      <alignment horizontal="center" vertical="center"/>
    </xf>
    <xf numFmtId="180" fontId="4" fillId="0" borderId="12" xfId="1" applyNumberFormat="1" applyFont="1" applyBorder="1" applyAlignment="1">
      <alignment horizontal="center" vertical="center"/>
    </xf>
    <xf numFmtId="180" fontId="5" fillId="0" borderId="27" xfId="1" applyNumberFormat="1" applyFont="1" applyBorder="1" applyAlignment="1">
      <alignment horizontal="center" vertical="center"/>
    </xf>
    <xf numFmtId="180" fontId="5" fillId="0" borderId="17" xfId="1" applyNumberFormat="1" applyFont="1" applyBorder="1" applyAlignment="1">
      <alignment horizontal="center" vertical="center"/>
    </xf>
    <xf numFmtId="180" fontId="4" fillId="0" borderId="92" xfId="1" applyNumberFormat="1" applyFont="1" applyBorder="1" applyAlignment="1">
      <alignment horizontal="center" vertical="center"/>
    </xf>
    <xf numFmtId="180" fontId="4" fillId="0" borderId="83" xfId="1" applyNumberFormat="1" applyFont="1" applyBorder="1" applyAlignment="1">
      <alignment horizontal="center" vertical="center"/>
    </xf>
    <xf numFmtId="180" fontId="36" fillId="0" borderId="90" xfId="1" applyNumberFormat="1" applyFont="1" applyBorder="1" applyAlignment="1">
      <alignment horizontal="center" vertical="center"/>
    </xf>
    <xf numFmtId="180" fontId="36" fillId="0" borderId="12" xfId="1" applyNumberFormat="1" applyFont="1" applyBorder="1" applyAlignment="1">
      <alignment horizontal="center" vertical="center"/>
    </xf>
    <xf numFmtId="180" fontId="4" fillId="0" borderId="27" xfId="1" applyNumberFormat="1" applyFont="1" applyFill="1" applyBorder="1" applyAlignment="1" applyProtection="1">
      <alignment horizontal="center" vertical="center"/>
    </xf>
    <xf numFmtId="180" fontId="4" fillId="0" borderId="17" xfId="1" applyNumberFormat="1" applyFont="1" applyFill="1" applyBorder="1" applyAlignment="1" applyProtection="1">
      <alignment horizontal="center" vertical="center"/>
    </xf>
    <xf numFmtId="180" fontId="4" fillId="3" borderId="9" xfId="1" applyNumberFormat="1" applyFont="1" applyFill="1" applyBorder="1" applyAlignment="1" applyProtection="1">
      <alignment horizontal="center" vertical="center"/>
    </xf>
    <xf numFmtId="180" fontId="4" fillId="0" borderId="27" xfId="1" applyNumberFormat="1" applyFont="1" applyBorder="1" applyAlignment="1">
      <alignment horizontal="center" vertical="center"/>
    </xf>
    <xf numFmtId="180" fontId="4" fillId="0" borderId="17" xfId="1" applyNumberFormat="1" applyFont="1" applyBorder="1" applyAlignment="1">
      <alignment horizontal="center" vertical="center"/>
    </xf>
    <xf numFmtId="180" fontId="5" fillId="0" borderId="91" xfId="1" applyNumberFormat="1" applyFont="1" applyBorder="1" applyAlignment="1">
      <alignment horizontal="center" vertical="center"/>
    </xf>
    <xf numFmtId="180" fontId="5" fillId="0" borderId="47" xfId="1" applyNumberFormat="1" applyFont="1" applyBorder="1" applyAlignment="1">
      <alignment horizontal="center" vertical="center"/>
    </xf>
    <xf numFmtId="180" fontId="5" fillId="0" borderId="90" xfId="1" applyNumberFormat="1" applyFont="1" applyBorder="1" applyAlignment="1">
      <alignment horizontal="center" vertical="center"/>
    </xf>
    <xf numFmtId="180" fontId="5" fillId="0" borderId="12" xfId="1" applyNumberFormat="1" applyFont="1" applyBorder="1" applyAlignment="1">
      <alignment horizontal="center" vertical="center"/>
    </xf>
    <xf numFmtId="180" fontId="5" fillId="2" borderId="9" xfId="1" applyNumberFormat="1" applyFont="1" applyFill="1" applyBorder="1" applyAlignment="1" applyProtection="1">
      <alignment horizontal="center"/>
      <protection locked="0"/>
    </xf>
    <xf numFmtId="180" fontId="1" fillId="30" borderId="9" xfId="1" applyNumberFormat="1" applyFont="1" applyFill="1" applyBorder="1" applyAlignment="1" applyProtection="1">
      <alignment horizontal="center"/>
      <protection locked="0"/>
    </xf>
    <xf numFmtId="180" fontId="5" fillId="30" borderId="9" xfId="1" applyNumberFormat="1" applyFont="1" applyFill="1" applyBorder="1" applyAlignment="1" applyProtection="1">
      <alignment horizontal="center"/>
      <protection locked="0"/>
    </xf>
    <xf numFmtId="180" fontId="5" fillId="30" borderId="9" xfId="1" applyNumberFormat="1" applyFont="1" applyFill="1" applyBorder="1" applyAlignment="1" applyProtection="1">
      <alignment horizontal="right"/>
      <protection locked="0"/>
    </xf>
    <xf numFmtId="180" fontId="5" fillId="2" borderId="9" xfId="1" applyNumberFormat="1" applyFont="1" applyFill="1" applyBorder="1" applyAlignment="1" applyProtection="1">
      <alignment horizontal="center" vertical="center"/>
      <protection locked="0"/>
    </xf>
    <xf numFmtId="180" fontId="5" fillId="0" borderId="9" xfId="1" applyNumberFormat="1" applyFont="1" applyFill="1" applyBorder="1" applyAlignment="1" applyProtection="1">
      <alignment horizontal="center"/>
      <protection locked="0"/>
    </xf>
    <xf numFmtId="180" fontId="4" fillId="32" borderId="9" xfId="1" applyNumberFormat="1" applyFont="1" applyFill="1" applyBorder="1" applyAlignment="1" applyProtection="1">
      <alignment horizontal="center" wrapText="1"/>
      <protection locked="0"/>
    </xf>
    <xf numFmtId="180" fontId="1" fillId="0" borderId="9" xfId="1" applyNumberFormat="1" applyFont="1" applyFill="1" applyBorder="1" applyAlignment="1" applyProtection="1">
      <alignment horizontal="center"/>
      <protection locked="0"/>
    </xf>
    <xf numFmtId="180" fontId="1" fillId="0" borderId="0" xfId="1" applyNumberFormat="1" applyFont="1" applyAlignment="1">
      <alignment horizontal="center" vertical="center"/>
    </xf>
    <xf numFmtId="180" fontId="1" fillId="0" borderId="0" xfId="1" applyNumberFormat="1" applyFont="1" applyFill="1" applyAlignment="1" applyProtection="1">
      <alignment vertical="center"/>
    </xf>
    <xf numFmtId="180" fontId="1" fillId="0" borderId="0" xfId="1" applyNumberFormat="1" applyFont="1" applyAlignment="1" applyProtection="1">
      <alignment vertical="center"/>
    </xf>
    <xf numFmtId="0" fontId="0" fillId="0" borderId="23" xfId="126" applyFont="1" applyBorder="1" applyAlignment="1">
      <alignment vertical="center" wrapText="1"/>
    </xf>
    <xf numFmtId="165" fontId="1" fillId="0" borderId="0" xfId="126" applyNumberFormat="1" applyFont="1"/>
    <xf numFmtId="0" fontId="0" fillId="30" borderId="23" xfId="126" applyFont="1" applyFill="1" applyBorder="1" applyAlignment="1">
      <alignment horizontal="justify" vertical="center" wrapText="1"/>
    </xf>
    <xf numFmtId="43" fontId="5" fillId="0" borderId="4" xfId="1" applyFont="1" applyFill="1" applyBorder="1" applyAlignment="1">
      <alignment horizontal="right" vertical="center" wrapText="1"/>
    </xf>
    <xf numFmtId="43" fontId="5" fillId="0" borderId="7" xfId="1" applyFont="1" applyFill="1" applyBorder="1" applyAlignment="1">
      <alignment horizontal="right" vertical="center" wrapText="1"/>
    </xf>
    <xf numFmtId="43" fontId="4" fillId="3" borderId="9" xfId="1" applyFont="1" applyFill="1" applyBorder="1" applyAlignment="1">
      <alignment horizontal="right" vertical="center" wrapText="1"/>
    </xf>
    <xf numFmtId="43" fontId="5" fillId="0" borderId="12" xfId="1" applyFont="1" applyFill="1" applyBorder="1" applyAlignment="1">
      <alignment horizontal="right" vertical="center" wrapText="1"/>
    </xf>
    <xf numFmtId="43" fontId="5" fillId="3" borderId="9" xfId="1" applyFont="1" applyFill="1" applyBorder="1" applyAlignment="1">
      <alignment horizontal="right" vertical="center" wrapText="1"/>
    </xf>
    <xf numFmtId="43" fontId="5" fillId="0" borderId="6" xfId="1" applyFont="1" applyFill="1" applyBorder="1" applyAlignment="1">
      <alignment horizontal="right" vertical="center" wrapText="1"/>
    </xf>
    <xf numFmtId="43" fontId="5" fillId="0" borderId="4" xfId="1" applyFont="1" applyFill="1" applyBorder="1" applyAlignment="1">
      <alignment vertical="center" wrapText="1"/>
    </xf>
    <xf numFmtId="43" fontId="5" fillId="0" borderId="4" xfId="1" applyFont="1" applyFill="1" applyBorder="1" applyAlignment="1" applyProtection="1">
      <alignment horizontal="right" vertical="center" wrapText="1"/>
      <protection locked="0"/>
    </xf>
    <xf numFmtId="43" fontId="5" fillId="0" borderId="13" xfId="1" applyFont="1" applyFill="1" applyBorder="1" applyAlignment="1">
      <alignment horizontal="right" vertical="center" wrapText="1"/>
    </xf>
    <xf numFmtId="43" fontId="5" fillId="0" borderId="17" xfId="1" applyFont="1" applyBorder="1" applyAlignment="1">
      <alignment horizontal="center" vertical="center"/>
    </xf>
    <xf numFmtId="43" fontId="5" fillId="0" borderId="28" xfId="1" applyFont="1" applyBorder="1" applyAlignment="1">
      <alignment horizontal="center" vertical="center"/>
    </xf>
    <xf numFmtId="43" fontId="5" fillId="0" borderId="13" xfId="1" applyFont="1" applyBorder="1" applyAlignment="1">
      <alignment vertical="top" wrapText="1"/>
    </xf>
    <xf numFmtId="43" fontId="5" fillId="0" borderId="11" xfId="1" applyFont="1" applyBorder="1" applyAlignment="1">
      <alignment horizontal="center" vertical="center" wrapText="1"/>
    </xf>
    <xf numFmtId="43" fontId="5" fillId="26" borderId="43" xfId="1" applyFont="1" applyFill="1" applyBorder="1" applyAlignment="1">
      <alignment horizontal="center" vertical="center" wrapText="1"/>
    </xf>
    <xf numFmtId="43" fontId="5" fillId="3" borderId="9" xfId="1" applyFont="1" applyFill="1" applyBorder="1" applyAlignment="1" applyProtection="1">
      <alignment horizontal="center" vertical="center" wrapText="1"/>
    </xf>
    <xf numFmtId="43" fontId="5" fillId="0" borderId="43" xfId="1" applyFont="1" applyFill="1" applyBorder="1" applyAlignment="1" applyProtection="1">
      <alignment horizontal="center" vertical="center" wrapText="1"/>
      <protection locked="0"/>
    </xf>
    <xf numFmtId="0" fontId="4" fillId="3"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0" fillId="0" borderId="22" xfId="0" applyBorder="1" applyAlignment="1">
      <alignment horizontal="left" wrapText="1"/>
    </xf>
    <xf numFmtId="0" fontId="0" fillId="0" borderId="23" xfId="0" applyBorder="1" applyAlignment="1">
      <alignment horizontal="left" wrapText="1"/>
    </xf>
    <xf numFmtId="0" fontId="0" fillId="0" borderId="28" xfId="0" applyBorder="1" applyAlignment="1">
      <alignment horizontal="left" wrapText="1"/>
    </xf>
    <xf numFmtId="0" fontId="4" fillId="0" borderId="14" xfId="3" quotePrefix="1" applyFont="1" applyBorder="1" applyAlignment="1">
      <alignment horizontal="left" vertical="center" wrapText="1"/>
    </xf>
    <xf numFmtId="0" fontId="4" fillId="0" borderId="20" xfId="3" quotePrefix="1" applyFont="1" applyBorder="1" applyAlignment="1">
      <alignment horizontal="left" vertical="center" wrapText="1"/>
    </xf>
    <xf numFmtId="0" fontId="36" fillId="0" borderId="56" xfId="0" applyFont="1" applyBorder="1" applyAlignment="1">
      <alignment horizontal="center"/>
    </xf>
    <xf numFmtId="0" fontId="36" fillId="0" borderId="57" xfId="0" applyFont="1" applyBorder="1" applyAlignment="1">
      <alignment horizontal="center"/>
    </xf>
    <xf numFmtId="0" fontId="36" fillId="0" borderId="58" xfId="0" applyFont="1" applyBorder="1" applyAlignment="1">
      <alignment horizontal="center"/>
    </xf>
    <xf numFmtId="165" fontId="4" fillId="3" borderId="3" xfId="5" applyFont="1" applyFill="1" applyBorder="1" applyAlignment="1">
      <alignment horizontal="center" vertical="center" wrapText="1"/>
    </xf>
    <xf numFmtId="165" fontId="4" fillId="3" borderId="6" xfId="5" applyFont="1" applyFill="1" applyBorder="1" applyAlignment="1">
      <alignment horizontal="center" vertical="center" wrapText="1"/>
    </xf>
    <xf numFmtId="165" fontId="4" fillId="3" borderId="62" xfId="5" applyFont="1" applyFill="1" applyBorder="1" applyAlignment="1">
      <alignment horizontal="center" vertical="center" wrapText="1"/>
    </xf>
    <xf numFmtId="165" fontId="4" fillId="3" borderId="64" xfId="5" applyFont="1" applyFill="1" applyBorder="1" applyAlignment="1">
      <alignment horizontal="center" vertical="center" wrapText="1"/>
    </xf>
    <xf numFmtId="0" fontId="4" fillId="0" borderId="54" xfId="3" quotePrefix="1" applyFont="1" applyBorder="1" applyAlignment="1">
      <alignment horizontal="left" vertical="center" wrapText="1"/>
    </xf>
    <xf numFmtId="0" fontId="4" fillId="0" borderId="55" xfId="3" quotePrefix="1" applyFont="1" applyBorder="1" applyAlignment="1">
      <alignment horizontal="left" vertical="center" wrapText="1"/>
    </xf>
    <xf numFmtId="0" fontId="4" fillId="0" borderId="60" xfId="3" quotePrefix="1" applyFont="1" applyBorder="1" applyAlignment="1">
      <alignment horizontal="left" vertical="center" wrapText="1"/>
    </xf>
    <xf numFmtId="0" fontId="4" fillId="3" borderId="61" xfId="4" applyFont="1" applyFill="1" applyBorder="1" applyAlignment="1">
      <alignment horizontal="center" vertical="center" wrapText="1"/>
    </xf>
    <xf numFmtId="0" fontId="4" fillId="3" borderId="63" xfId="4" applyFont="1" applyFill="1" applyBorder="1" applyAlignment="1">
      <alignment horizontal="center" vertical="center" wrapText="1"/>
    </xf>
    <xf numFmtId="0" fontId="4" fillId="3" borderId="1" xfId="4" applyFont="1" applyFill="1" applyBorder="1" applyAlignment="1">
      <alignment horizontal="center" vertical="center" wrapText="1"/>
    </xf>
    <xf numFmtId="0" fontId="4" fillId="3" borderId="4" xfId="4" applyFont="1" applyFill="1" applyBorder="1" applyAlignment="1">
      <alignment horizontal="center" vertical="center" wrapText="1"/>
    </xf>
    <xf numFmtId="14" fontId="4" fillId="3" borderId="1" xfId="4" applyNumberFormat="1" applyFont="1" applyFill="1" applyBorder="1" applyAlignment="1">
      <alignment horizontal="center" vertical="center" wrapText="1"/>
    </xf>
    <xf numFmtId="14" fontId="4" fillId="3" borderId="4" xfId="4" applyNumberFormat="1" applyFont="1" applyFill="1" applyBorder="1" applyAlignment="1">
      <alignment horizontal="center" vertical="center" wrapText="1"/>
    </xf>
    <xf numFmtId="167" fontId="4" fillId="3" borderId="2" xfId="4" applyNumberFormat="1" applyFont="1" applyFill="1" applyBorder="1" applyAlignment="1">
      <alignment horizontal="center" vertical="center" wrapText="1"/>
    </xf>
    <xf numFmtId="167" fontId="4" fillId="3" borderId="5" xfId="4" applyNumberFormat="1" applyFont="1" applyFill="1" applyBorder="1" applyAlignment="1">
      <alignment horizontal="center" vertical="center" wrapText="1"/>
    </xf>
    <xf numFmtId="0" fontId="5" fillId="0" borderId="52" xfId="124" applyFont="1" applyBorder="1" applyAlignment="1">
      <alignment horizontal="left" vertical="center" wrapText="1"/>
    </xf>
    <xf numFmtId="0" fontId="5" fillId="0" borderId="22" xfId="124" applyFont="1" applyBorder="1" applyAlignment="1">
      <alignment horizontal="left" vertical="center" wrapText="1"/>
    </xf>
    <xf numFmtId="2" fontId="4" fillId="3" borderId="53" xfId="8" applyNumberFormat="1" applyFont="1" applyFill="1" applyBorder="1" applyAlignment="1">
      <alignment horizontal="left" vertical="center" wrapText="1"/>
    </xf>
    <xf numFmtId="2" fontId="4" fillId="3" borderId="10" xfId="8" applyNumberFormat="1" applyFont="1" applyFill="1" applyBorder="1" applyAlignment="1">
      <alignment horizontal="left" vertical="center" wrapText="1"/>
    </xf>
    <xf numFmtId="0" fontId="4" fillId="0" borderId="52" xfId="124" applyFont="1" applyBorder="1" applyAlignment="1">
      <alignment horizontal="left" vertical="center" wrapText="1"/>
    </xf>
    <xf numFmtId="0" fontId="4" fillId="0" borderId="22" xfId="124" applyFont="1" applyBorder="1" applyAlignment="1">
      <alignment horizontal="left" vertical="center" wrapText="1"/>
    </xf>
    <xf numFmtId="0" fontId="5" fillId="0" borderId="52" xfId="124" applyFont="1" applyBorder="1" applyAlignment="1">
      <alignment vertical="center" wrapText="1"/>
    </xf>
    <xf numFmtId="0" fontId="5" fillId="0" borderId="22" xfId="124" applyFont="1" applyBorder="1" applyAlignment="1">
      <alignment vertical="center" wrapText="1"/>
    </xf>
    <xf numFmtId="165" fontId="4" fillId="3" borderId="9" xfId="5" applyFont="1" applyFill="1" applyBorder="1" applyAlignment="1">
      <alignment horizontal="center" vertical="center" wrapText="1"/>
    </xf>
    <xf numFmtId="0" fontId="4" fillId="0" borderId="48" xfId="124" applyFont="1" applyBorder="1" applyAlignment="1">
      <alignment horizontal="left" vertical="center" wrapText="1"/>
    </xf>
    <xf numFmtId="0" fontId="4" fillId="0" borderId="49" xfId="124" applyFont="1" applyBorder="1" applyAlignment="1">
      <alignment horizontal="left" vertical="center" wrapText="1"/>
    </xf>
    <xf numFmtId="0" fontId="12" fillId="0" borderId="85" xfId="126" applyFont="1" applyBorder="1" applyAlignment="1">
      <alignment horizontal="left" vertical="center" wrapText="1"/>
    </xf>
    <xf numFmtId="0" fontId="12" fillId="0" borderId="86" xfId="126" applyFont="1" applyBorder="1" applyAlignment="1">
      <alignment horizontal="left" vertical="center" wrapText="1"/>
    </xf>
    <xf numFmtId="0" fontId="12" fillId="0" borderId="87" xfId="126" applyFont="1" applyBorder="1" applyAlignment="1">
      <alignment horizontal="left" vertical="center" wrapText="1"/>
    </xf>
    <xf numFmtId="37" fontId="4" fillId="0" borderId="14" xfId="125" quotePrefix="1" applyFont="1" applyBorder="1" applyAlignment="1">
      <alignment horizontal="left" vertical="center" wrapText="1"/>
    </xf>
    <xf numFmtId="37" fontId="4" fillId="0" borderId="20" xfId="125" quotePrefix="1" applyFont="1" applyBorder="1" applyAlignment="1">
      <alignment horizontal="left" vertical="center" wrapText="1"/>
    </xf>
    <xf numFmtId="0" fontId="4" fillId="3" borderId="9" xfId="126" applyFont="1" applyFill="1" applyBorder="1" applyAlignment="1">
      <alignment horizontal="center" vertical="center" wrapText="1"/>
    </xf>
    <xf numFmtId="0" fontId="4" fillId="0" borderId="9" xfId="126" applyFont="1" applyBorder="1" applyAlignment="1">
      <alignment horizontal="center" vertical="center" wrapText="1"/>
    </xf>
    <xf numFmtId="2" fontId="4" fillId="3" borderId="9" xfId="49" applyNumberFormat="1" applyFont="1" applyFill="1" applyBorder="1" applyAlignment="1">
      <alignment horizontal="center" vertical="center" wrapText="1"/>
    </xf>
    <xf numFmtId="0" fontId="4" fillId="0" borderId="56" xfId="2" applyFont="1" applyBorder="1" applyAlignment="1">
      <alignment horizontal="center" vertical="center" wrapText="1"/>
    </xf>
    <xf numFmtId="0" fontId="4" fillId="0" borderId="57" xfId="2" applyFont="1" applyBorder="1" applyAlignment="1">
      <alignment horizontal="center" vertical="center" wrapText="1"/>
    </xf>
    <xf numFmtId="0" fontId="4" fillId="0" borderId="58" xfId="2" applyFont="1" applyBorder="1" applyAlignment="1">
      <alignment horizontal="center" vertical="center" wrapText="1"/>
    </xf>
    <xf numFmtId="37" fontId="4" fillId="0" borderId="54" xfId="125" quotePrefix="1" applyFont="1" applyBorder="1" applyAlignment="1">
      <alignment horizontal="left" vertical="center" wrapText="1"/>
    </xf>
    <xf numFmtId="37" fontId="4" fillId="0" borderId="55" xfId="125" quotePrefix="1" applyFont="1" applyBorder="1" applyAlignment="1">
      <alignment horizontal="left" vertical="center" wrapText="1"/>
    </xf>
    <xf numFmtId="37" fontId="4" fillId="0" borderId="89" xfId="125" quotePrefix="1" applyFont="1" applyBorder="1" applyAlignment="1">
      <alignment horizontal="left" vertical="center" wrapText="1"/>
    </xf>
    <xf numFmtId="14" fontId="4" fillId="3" borderId="9" xfId="4" applyNumberFormat="1" applyFont="1" applyFill="1" applyBorder="1" applyAlignment="1">
      <alignment horizontal="center" vertical="center" wrapText="1"/>
    </xf>
    <xf numFmtId="167" fontId="4" fillId="3" borderId="9" xfId="4" applyNumberFormat="1" applyFont="1" applyFill="1" applyBorder="1" applyAlignment="1">
      <alignment horizontal="center" vertical="center" wrapText="1"/>
    </xf>
    <xf numFmtId="166" fontId="4" fillId="3" borderId="9" xfId="90" applyFont="1" applyFill="1" applyBorder="1" applyAlignment="1">
      <alignment horizontal="center" vertical="center" wrapText="1"/>
    </xf>
    <xf numFmtId="180" fontId="4" fillId="3" borderId="9" xfId="1" applyNumberFormat="1" applyFont="1" applyFill="1" applyBorder="1" applyAlignment="1">
      <alignment horizontal="center" vertical="center" wrapText="1"/>
    </xf>
    <xf numFmtId="0" fontId="36" fillId="0" borderId="9" xfId="130" applyFont="1" applyBorder="1" applyAlignment="1">
      <alignment horizontal="center"/>
    </xf>
    <xf numFmtId="0" fontId="1" fillId="0" borderId="9" xfId="130" applyBorder="1" applyAlignment="1">
      <alignment horizontal="center" vertical="center" wrapText="1"/>
    </xf>
    <xf numFmtId="0" fontId="1" fillId="0" borderId="9" xfId="130" applyBorder="1" applyAlignment="1">
      <alignment vertical="center" wrapText="1"/>
    </xf>
  </cellXfs>
  <cellStyles count="131">
    <cellStyle name="_BOQ-Fire Alarm" xfId="12"/>
    <cellStyle name="_BOQ-FIRE EXTINGUSHERS" xfId="13"/>
    <cellStyle name="_Internal BOQ-22.07.09" xfId="52"/>
    <cellStyle name="_Internal BOQ-22.07.09 2" xfId="53"/>
    <cellStyle name="20% - Accent1 2" xfId="54"/>
    <cellStyle name="20% - Accent2 2" xfId="55"/>
    <cellStyle name="20% - Accent3 2" xfId="56"/>
    <cellStyle name="20% - Accent4 2" xfId="57"/>
    <cellStyle name="20% - Accent5 2" xfId="58"/>
    <cellStyle name="20% - Accent6 2" xfId="59"/>
    <cellStyle name="40% - Accent1 2" xfId="60"/>
    <cellStyle name="40% - Accent2 2" xfId="61"/>
    <cellStyle name="40% - Accent3 2" xfId="62"/>
    <cellStyle name="40% - Accent4 2" xfId="63"/>
    <cellStyle name="40% - Accent5 2" xfId="64"/>
    <cellStyle name="40% - Accent6 2" xfId="65"/>
    <cellStyle name="60% - Accent1 2" xfId="66"/>
    <cellStyle name="60% - Accent2 2" xfId="67"/>
    <cellStyle name="60% - Accent3 2" xfId="68"/>
    <cellStyle name="60% - Accent4 2" xfId="69"/>
    <cellStyle name="60% - Accent5 2" xfId="70"/>
    <cellStyle name="60% - Accent6 2" xfId="71"/>
    <cellStyle name="Accent1 2" xfId="72"/>
    <cellStyle name="Accent2 2" xfId="73"/>
    <cellStyle name="Accent3 2" xfId="74"/>
    <cellStyle name="Accent4 2" xfId="75"/>
    <cellStyle name="Accent5 2" xfId="76"/>
    <cellStyle name="Accent6 2" xfId="77"/>
    <cellStyle name="Bad 2" xfId="78"/>
    <cellStyle name="Calculation 2" xfId="79"/>
    <cellStyle name="Check Cell 2" xfId="80"/>
    <cellStyle name="Comma" xfId="1" builtinId="3"/>
    <cellStyle name="Comma 10" xfId="14"/>
    <cellStyle name="Comma 10 2" xfId="83"/>
    <cellStyle name="Comma 10 2 2" xfId="84"/>
    <cellStyle name="Comma 10 3" xfId="85"/>
    <cellStyle name="Comma 10 4" xfId="82"/>
    <cellStyle name="Comma 2" xfId="15"/>
    <cellStyle name="Comma 2 2" xfId="16"/>
    <cellStyle name="Comma 2 2 2" xfId="17"/>
    <cellStyle name="Comma 2 2 2 2" xfId="89"/>
    <cellStyle name="Comma 2 2 2 3" xfId="88"/>
    <cellStyle name="Comma 2 2 3" xfId="87"/>
    <cellStyle name="Comma 2 3" xfId="5"/>
    <cellStyle name="Comma 2 3 2" xfId="90"/>
    <cellStyle name="Comma 2 4" xfId="91"/>
    <cellStyle name="Comma 2 5" xfId="86"/>
    <cellStyle name="Comma 3" xfId="18"/>
    <cellStyle name="Comma 3 2" xfId="19"/>
    <cellStyle name="Comma 3 2 2" xfId="93"/>
    <cellStyle name="Comma 3 3" xfId="94"/>
    <cellStyle name="Comma 3 4" xfId="92"/>
    <cellStyle name="Comma 4" xfId="20"/>
    <cellStyle name="Comma 4 2" xfId="21"/>
    <cellStyle name="Comma 4 2 2" xfId="96"/>
    <cellStyle name="Comma 4 3" xfId="95"/>
    <cellStyle name="Comma 5" xfId="22"/>
    <cellStyle name="Comma 5 2" xfId="23"/>
    <cellStyle name="Comma 5 3" xfId="128"/>
    <cellStyle name="Comma 6" xfId="24"/>
    <cellStyle name="Comma 6 2" xfId="25"/>
    <cellStyle name="Comma 7" xfId="26"/>
    <cellStyle name="Comma 7 2" xfId="27"/>
    <cellStyle name="Comma 8" xfId="81"/>
    <cellStyle name="Comma 9" xfId="127"/>
    <cellStyle name="Currency 2" xfId="97"/>
    <cellStyle name="Currency 2 2" xfId="28"/>
    <cellStyle name="Excel Built-in Normal" xfId="29"/>
    <cellStyle name="Excel_BuiltIn_Comma" xfId="30"/>
    <cellStyle name="Explanatory Text 2" xfId="98"/>
    <cellStyle name="Good 2" xfId="99"/>
    <cellStyle name="Heading 1 2" xfId="100"/>
    <cellStyle name="Heading 2 2" xfId="101"/>
    <cellStyle name="Heading 3 2" xfId="102"/>
    <cellStyle name="Heading 4 2" xfId="103"/>
    <cellStyle name="Input 2" xfId="104"/>
    <cellStyle name="Jun" xfId="31"/>
    <cellStyle name="Linked Cell 2" xfId="105"/>
    <cellStyle name="Neutral 2" xfId="106"/>
    <cellStyle name="Normal" xfId="0" builtinId="0"/>
    <cellStyle name="Normal - Style1" xfId="32"/>
    <cellStyle name="Normal 10" xfId="107"/>
    <cellStyle name="Normal 11" xfId="126"/>
    <cellStyle name="Normal 12" xfId="33"/>
    <cellStyle name="Normal 2" xfId="34"/>
    <cellStyle name="Normal 2 14" xfId="35"/>
    <cellStyle name="Normal 2 2" xfId="36"/>
    <cellStyle name="Normal 2 2 2" xfId="37"/>
    <cellStyle name="Normal 2 2 2 2" xfId="109"/>
    <cellStyle name="Normal 2 2 2 3" xfId="50"/>
    <cellStyle name="Normal 2 3" xfId="3"/>
    <cellStyle name="Normal 2 3 2" xfId="125"/>
    <cellStyle name="Normal 2 4" xfId="38"/>
    <cellStyle name="Normal 2 4 2" xfId="110"/>
    <cellStyle name="Normal 2 5" xfId="108"/>
    <cellStyle name="Normal 2 5 2" xfId="130"/>
    <cellStyle name="Normal 27" xfId="39"/>
    <cellStyle name="Normal 28" xfId="40"/>
    <cellStyle name="Normal 3" xfId="41"/>
    <cellStyle name="Normal 3 2" xfId="111"/>
    <cellStyle name="Normal 4" xfId="42"/>
    <cellStyle name="Normal 4 2" xfId="112"/>
    <cellStyle name="Normal 5" xfId="43"/>
    <cellStyle name="Normal 5 2" xfId="44"/>
    <cellStyle name="Normal 5 3" xfId="113"/>
    <cellStyle name="Normal 6" xfId="7"/>
    <cellStyle name="Normal 6 2" xfId="45"/>
    <cellStyle name="Normal 7" xfId="51"/>
    <cellStyle name="Normal 8" xfId="115"/>
    <cellStyle name="Normal 9" xfId="114"/>
    <cellStyle name="Normal_b" xfId="10"/>
    <cellStyle name="Normal_boq" xfId="49"/>
    <cellStyle name="Normal_BOQ -Reliance KLM Blocks" xfId="129"/>
    <cellStyle name="Normal_BOQ-30 08 (2)" xfId="6"/>
    <cellStyle name="Normal_BS Export" xfId="124"/>
    <cellStyle name="Normal_ele.boq.l.t" xfId="8"/>
    <cellStyle name="Normal_fir-boq" xfId="11"/>
    <cellStyle name="Normal_Questionnaire for ELECTRICAL WORKS - 13.06" xfId="2"/>
    <cellStyle name="Normal_Sheet1 2" xfId="4"/>
    <cellStyle name="Normal_THDC-BOQ" xfId="9"/>
    <cellStyle name="Note 2" xfId="116"/>
    <cellStyle name="Output 2" xfId="117"/>
    <cellStyle name="Percent 2" xfId="46"/>
    <cellStyle name="Style 1" xfId="47"/>
    <cellStyle name="Style 1 2" xfId="119"/>
    <cellStyle name="Style 1 2 2" xfId="123"/>
    <cellStyle name="Style 1 3" xfId="48"/>
    <cellStyle name="Style 1 4" xfId="118"/>
    <cellStyle name="Title 2" xfId="120"/>
    <cellStyle name="Total 2" xfId="121"/>
    <cellStyle name="Warning Text 2" xfId="1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29</xdr:row>
      <xdr:rowOff>0</xdr:rowOff>
    </xdr:from>
    <xdr:to>
      <xdr:col>1</xdr:col>
      <xdr:colOff>228600</xdr:colOff>
      <xdr:row>29</xdr:row>
      <xdr:rowOff>0</xdr:rowOff>
    </xdr:to>
    <xdr:pic>
      <xdr:nvPicPr>
        <xdr:cNvPr id="2" name="Picture 2">
          <a:extLst>
            <a:ext uri="{FF2B5EF4-FFF2-40B4-BE49-F238E27FC236}">
              <a16:creationId xmlns:a16="http://schemas.microsoft.com/office/drawing/2014/main" id="{156D52D0-4CB6-4FA2-BEEF-A4557E2C7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955250"/>
          <a:ext cx="762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29</xdr:row>
      <xdr:rowOff>0</xdr:rowOff>
    </xdr:from>
    <xdr:to>
      <xdr:col>1</xdr:col>
      <xdr:colOff>472440</xdr:colOff>
      <xdr:row>29</xdr:row>
      <xdr:rowOff>0</xdr:rowOff>
    </xdr:to>
    <xdr:pic>
      <xdr:nvPicPr>
        <xdr:cNvPr id="3" name="Picture 2">
          <a:extLst>
            <a:ext uri="{FF2B5EF4-FFF2-40B4-BE49-F238E27FC236}">
              <a16:creationId xmlns:a16="http://schemas.microsoft.com/office/drawing/2014/main" id="{F4322588-6569-4885-899F-42063F14DC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955250"/>
          <a:ext cx="10058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29</xdr:row>
      <xdr:rowOff>0</xdr:rowOff>
    </xdr:from>
    <xdr:to>
      <xdr:col>1</xdr:col>
      <xdr:colOff>472440</xdr:colOff>
      <xdr:row>29</xdr:row>
      <xdr:rowOff>0</xdr:rowOff>
    </xdr:to>
    <xdr:pic>
      <xdr:nvPicPr>
        <xdr:cNvPr id="4" name="Picture 2">
          <a:extLst>
            <a:ext uri="{FF2B5EF4-FFF2-40B4-BE49-F238E27FC236}">
              <a16:creationId xmlns:a16="http://schemas.microsoft.com/office/drawing/2014/main" id="{0E287563-E998-483C-856D-C96E55E20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955250"/>
          <a:ext cx="10058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342900</xdr:colOff>
      <xdr:row>27</xdr:row>
      <xdr:rowOff>0</xdr:rowOff>
    </xdr:to>
    <xdr:pic>
      <xdr:nvPicPr>
        <xdr:cNvPr id="5" name="Picture 2">
          <a:extLst>
            <a:ext uri="{FF2B5EF4-FFF2-40B4-BE49-F238E27FC236}">
              <a16:creationId xmlns:a16="http://schemas.microsoft.com/office/drawing/2014/main" id="{154D95A4-F1F9-4398-A350-98A9A7AC6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76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365760</xdr:colOff>
      <xdr:row>27</xdr:row>
      <xdr:rowOff>0</xdr:rowOff>
    </xdr:to>
    <xdr:pic>
      <xdr:nvPicPr>
        <xdr:cNvPr id="6" name="Picture 26">
          <a:extLst>
            <a:ext uri="{FF2B5EF4-FFF2-40B4-BE49-F238E27FC236}">
              <a16:creationId xmlns:a16="http://schemas.microsoft.com/office/drawing/2014/main" id="{6DBAB065-8481-46A0-A6CF-031F6E0DA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991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365760</xdr:colOff>
      <xdr:row>27</xdr:row>
      <xdr:rowOff>0</xdr:rowOff>
    </xdr:to>
    <xdr:pic>
      <xdr:nvPicPr>
        <xdr:cNvPr id="7" name="Picture 2">
          <a:extLst>
            <a:ext uri="{FF2B5EF4-FFF2-40B4-BE49-F238E27FC236}">
              <a16:creationId xmlns:a16="http://schemas.microsoft.com/office/drawing/2014/main" id="{22D4BB8C-5E88-424B-BA63-9ADCB2D52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991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342900</xdr:colOff>
      <xdr:row>27</xdr:row>
      <xdr:rowOff>0</xdr:rowOff>
    </xdr:to>
    <xdr:pic>
      <xdr:nvPicPr>
        <xdr:cNvPr id="8" name="Picture 2">
          <a:extLst>
            <a:ext uri="{FF2B5EF4-FFF2-40B4-BE49-F238E27FC236}">
              <a16:creationId xmlns:a16="http://schemas.microsoft.com/office/drawing/2014/main" id="{BCB5D81F-09B5-400F-B0FA-E0BE97216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763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365760</xdr:colOff>
      <xdr:row>27</xdr:row>
      <xdr:rowOff>0</xdr:rowOff>
    </xdr:to>
    <xdr:pic>
      <xdr:nvPicPr>
        <xdr:cNvPr id="9" name="Picture 26">
          <a:extLst>
            <a:ext uri="{FF2B5EF4-FFF2-40B4-BE49-F238E27FC236}">
              <a16:creationId xmlns:a16="http://schemas.microsoft.com/office/drawing/2014/main" id="{82B92B39-CC4E-4989-81E8-B54406008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991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365760</xdr:colOff>
      <xdr:row>27</xdr:row>
      <xdr:rowOff>0</xdr:rowOff>
    </xdr:to>
    <xdr:pic>
      <xdr:nvPicPr>
        <xdr:cNvPr id="10" name="Picture 2">
          <a:extLst>
            <a:ext uri="{FF2B5EF4-FFF2-40B4-BE49-F238E27FC236}">
              <a16:creationId xmlns:a16="http://schemas.microsoft.com/office/drawing/2014/main" id="{7647CF8B-297F-46E0-B5E9-A357B5049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8991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495300</xdr:colOff>
      <xdr:row>27</xdr:row>
      <xdr:rowOff>0</xdr:rowOff>
    </xdr:to>
    <xdr:pic>
      <xdr:nvPicPr>
        <xdr:cNvPr id="11" name="Picture 2">
          <a:extLst>
            <a:ext uri="{FF2B5EF4-FFF2-40B4-BE49-F238E27FC236}">
              <a16:creationId xmlns:a16="http://schemas.microsoft.com/office/drawing/2014/main" id="{2D9944FB-A79D-4CEB-8CBA-64CB5B867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1028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27</xdr:row>
      <xdr:rowOff>0</xdr:rowOff>
    </xdr:from>
    <xdr:to>
      <xdr:col>1</xdr:col>
      <xdr:colOff>510540</xdr:colOff>
      <xdr:row>27</xdr:row>
      <xdr:rowOff>0</xdr:rowOff>
    </xdr:to>
    <xdr:pic>
      <xdr:nvPicPr>
        <xdr:cNvPr id="12" name="Picture 26">
          <a:extLst>
            <a:ext uri="{FF2B5EF4-FFF2-40B4-BE49-F238E27FC236}">
              <a16:creationId xmlns:a16="http://schemas.microsoft.com/office/drawing/2014/main" id="{A14512BC-B338-413C-B84F-289040EB9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2574250"/>
          <a:ext cx="10439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277091</xdr:colOff>
      <xdr:row>27</xdr:row>
      <xdr:rowOff>0</xdr:rowOff>
    </xdr:from>
    <xdr:to>
      <xdr:col>1</xdr:col>
      <xdr:colOff>635231</xdr:colOff>
      <xdr:row>27</xdr:row>
      <xdr:rowOff>0</xdr:rowOff>
    </xdr:to>
    <xdr:pic>
      <xdr:nvPicPr>
        <xdr:cNvPr id="13" name="Picture 2">
          <a:extLst>
            <a:ext uri="{FF2B5EF4-FFF2-40B4-BE49-F238E27FC236}">
              <a16:creationId xmlns:a16="http://schemas.microsoft.com/office/drawing/2014/main" id="{764E5D3A-716C-4E32-8369-7B9D4BEFA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7091" y="22574250"/>
          <a:ext cx="10439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xdr:colOff>
      <xdr:row>3</xdr:row>
      <xdr:rowOff>68580</xdr:rowOff>
    </xdr:from>
    <xdr:to>
      <xdr:col>3</xdr:col>
      <xdr:colOff>1043940</xdr:colOff>
      <xdr:row>3</xdr:row>
      <xdr:rowOff>754380</xdr:rowOff>
    </xdr:to>
    <xdr:pic>
      <xdr:nvPicPr>
        <xdr:cNvPr id="14" name="Picture 1025" descr="5021286_pg1.jpg">
          <a:extLst>
            <a:ext uri="{FF2B5EF4-FFF2-40B4-BE49-F238E27FC236}">
              <a16:creationId xmlns:a16="http://schemas.microsoft.com/office/drawing/2014/main" id="{D4E85233-46CA-4990-96CD-96DDEF06F8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21455" y="1935480"/>
          <a:ext cx="101346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xdr:colOff>
      <xdr:row>12</xdr:row>
      <xdr:rowOff>30480</xdr:rowOff>
    </xdr:from>
    <xdr:to>
      <xdr:col>3</xdr:col>
      <xdr:colOff>998220</xdr:colOff>
      <xdr:row>12</xdr:row>
      <xdr:rowOff>746760</xdr:rowOff>
    </xdr:to>
    <xdr:pic>
      <xdr:nvPicPr>
        <xdr:cNvPr id="15" name="Picture 1051" descr="5218926_pg1.jpg">
          <a:extLst>
            <a:ext uri="{FF2B5EF4-FFF2-40B4-BE49-F238E27FC236}">
              <a16:creationId xmlns:a16="http://schemas.microsoft.com/office/drawing/2014/main" id="{1AFF7AE5-C233-4862-B57E-B4C87051156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29075" y="11555730"/>
          <a:ext cx="9601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312420</xdr:colOff>
      <xdr:row>19</xdr:row>
      <xdr:rowOff>0</xdr:rowOff>
    </xdr:to>
    <xdr:sp macro="" textlink="">
      <xdr:nvSpPr>
        <xdr:cNvPr id="16" name="AutoShape 1024" descr="Image result for mk-b obo image">
          <a:extLst>
            <a:ext uri="{FF2B5EF4-FFF2-40B4-BE49-F238E27FC236}">
              <a16:creationId xmlns:a16="http://schemas.microsoft.com/office/drawing/2014/main" id="{DC336FF2-FA41-4596-9BDA-2A042AB36B3B}"/>
            </a:ext>
          </a:extLst>
        </xdr:cNvPr>
        <xdr:cNvSpPr>
          <a:spLocks noChangeAspect="1" noChangeArrowheads="1"/>
        </xdr:cNvSpPr>
      </xdr:nvSpPr>
      <xdr:spPr bwMode="auto">
        <a:xfrm>
          <a:off x="3990975" y="16421100"/>
          <a:ext cx="31242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18</xdr:row>
      <xdr:rowOff>0</xdr:rowOff>
    </xdr:from>
    <xdr:to>
      <xdr:col>3</xdr:col>
      <xdr:colOff>975360</xdr:colOff>
      <xdr:row>18</xdr:row>
      <xdr:rowOff>190500</xdr:rowOff>
    </xdr:to>
    <xdr:sp macro="" textlink="">
      <xdr:nvSpPr>
        <xdr:cNvPr id="17" name="AutoShape 1025" descr="Image result for mk-b obo image">
          <a:extLst>
            <a:ext uri="{FF2B5EF4-FFF2-40B4-BE49-F238E27FC236}">
              <a16:creationId xmlns:a16="http://schemas.microsoft.com/office/drawing/2014/main" id="{641AE07B-3184-4D11-B06B-49504D769B8E}"/>
            </a:ext>
          </a:extLst>
        </xdr:cNvPr>
        <xdr:cNvSpPr>
          <a:spLocks noChangeAspect="1" noChangeArrowheads="1"/>
        </xdr:cNvSpPr>
      </xdr:nvSpPr>
      <xdr:spPr bwMode="auto">
        <a:xfrm>
          <a:off x="3990975" y="16421100"/>
          <a:ext cx="97536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18</xdr:row>
      <xdr:rowOff>0</xdr:rowOff>
    </xdr:from>
    <xdr:to>
      <xdr:col>3</xdr:col>
      <xdr:colOff>312420</xdr:colOff>
      <xdr:row>19</xdr:row>
      <xdr:rowOff>0</xdr:rowOff>
    </xdr:to>
    <xdr:sp macro="" textlink="">
      <xdr:nvSpPr>
        <xdr:cNvPr id="18" name="AutoShape 1024" descr="Image result for mk-b obo image">
          <a:extLst>
            <a:ext uri="{FF2B5EF4-FFF2-40B4-BE49-F238E27FC236}">
              <a16:creationId xmlns:a16="http://schemas.microsoft.com/office/drawing/2014/main" id="{5794DBB8-928E-4C36-94AC-DFCB6E9B872E}"/>
            </a:ext>
          </a:extLst>
        </xdr:cNvPr>
        <xdr:cNvSpPr>
          <a:spLocks noChangeAspect="1" noChangeArrowheads="1"/>
        </xdr:cNvSpPr>
      </xdr:nvSpPr>
      <xdr:spPr bwMode="auto">
        <a:xfrm>
          <a:off x="3990975" y="16421100"/>
          <a:ext cx="31242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19" name="AutoShape 1025" descr="Image result for mk-b obo image">
          <a:extLst>
            <a:ext uri="{FF2B5EF4-FFF2-40B4-BE49-F238E27FC236}">
              <a16:creationId xmlns:a16="http://schemas.microsoft.com/office/drawing/2014/main" id="{9E2B9995-0BF9-4D02-A1BC-4FD045259A0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91440</xdr:colOff>
      <xdr:row>13</xdr:row>
      <xdr:rowOff>152400</xdr:rowOff>
    </xdr:from>
    <xdr:to>
      <xdr:col>3</xdr:col>
      <xdr:colOff>1005840</xdr:colOff>
      <xdr:row>13</xdr:row>
      <xdr:rowOff>845820</xdr:rowOff>
    </xdr:to>
    <xdr:pic>
      <xdr:nvPicPr>
        <xdr:cNvPr id="20" name="Picture 43">
          <a:extLst>
            <a:ext uri="{FF2B5EF4-FFF2-40B4-BE49-F238E27FC236}">
              <a16:creationId xmlns:a16="http://schemas.microsoft.com/office/drawing/2014/main" id="{7431C964-6AFC-4F77-8F07-A058FE103DA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82415" y="12468225"/>
          <a:ext cx="914400" cy="69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99060</xdr:colOff>
      <xdr:row>23</xdr:row>
      <xdr:rowOff>60960</xdr:rowOff>
    </xdr:from>
    <xdr:to>
      <xdr:col>3</xdr:col>
      <xdr:colOff>952500</xdr:colOff>
      <xdr:row>23</xdr:row>
      <xdr:rowOff>784860</xdr:rowOff>
    </xdr:to>
    <xdr:pic>
      <xdr:nvPicPr>
        <xdr:cNvPr id="21" name="Picture 1024" descr="5400627_pg1.jpg">
          <a:extLst>
            <a:ext uri="{FF2B5EF4-FFF2-40B4-BE49-F238E27FC236}">
              <a16:creationId xmlns:a16="http://schemas.microsoft.com/office/drawing/2014/main" id="{0F4A266D-4024-4B96-87D5-5FB049E0496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90035" y="19834860"/>
          <a:ext cx="85344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91440</xdr:colOff>
      <xdr:row>24</xdr:row>
      <xdr:rowOff>38100</xdr:rowOff>
    </xdr:from>
    <xdr:to>
      <xdr:col>3</xdr:col>
      <xdr:colOff>975360</xdr:colOff>
      <xdr:row>24</xdr:row>
      <xdr:rowOff>464820</xdr:rowOff>
    </xdr:to>
    <xdr:pic>
      <xdr:nvPicPr>
        <xdr:cNvPr id="22" name="Picture 21">
          <a:extLst>
            <a:ext uri="{FF2B5EF4-FFF2-40B4-BE49-F238E27FC236}">
              <a16:creationId xmlns:a16="http://schemas.microsoft.com/office/drawing/2014/main" id="{3163008B-2F9D-4FAF-8CD4-67DDCD4F026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82415" y="20783550"/>
          <a:ext cx="88392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327660</xdr:colOff>
      <xdr:row>25</xdr:row>
      <xdr:rowOff>38100</xdr:rowOff>
    </xdr:from>
    <xdr:to>
      <xdr:col>3</xdr:col>
      <xdr:colOff>807720</xdr:colOff>
      <xdr:row>25</xdr:row>
      <xdr:rowOff>533400</xdr:rowOff>
    </xdr:to>
    <xdr:pic>
      <xdr:nvPicPr>
        <xdr:cNvPr id="23" name="Picture 37" descr="OEC.PNG">
          <a:extLst>
            <a:ext uri="{FF2B5EF4-FFF2-40B4-BE49-F238E27FC236}">
              <a16:creationId xmlns:a16="http://schemas.microsoft.com/office/drawing/2014/main" id="{7450AB84-22FD-4B39-86A2-F13745B4EF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318635" y="21278850"/>
          <a:ext cx="48006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106680</xdr:colOff>
      <xdr:row>26</xdr:row>
      <xdr:rowOff>163830</xdr:rowOff>
    </xdr:from>
    <xdr:to>
      <xdr:col>3</xdr:col>
      <xdr:colOff>922020</xdr:colOff>
      <xdr:row>26</xdr:row>
      <xdr:rowOff>666750</xdr:rowOff>
    </xdr:to>
    <xdr:pic>
      <xdr:nvPicPr>
        <xdr:cNvPr id="24" name="Picture 36" descr="UFE.PNG">
          <a:extLst>
            <a:ext uri="{FF2B5EF4-FFF2-40B4-BE49-F238E27FC236}">
              <a16:creationId xmlns:a16="http://schemas.microsoft.com/office/drawing/2014/main" id="{80173704-307A-4CB3-8AC9-3B63F6E8E71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411980" y="23042880"/>
          <a:ext cx="815340"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25" name="AutoShape 1024" descr="Image result for mk-b obo image">
          <a:extLst>
            <a:ext uri="{FF2B5EF4-FFF2-40B4-BE49-F238E27FC236}">
              <a16:creationId xmlns:a16="http://schemas.microsoft.com/office/drawing/2014/main" id="{5673B7FE-89D9-472C-823C-40C112621458}"/>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26" name="AutoShape 1025" descr="Image result for mk-b obo image">
          <a:extLst>
            <a:ext uri="{FF2B5EF4-FFF2-40B4-BE49-F238E27FC236}">
              <a16:creationId xmlns:a16="http://schemas.microsoft.com/office/drawing/2014/main" id="{EF9E448E-189B-4403-AEEE-84E7298C7FFE}"/>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27" name="AutoShape 1024" descr="Image result for mk-b obo image">
          <a:extLst>
            <a:ext uri="{FF2B5EF4-FFF2-40B4-BE49-F238E27FC236}">
              <a16:creationId xmlns:a16="http://schemas.microsoft.com/office/drawing/2014/main" id="{D24F00A9-B368-4C81-9F3D-AEBE6E205E43}"/>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28" name="AutoShape 1025" descr="Image result for mk-b obo image">
          <a:extLst>
            <a:ext uri="{FF2B5EF4-FFF2-40B4-BE49-F238E27FC236}">
              <a16:creationId xmlns:a16="http://schemas.microsoft.com/office/drawing/2014/main" id="{4651638D-170A-4EE6-9AE4-173BF3E8259F}"/>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29" name="AutoShape 1025" descr="Image result for mk-b obo image">
          <a:extLst>
            <a:ext uri="{FF2B5EF4-FFF2-40B4-BE49-F238E27FC236}">
              <a16:creationId xmlns:a16="http://schemas.microsoft.com/office/drawing/2014/main" id="{D6A10CC8-69B5-4D58-BD61-98EBD5355CEE}"/>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0" name="AutoShape 1024" descr="Image result for mk-b obo image">
          <a:extLst>
            <a:ext uri="{FF2B5EF4-FFF2-40B4-BE49-F238E27FC236}">
              <a16:creationId xmlns:a16="http://schemas.microsoft.com/office/drawing/2014/main" id="{84C94A2F-6E69-45E0-A01B-6FE68A8FDCD8}"/>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1" name="AutoShape 1025" descr="Image result for mk-b obo image">
          <a:extLst>
            <a:ext uri="{FF2B5EF4-FFF2-40B4-BE49-F238E27FC236}">
              <a16:creationId xmlns:a16="http://schemas.microsoft.com/office/drawing/2014/main" id="{B13BB1AC-42EF-4454-B39F-DFCDB87703A9}"/>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2" name="AutoShape 1024" descr="Image result for mk-b obo image">
          <a:extLst>
            <a:ext uri="{FF2B5EF4-FFF2-40B4-BE49-F238E27FC236}">
              <a16:creationId xmlns:a16="http://schemas.microsoft.com/office/drawing/2014/main" id="{E2244B68-7D73-4C12-A721-C34BAC58D5B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3" name="AutoShape 1025" descr="Image result for mk-b obo image">
          <a:extLst>
            <a:ext uri="{FF2B5EF4-FFF2-40B4-BE49-F238E27FC236}">
              <a16:creationId xmlns:a16="http://schemas.microsoft.com/office/drawing/2014/main" id="{9E843B0A-ACB2-4A0E-8842-B46158F39E1A}"/>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4" name="AutoShape 1025" descr="Image result for mk-b obo image">
          <a:extLst>
            <a:ext uri="{FF2B5EF4-FFF2-40B4-BE49-F238E27FC236}">
              <a16:creationId xmlns:a16="http://schemas.microsoft.com/office/drawing/2014/main" id="{D65CDC33-ED4E-4E70-ADB7-247574AC166B}"/>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5" name="AutoShape 1024" descr="Image result for mk-b obo image">
          <a:extLst>
            <a:ext uri="{FF2B5EF4-FFF2-40B4-BE49-F238E27FC236}">
              <a16:creationId xmlns:a16="http://schemas.microsoft.com/office/drawing/2014/main" id="{63137643-90DB-450D-A458-A6DB8C563106}"/>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6" name="AutoShape 1025" descr="Image result for mk-b obo image">
          <a:extLst>
            <a:ext uri="{FF2B5EF4-FFF2-40B4-BE49-F238E27FC236}">
              <a16:creationId xmlns:a16="http://schemas.microsoft.com/office/drawing/2014/main" id="{22EEEBD0-C61A-4FA3-B922-BBCDE2A9846D}"/>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7" name="AutoShape 1024" descr="Image result for mk-b obo image">
          <a:extLst>
            <a:ext uri="{FF2B5EF4-FFF2-40B4-BE49-F238E27FC236}">
              <a16:creationId xmlns:a16="http://schemas.microsoft.com/office/drawing/2014/main" id="{CCD95F88-E8C4-4F7F-8BCD-9DBA04B0AB02}"/>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38" name="AutoShape 1025" descr="Image result for mk-b obo image">
          <a:extLst>
            <a:ext uri="{FF2B5EF4-FFF2-40B4-BE49-F238E27FC236}">
              <a16:creationId xmlns:a16="http://schemas.microsoft.com/office/drawing/2014/main" id="{2FD1D708-FC85-4483-AE18-AE57FBD99C4A}"/>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129540</xdr:colOff>
      <xdr:row>20</xdr:row>
      <xdr:rowOff>68580</xdr:rowOff>
    </xdr:from>
    <xdr:to>
      <xdr:col>3</xdr:col>
      <xdr:colOff>899160</xdr:colOff>
      <xdr:row>20</xdr:row>
      <xdr:rowOff>594360</xdr:rowOff>
    </xdr:to>
    <xdr:pic>
      <xdr:nvPicPr>
        <xdr:cNvPr id="39" name="Picture 60">
          <a:extLst>
            <a:ext uri="{FF2B5EF4-FFF2-40B4-BE49-F238E27FC236}">
              <a16:creationId xmlns:a16="http://schemas.microsoft.com/office/drawing/2014/main" id="{58E403ED-4C8C-477C-9760-378E666133C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120515" y="17575530"/>
          <a:ext cx="769620" cy="525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20</xdr:row>
      <xdr:rowOff>0</xdr:rowOff>
    </xdr:from>
    <xdr:to>
      <xdr:col>3</xdr:col>
      <xdr:colOff>312420</xdr:colOff>
      <xdr:row>20</xdr:row>
      <xdr:rowOff>312420</xdr:rowOff>
    </xdr:to>
    <xdr:sp macro="" textlink="">
      <xdr:nvSpPr>
        <xdr:cNvPr id="40" name="AutoShape 1025" descr="Image result for mk-b obo image">
          <a:extLst>
            <a:ext uri="{FF2B5EF4-FFF2-40B4-BE49-F238E27FC236}">
              <a16:creationId xmlns:a16="http://schemas.microsoft.com/office/drawing/2014/main" id="{81191542-93D4-4175-A29C-10296E6E9C4A}"/>
            </a:ext>
          </a:extLst>
        </xdr:cNvPr>
        <xdr:cNvSpPr>
          <a:spLocks noChangeAspect="1" noChangeArrowheads="1"/>
        </xdr:cNvSpPr>
      </xdr:nvSpPr>
      <xdr:spPr bwMode="auto">
        <a:xfrm>
          <a:off x="3990975" y="17506950"/>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20</xdr:row>
      <xdr:rowOff>0</xdr:rowOff>
    </xdr:from>
    <xdr:to>
      <xdr:col>3</xdr:col>
      <xdr:colOff>312420</xdr:colOff>
      <xdr:row>20</xdr:row>
      <xdr:rowOff>312420</xdr:rowOff>
    </xdr:to>
    <xdr:sp macro="" textlink="">
      <xdr:nvSpPr>
        <xdr:cNvPr id="41" name="AutoShape 1024" descr="Image result for mk-b obo image">
          <a:extLst>
            <a:ext uri="{FF2B5EF4-FFF2-40B4-BE49-F238E27FC236}">
              <a16:creationId xmlns:a16="http://schemas.microsoft.com/office/drawing/2014/main" id="{90B581E6-92FF-4C59-BC1C-2E0EEB3E238A}"/>
            </a:ext>
          </a:extLst>
        </xdr:cNvPr>
        <xdr:cNvSpPr>
          <a:spLocks noChangeAspect="1" noChangeArrowheads="1"/>
        </xdr:cNvSpPr>
      </xdr:nvSpPr>
      <xdr:spPr bwMode="auto">
        <a:xfrm>
          <a:off x="3990975" y="17506950"/>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20</xdr:row>
      <xdr:rowOff>0</xdr:rowOff>
    </xdr:from>
    <xdr:to>
      <xdr:col>3</xdr:col>
      <xdr:colOff>312420</xdr:colOff>
      <xdr:row>20</xdr:row>
      <xdr:rowOff>312420</xdr:rowOff>
    </xdr:to>
    <xdr:sp macro="" textlink="">
      <xdr:nvSpPr>
        <xdr:cNvPr id="42" name="AutoShape 1025" descr="Image result for mk-b obo image">
          <a:extLst>
            <a:ext uri="{FF2B5EF4-FFF2-40B4-BE49-F238E27FC236}">
              <a16:creationId xmlns:a16="http://schemas.microsoft.com/office/drawing/2014/main" id="{5ACD2A6B-8FA8-43BD-BEAC-466876986C4C}"/>
            </a:ext>
          </a:extLst>
        </xdr:cNvPr>
        <xdr:cNvSpPr>
          <a:spLocks noChangeAspect="1" noChangeArrowheads="1"/>
        </xdr:cNvSpPr>
      </xdr:nvSpPr>
      <xdr:spPr bwMode="auto">
        <a:xfrm>
          <a:off x="3990975" y="17506950"/>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2110740</xdr:colOff>
      <xdr:row>20</xdr:row>
      <xdr:rowOff>0</xdr:rowOff>
    </xdr:from>
    <xdr:to>
      <xdr:col>2</xdr:col>
      <xdr:colOff>2371725</xdr:colOff>
      <xdr:row>20</xdr:row>
      <xdr:rowOff>312420</xdr:rowOff>
    </xdr:to>
    <xdr:sp macro="" textlink="">
      <xdr:nvSpPr>
        <xdr:cNvPr id="43" name="AutoShape 1025" descr="Image result for mk-b obo image">
          <a:extLst>
            <a:ext uri="{FF2B5EF4-FFF2-40B4-BE49-F238E27FC236}">
              <a16:creationId xmlns:a16="http://schemas.microsoft.com/office/drawing/2014/main" id="{D038E7E4-388A-4A61-AA00-E716E7EF4652}"/>
            </a:ext>
          </a:extLst>
        </xdr:cNvPr>
        <xdr:cNvSpPr>
          <a:spLocks noChangeAspect="1" noChangeArrowheads="1"/>
        </xdr:cNvSpPr>
      </xdr:nvSpPr>
      <xdr:spPr bwMode="auto">
        <a:xfrm>
          <a:off x="3920490" y="17506950"/>
          <a:ext cx="260985"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4" name="AutoShape 1024" descr="Image result for mk-b obo image">
          <a:extLst>
            <a:ext uri="{FF2B5EF4-FFF2-40B4-BE49-F238E27FC236}">
              <a16:creationId xmlns:a16="http://schemas.microsoft.com/office/drawing/2014/main" id="{A73F3078-10E1-44D3-8063-61D87CD9976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5" name="AutoShape 1024" descr="Image result for mk-b obo image">
          <a:extLst>
            <a:ext uri="{FF2B5EF4-FFF2-40B4-BE49-F238E27FC236}">
              <a16:creationId xmlns:a16="http://schemas.microsoft.com/office/drawing/2014/main" id="{9E21C9EC-B9FB-41F9-A820-6EC549E12E61}"/>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6" name="AutoShape 1025" descr="Image result for mk-b obo image">
          <a:extLst>
            <a:ext uri="{FF2B5EF4-FFF2-40B4-BE49-F238E27FC236}">
              <a16:creationId xmlns:a16="http://schemas.microsoft.com/office/drawing/2014/main" id="{523089D0-DEA2-4986-8F41-7DC5706C331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7" name="AutoShape 1024" descr="Image result for mk-b obo image">
          <a:extLst>
            <a:ext uri="{FF2B5EF4-FFF2-40B4-BE49-F238E27FC236}">
              <a16:creationId xmlns:a16="http://schemas.microsoft.com/office/drawing/2014/main" id="{1CC9B326-FB91-469C-9E9B-73776EFD5D8B}"/>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8" name="AutoShape 1025" descr="Image result for mk-b obo image">
          <a:extLst>
            <a:ext uri="{FF2B5EF4-FFF2-40B4-BE49-F238E27FC236}">
              <a16:creationId xmlns:a16="http://schemas.microsoft.com/office/drawing/2014/main" id="{D2D0C52D-D975-4171-A6E6-961BD84D7D22}"/>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49" name="AutoShape 1024" descr="Image result for mk-b obo image">
          <a:extLst>
            <a:ext uri="{FF2B5EF4-FFF2-40B4-BE49-F238E27FC236}">
              <a16:creationId xmlns:a16="http://schemas.microsoft.com/office/drawing/2014/main" id="{E13EC182-C6D3-4B91-885A-64B014BC810D}"/>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0" name="AutoShape 1025" descr="Image result for mk-b obo image">
          <a:extLst>
            <a:ext uri="{FF2B5EF4-FFF2-40B4-BE49-F238E27FC236}">
              <a16:creationId xmlns:a16="http://schemas.microsoft.com/office/drawing/2014/main" id="{1A6B178E-54B2-4247-8F11-967974737D7A}"/>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1" name="AutoShape 1025" descr="Image result for mk-b obo image">
          <a:extLst>
            <a:ext uri="{FF2B5EF4-FFF2-40B4-BE49-F238E27FC236}">
              <a16:creationId xmlns:a16="http://schemas.microsoft.com/office/drawing/2014/main" id="{C24D88FB-9352-4480-91C1-47E242C00B6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2" name="AutoShape 1024" descr="Image result for mk-b obo image">
          <a:extLst>
            <a:ext uri="{FF2B5EF4-FFF2-40B4-BE49-F238E27FC236}">
              <a16:creationId xmlns:a16="http://schemas.microsoft.com/office/drawing/2014/main" id="{D0011816-7083-4BE7-B860-42E4454C801B}"/>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3" name="AutoShape 1025" descr="Image result for mk-b obo image">
          <a:extLst>
            <a:ext uri="{FF2B5EF4-FFF2-40B4-BE49-F238E27FC236}">
              <a16:creationId xmlns:a16="http://schemas.microsoft.com/office/drawing/2014/main" id="{848B2329-D370-4CBF-920C-155FEF14EEB8}"/>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4" name="AutoShape 1024" descr="Image result for mk-b obo image">
          <a:extLst>
            <a:ext uri="{FF2B5EF4-FFF2-40B4-BE49-F238E27FC236}">
              <a16:creationId xmlns:a16="http://schemas.microsoft.com/office/drawing/2014/main" id="{E22272D3-01F6-4E2B-9B57-C4E6A5895BB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5" name="AutoShape 1025" descr="Image result for mk-b obo image">
          <a:extLst>
            <a:ext uri="{FF2B5EF4-FFF2-40B4-BE49-F238E27FC236}">
              <a16:creationId xmlns:a16="http://schemas.microsoft.com/office/drawing/2014/main" id="{D036760B-955F-4347-9B0B-30EF5E3B31B2}"/>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6" name="AutoShape 1025" descr="Image result for mk-b obo image">
          <a:extLst>
            <a:ext uri="{FF2B5EF4-FFF2-40B4-BE49-F238E27FC236}">
              <a16:creationId xmlns:a16="http://schemas.microsoft.com/office/drawing/2014/main" id="{BD01CE24-F1E2-4965-9B45-97035C4DE514}"/>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7" name="AutoShape 1024" descr="Image result for mk-b obo image">
          <a:extLst>
            <a:ext uri="{FF2B5EF4-FFF2-40B4-BE49-F238E27FC236}">
              <a16:creationId xmlns:a16="http://schemas.microsoft.com/office/drawing/2014/main" id="{2D83AA51-3B1C-46BB-B8F6-AC80DE2B51DC}"/>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8" name="AutoShape 1025" descr="Image result for mk-b obo image">
          <a:extLst>
            <a:ext uri="{FF2B5EF4-FFF2-40B4-BE49-F238E27FC236}">
              <a16:creationId xmlns:a16="http://schemas.microsoft.com/office/drawing/2014/main" id="{E23DAFF7-9FA6-4B49-972F-224E75E1958A}"/>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59" name="AutoShape 1024" descr="Image result for mk-b obo image">
          <a:extLst>
            <a:ext uri="{FF2B5EF4-FFF2-40B4-BE49-F238E27FC236}">
              <a16:creationId xmlns:a16="http://schemas.microsoft.com/office/drawing/2014/main" id="{5C56FA2E-31A4-4F0C-BCB0-3E4D648A5EA9}"/>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19</xdr:row>
      <xdr:rowOff>0</xdr:rowOff>
    </xdr:from>
    <xdr:to>
      <xdr:col>3</xdr:col>
      <xdr:colOff>312420</xdr:colOff>
      <xdr:row>19</xdr:row>
      <xdr:rowOff>312420</xdr:rowOff>
    </xdr:to>
    <xdr:sp macro="" textlink="">
      <xdr:nvSpPr>
        <xdr:cNvPr id="60" name="AutoShape 1025" descr="Image result for mk-b obo image">
          <a:extLst>
            <a:ext uri="{FF2B5EF4-FFF2-40B4-BE49-F238E27FC236}">
              <a16:creationId xmlns:a16="http://schemas.microsoft.com/office/drawing/2014/main" id="{741405BB-6A0F-4FA0-9451-7B869BFD314F}"/>
            </a:ext>
          </a:extLst>
        </xdr:cNvPr>
        <xdr:cNvSpPr>
          <a:spLocks noChangeAspect="1" noChangeArrowheads="1"/>
        </xdr:cNvSpPr>
      </xdr:nvSpPr>
      <xdr:spPr bwMode="auto">
        <a:xfrm>
          <a:off x="3990975" y="16735425"/>
          <a:ext cx="31242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106680</xdr:colOff>
      <xdr:row>19</xdr:row>
      <xdr:rowOff>129540</xdr:rowOff>
    </xdr:from>
    <xdr:to>
      <xdr:col>4</xdr:col>
      <xdr:colOff>3138</xdr:colOff>
      <xdr:row>19</xdr:row>
      <xdr:rowOff>701040</xdr:rowOff>
    </xdr:to>
    <xdr:pic>
      <xdr:nvPicPr>
        <xdr:cNvPr id="61" name="Picture 59">
          <a:extLst>
            <a:ext uri="{FF2B5EF4-FFF2-40B4-BE49-F238E27FC236}">
              <a16:creationId xmlns:a16="http://schemas.microsoft.com/office/drawing/2014/main" id="{4DEFD06C-AB46-4A3E-BCAA-CC22DAD0828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t="16672" b="13609"/>
        <a:stretch>
          <a:fillRect/>
        </a:stretch>
      </xdr:blipFill>
      <xdr:spPr bwMode="auto">
        <a:xfrm>
          <a:off x="4097655" y="16864965"/>
          <a:ext cx="100584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xdr:colOff>
      <xdr:row>15</xdr:row>
      <xdr:rowOff>68580</xdr:rowOff>
    </xdr:from>
    <xdr:to>
      <xdr:col>3</xdr:col>
      <xdr:colOff>1043940</xdr:colOff>
      <xdr:row>15</xdr:row>
      <xdr:rowOff>754380</xdr:rowOff>
    </xdr:to>
    <xdr:pic>
      <xdr:nvPicPr>
        <xdr:cNvPr id="62" name="Picture 1025" descr="5021286_pg1.jpg">
          <a:extLst>
            <a:ext uri="{FF2B5EF4-FFF2-40B4-BE49-F238E27FC236}">
              <a16:creationId xmlns:a16="http://schemas.microsoft.com/office/drawing/2014/main" id="{86BBA2F0-282A-4685-B12C-37A8B956DE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21455" y="13736955"/>
          <a:ext cx="101346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22860</xdr:colOff>
      <xdr:row>16</xdr:row>
      <xdr:rowOff>190500</xdr:rowOff>
    </xdr:from>
    <xdr:to>
      <xdr:col>3</xdr:col>
      <xdr:colOff>1043940</xdr:colOff>
      <xdr:row>16</xdr:row>
      <xdr:rowOff>929640</xdr:rowOff>
    </xdr:to>
    <xdr:pic>
      <xdr:nvPicPr>
        <xdr:cNvPr id="63" name="Picture 1">
          <a:extLst>
            <a:ext uri="{FF2B5EF4-FFF2-40B4-BE49-F238E27FC236}">
              <a16:creationId xmlns:a16="http://schemas.microsoft.com/office/drawing/2014/main" id="{BBCA5949-2CD0-4DA9-9A63-CD62FBB8235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013835" y="14649450"/>
          <a:ext cx="1021080" cy="739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175260</xdr:colOff>
      <xdr:row>17</xdr:row>
      <xdr:rowOff>30480</xdr:rowOff>
    </xdr:from>
    <xdr:to>
      <xdr:col>3</xdr:col>
      <xdr:colOff>952500</xdr:colOff>
      <xdr:row>17</xdr:row>
      <xdr:rowOff>672548</xdr:rowOff>
    </xdr:to>
    <xdr:pic>
      <xdr:nvPicPr>
        <xdr:cNvPr id="64" name="Picture 32" descr="folding.PNG">
          <a:extLst>
            <a:ext uri="{FF2B5EF4-FFF2-40B4-BE49-F238E27FC236}">
              <a16:creationId xmlns:a16="http://schemas.microsoft.com/office/drawing/2014/main" id="{753AED83-66C1-4869-9746-500FB6EBC63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166235" y="15765780"/>
          <a:ext cx="777240" cy="642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137160</xdr:colOff>
      <xdr:row>22</xdr:row>
      <xdr:rowOff>83820</xdr:rowOff>
    </xdr:from>
    <xdr:to>
      <xdr:col>3</xdr:col>
      <xdr:colOff>982980</xdr:colOff>
      <xdr:row>22</xdr:row>
      <xdr:rowOff>594360</xdr:rowOff>
    </xdr:to>
    <xdr:pic>
      <xdr:nvPicPr>
        <xdr:cNvPr id="65" name="Picture 48">
          <a:extLst>
            <a:ext uri="{FF2B5EF4-FFF2-40B4-BE49-F238E27FC236}">
              <a16:creationId xmlns:a16="http://schemas.microsoft.com/office/drawing/2014/main" id="{B9025ECA-F3D3-450B-805D-144830CC2A9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128135" y="19048095"/>
          <a:ext cx="84582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xdr:colOff>
      <xdr:row>4</xdr:row>
      <xdr:rowOff>182880</xdr:rowOff>
    </xdr:from>
    <xdr:to>
      <xdr:col>3</xdr:col>
      <xdr:colOff>1051560</xdr:colOff>
      <xdr:row>4</xdr:row>
      <xdr:rowOff>929640</xdr:rowOff>
    </xdr:to>
    <xdr:pic>
      <xdr:nvPicPr>
        <xdr:cNvPr id="66" name="Picture 1">
          <a:extLst>
            <a:ext uri="{FF2B5EF4-FFF2-40B4-BE49-F238E27FC236}">
              <a16:creationId xmlns:a16="http://schemas.microsoft.com/office/drawing/2014/main" id="{B6A18680-8E08-4B35-9C65-3508C38CE79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021455" y="2983230"/>
          <a:ext cx="1021080"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160020</xdr:colOff>
      <xdr:row>5</xdr:row>
      <xdr:rowOff>106680</xdr:rowOff>
    </xdr:from>
    <xdr:to>
      <xdr:col>3</xdr:col>
      <xdr:colOff>906780</xdr:colOff>
      <xdr:row>5</xdr:row>
      <xdr:rowOff>784860</xdr:rowOff>
    </xdr:to>
    <xdr:pic>
      <xdr:nvPicPr>
        <xdr:cNvPr id="67" name="Picture 73">
          <a:extLst>
            <a:ext uri="{FF2B5EF4-FFF2-40B4-BE49-F238E27FC236}">
              <a16:creationId xmlns:a16="http://schemas.microsoft.com/office/drawing/2014/main" id="{A6680883-327E-4437-830F-ABF6BEA1ED1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150995" y="4192905"/>
          <a:ext cx="746760" cy="678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167640</xdr:colOff>
      <xdr:row>8</xdr:row>
      <xdr:rowOff>1143000</xdr:rowOff>
    </xdr:from>
    <xdr:to>
      <xdr:col>3</xdr:col>
      <xdr:colOff>929640</xdr:colOff>
      <xdr:row>10</xdr:row>
      <xdr:rowOff>76893</xdr:rowOff>
    </xdr:to>
    <xdr:pic>
      <xdr:nvPicPr>
        <xdr:cNvPr id="68" name="Picture 41" descr="https://obo-bettermann.com/leaflet_files/153/1532663/OI39M74P351B39HOT7DFNNO4_5403227_PG1.png">
          <a:extLst>
            <a:ext uri="{FF2B5EF4-FFF2-40B4-BE49-F238E27FC236}">
              <a16:creationId xmlns:a16="http://schemas.microsoft.com/office/drawing/2014/main" id="{40718EDB-AE7A-4E05-B1AB-4BCC8E1D6AF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158615" y="8601075"/>
          <a:ext cx="762000" cy="7531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xdr:colOff>
      <xdr:row>10</xdr:row>
      <xdr:rowOff>152400</xdr:rowOff>
    </xdr:from>
    <xdr:to>
      <xdr:col>3</xdr:col>
      <xdr:colOff>1021080</xdr:colOff>
      <xdr:row>10</xdr:row>
      <xdr:rowOff>838200</xdr:rowOff>
    </xdr:to>
    <xdr:pic>
      <xdr:nvPicPr>
        <xdr:cNvPr id="69" name="Picture 43">
          <a:extLst>
            <a:ext uri="{FF2B5EF4-FFF2-40B4-BE49-F238E27FC236}">
              <a16:creationId xmlns:a16="http://schemas.microsoft.com/office/drawing/2014/main" id="{D99E9F15-AEBF-4EF2-85E8-B0FABC06E80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021455" y="9429750"/>
          <a:ext cx="9906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381000</xdr:colOff>
      <xdr:row>8</xdr:row>
      <xdr:rowOff>175260</xdr:rowOff>
    </xdr:from>
    <xdr:to>
      <xdr:col>3</xdr:col>
      <xdr:colOff>624840</xdr:colOff>
      <xdr:row>8</xdr:row>
      <xdr:rowOff>1089660</xdr:rowOff>
    </xdr:to>
    <xdr:pic>
      <xdr:nvPicPr>
        <xdr:cNvPr id="70" name="Picture 37" descr="Interception.PNG">
          <a:extLst>
            <a:ext uri="{FF2B5EF4-FFF2-40B4-BE49-F238E27FC236}">
              <a16:creationId xmlns:a16="http://schemas.microsoft.com/office/drawing/2014/main" id="{B021B8C7-1835-4B81-9E3D-B80E1C810D04}"/>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371975" y="7633335"/>
          <a:ext cx="24384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38100</xdr:colOff>
      <xdr:row>6</xdr:row>
      <xdr:rowOff>114300</xdr:rowOff>
    </xdr:from>
    <xdr:to>
      <xdr:col>3</xdr:col>
      <xdr:colOff>1021080</xdr:colOff>
      <xdr:row>6</xdr:row>
      <xdr:rowOff>883920</xdr:rowOff>
    </xdr:to>
    <xdr:pic>
      <xdr:nvPicPr>
        <xdr:cNvPr id="71" name="Picture 688">
          <a:extLst>
            <a:ext uri="{FF2B5EF4-FFF2-40B4-BE49-F238E27FC236}">
              <a16:creationId xmlns:a16="http://schemas.microsoft.com/office/drawing/2014/main" id="{AD368DF4-8633-4106-ACCD-1EBF7340726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029075" y="5200650"/>
          <a:ext cx="982980" cy="769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302623</xdr:colOff>
      <xdr:row>21</xdr:row>
      <xdr:rowOff>34835</xdr:rowOff>
    </xdr:from>
    <xdr:to>
      <xdr:col>3</xdr:col>
      <xdr:colOff>797923</xdr:colOff>
      <xdr:row>21</xdr:row>
      <xdr:rowOff>713015</xdr:rowOff>
    </xdr:to>
    <xdr:pic>
      <xdr:nvPicPr>
        <xdr:cNvPr id="72" name="Picture 116">
          <a:extLst>
            <a:ext uri="{FF2B5EF4-FFF2-40B4-BE49-F238E27FC236}">
              <a16:creationId xmlns:a16="http://schemas.microsoft.com/office/drawing/2014/main" id="{296ACF06-19EF-462F-847F-D7D9F1CD8BD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293598" y="18246635"/>
          <a:ext cx="495300" cy="678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2110740</xdr:colOff>
      <xdr:row>20</xdr:row>
      <xdr:rowOff>0</xdr:rowOff>
    </xdr:from>
    <xdr:ext cx="322218" cy="312420"/>
    <xdr:sp macro="" textlink="">
      <xdr:nvSpPr>
        <xdr:cNvPr id="73" name="AutoShape 1025" descr="Image result for mk-b obo image">
          <a:extLst>
            <a:ext uri="{FF2B5EF4-FFF2-40B4-BE49-F238E27FC236}">
              <a16:creationId xmlns:a16="http://schemas.microsoft.com/office/drawing/2014/main" id="{CB2793C5-1786-4C4D-9A3D-9E88D37F4B9F}"/>
            </a:ext>
          </a:extLst>
        </xdr:cNvPr>
        <xdr:cNvSpPr>
          <a:spLocks noChangeAspect="1" noChangeArrowheads="1"/>
        </xdr:cNvSpPr>
      </xdr:nvSpPr>
      <xdr:spPr bwMode="auto">
        <a:xfrm>
          <a:off x="5101590" y="17506950"/>
          <a:ext cx="322218"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313764</xdr:colOff>
      <xdr:row>7</xdr:row>
      <xdr:rowOff>206188</xdr:rowOff>
    </xdr:from>
    <xdr:ext cx="403411" cy="802941"/>
    <xdr:pic>
      <xdr:nvPicPr>
        <xdr:cNvPr id="74" name="Picture 73" descr="https://obo-bettermann.com/leaflet_files/153/1532631/ICIQHHF90V5FO67ANHKC0AEK_5403308_PG1.png">
          <a:extLst>
            <a:ext uri="{FF2B5EF4-FFF2-40B4-BE49-F238E27FC236}">
              <a16:creationId xmlns:a16="http://schemas.microsoft.com/office/drawing/2014/main" id="{F15A4ADD-4F57-4DEF-A48B-7EBE068B1BEC}"/>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4304739" y="6445063"/>
          <a:ext cx="403411" cy="8029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3</xdr:col>
      <xdr:colOff>143435</xdr:colOff>
      <xdr:row>11</xdr:row>
      <xdr:rowOff>233082</xdr:rowOff>
    </xdr:from>
    <xdr:to>
      <xdr:col>3</xdr:col>
      <xdr:colOff>1002553</xdr:colOff>
      <xdr:row>11</xdr:row>
      <xdr:rowOff>830729</xdr:rowOff>
    </xdr:to>
    <xdr:pic>
      <xdr:nvPicPr>
        <xdr:cNvPr id="75" name="Picture 74">
          <a:extLst>
            <a:ext uri="{FF2B5EF4-FFF2-40B4-BE49-F238E27FC236}">
              <a16:creationId xmlns:a16="http://schemas.microsoft.com/office/drawing/2014/main" id="{1FA1EAD6-3B76-4000-8F4D-65517D29E129}"/>
            </a:ext>
          </a:extLst>
        </xdr:cNvPr>
        <xdr:cNvPicPr>
          <a:picLocks noChangeAspect="1"/>
        </xdr:cNvPicPr>
      </xdr:nvPicPr>
      <xdr:blipFill>
        <a:blip xmlns:r="http://schemas.openxmlformats.org/officeDocument/2006/relationships" r:embed="rId22"/>
        <a:stretch>
          <a:fillRect/>
        </a:stretch>
      </xdr:blipFill>
      <xdr:spPr>
        <a:xfrm>
          <a:off x="4134410" y="10624857"/>
          <a:ext cx="859118" cy="5976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gi02\projects%20(e)\DATA\Projects\1997\200_299\97_207&amp;208%20Western%20PGU&amp;SECU\Contract%20admin\Cost%20reports\97_207COSRP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ushwake1-my.sharepoint.com/personal/yuvaraj_a_cushwake_com/Documents/Desktop/CPU%20Compass%20@%20Chennai-Fire,%20FA%20and%20Fire%20Extinguishers-UnPriced%20boq-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SUMMARY"/>
      <sheetName val="CASHFLOWS"/>
      <sheetName val="VARIATIONS"/>
      <sheetName val="PROV SUMS"/>
      <sheetName val="PROV QUANTITIES"/>
      <sheetName val="RES STEEL TO"/>
      <sheetName val="Data sheet"/>
      <sheetName val="Door"/>
      <sheetName val="Per Unit"/>
      <sheetName val="Window"/>
      <sheetName val="97_207COSRP11"/>
      <sheetName val="Fin Sum"/>
      <sheetName val="MG"/>
      <sheetName val="SPT vs PHI"/>
      <sheetName val="girder"/>
      <sheetName val="analysis"/>
      <sheetName val="PROV_SUMS"/>
      <sheetName val="PROV_QUANTITIES"/>
      <sheetName val="RES_STEEL_TO"/>
      <sheetName val="Fin_Sum"/>
      <sheetName val="EB2"/>
      <sheetName val="CABLES"/>
      <sheetName val="Switch &amp; Sockets"/>
      <sheetName val="25mm PVC Conduit"/>
      <sheetName val="FLOOR JB"/>
      <sheetName val="Light Fittings"/>
      <sheetName val="CABLE TRAY"/>
      <sheetName val="32MM PVC CONDUIT"/>
      <sheetName val="Point Wiring"/>
      <sheetName val="3RX2.5SQMM WIRE"/>
      <sheetName val="3CX2.5SQMM WIRES"/>
      <sheetName val="3CX4.00SQMM"/>
      <sheetName val="FitOutConfCentre"/>
      <sheetName val="PROCTOR"/>
      <sheetName val="concrete"/>
      <sheetName val="Pay_Sep06"/>
      <sheetName val="Rate analysis"/>
      <sheetName val="Rocker"/>
      <sheetName val="Wire"/>
      <sheetName val="Assumptions"/>
      <sheetName val="PPA Summary"/>
      <sheetName val="98Price"/>
      <sheetName val="beam-reinft-IIInd floor"/>
      <sheetName val="Main-Material"/>
      <sheetName val="upa"/>
      <sheetName val="R20_R30_work"/>
      <sheetName val="India F&amp;S Template"/>
      <sheetName val="Materials Cost(PCC)"/>
      <sheetName val="Design"/>
      <sheetName val="Paym. Recom"/>
      <sheetName val="DC - DB &amp; MCB"/>
      <sheetName val="inst. - Pt Wr (cl-2)"/>
      <sheetName val="Su. - Pt Wr"/>
      <sheetName val="Su. Pwr Wr"/>
      <sheetName val="Inst. Pwr Wr (cl-2)"/>
      <sheetName val="Su. - Cor"/>
      <sheetName val="Ins - Cor "/>
      <sheetName val="Earth strip&amp; fittings"/>
      <sheetName val="DC. S &amp; So"/>
      <sheetName val="Install.LIFT SHAFT "/>
      <sheetName val="Su.solar.pt"/>
      <sheetName val="SU.LIFT SHAFT"/>
      <sheetName val="DC -Conduit"/>
      <sheetName val="DC.wiring"/>
      <sheetName val="MASTER_RATE ANALYSIS"/>
      <sheetName val="PRECAST lightconc-II"/>
      <sheetName val="Sheet2"/>
      <sheetName val="Synergy Sales Budget"/>
      <sheetName val="Break up Sheet"/>
      <sheetName val="COLUMN"/>
      <sheetName val="PROV_SUMS1"/>
      <sheetName val="PROV_QUANTITIES1"/>
      <sheetName val="RES_STEEL_TO1"/>
      <sheetName val="Data_sheet"/>
      <sheetName val="Per_Unit"/>
      <sheetName val="Fin_Sum1"/>
      <sheetName val="SPT_vs_PHI"/>
      <sheetName val="Switch_&amp;_Sockets"/>
      <sheetName val="25mm_PVC_Conduit"/>
      <sheetName val="FLOOR_JB"/>
      <sheetName val="Light_Fittings"/>
      <sheetName val="CABLE_TRAY"/>
      <sheetName val="32MM_PVC_CONDUIT"/>
      <sheetName val="Point_Wiring"/>
      <sheetName val="3RX2_5SQMM_WIRE"/>
      <sheetName val="3CX2_5SQMM_WIRES"/>
      <sheetName val="3CX4_00SQMM"/>
      <sheetName val="Rate_analysis"/>
      <sheetName val="PPA_Summary"/>
      <sheetName val="beam-reinft-IIInd_floor"/>
      <sheetName val="India_F&amp;S_Template"/>
      <sheetName val="Materials_Cost(PCC)"/>
      <sheetName val="細目"/>
      <sheetName val="BLK3"/>
      <sheetName val="radar"/>
      <sheetName val="PA- Consutant "/>
      <sheetName val="BLK2"/>
      <sheetName val="beam-reinft-machine rm"/>
      <sheetName val="Voucher"/>
      <sheetName val="Sheet3"/>
      <sheetName val="Data"/>
      <sheetName val="Debits as on 12.04.08"/>
      <sheetName val="foot-slab reinft"/>
      <sheetName val="factors"/>
      <sheetName val="gen"/>
      <sheetName val="WORK TABLE"/>
      <sheetName val="ABP inputs"/>
      <sheetName val="Detail"/>
      <sheetName val="Pacakges_split"/>
      <sheetName val="Project_Budget_Worksheet1"/>
      <sheetName val="9__Package_split_-_Cost_"/>
      <sheetName val="10__&amp;_11__Rate_Code_&amp;_BQ"/>
      <sheetName val="E &amp; R"/>
      <sheetName val="UG"/>
      <sheetName val="Parametry"/>
      <sheetName val="Appendix -3- Rcov. Mat.supplie"/>
      <sheetName val="col-reinft1"/>
      <sheetName val="sheet6"/>
      <sheetName val="List of contractors"/>
      <sheetName val="공사비집계"/>
      <sheetName val="office"/>
      <sheetName val="Lab"/>
      <sheetName val="Costing"/>
      <sheetName val="GR.slab-reinft"/>
      <sheetName val="p&amp;m"/>
      <sheetName val="Form 6"/>
      <sheetName val="TB"/>
      <sheetName val="A1-Continuous"/>
      <sheetName val="BORDGC"/>
      <sheetName val="Assmpns"/>
      <sheetName val="Change Order Log"/>
      <sheetName val="Wall"/>
      <sheetName val="LTG-STG"/>
      <sheetName val="Material List "/>
      <sheetName val="APPENDIX-I"/>
      <sheetName val="Corr-spt"/>
      <sheetName val="Obs-spt"/>
      <sheetName val="Indices"/>
      <sheetName val="reinft"/>
      <sheetName val="glass project concrete"/>
      <sheetName val="glass project reift"/>
      <sheetName val="glass project indices"/>
      <sheetName val="Material&amp;equipment"/>
      <sheetName val="Boq"/>
      <sheetName val="SBC-BH-1"/>
      <sheetName val="SBC-BH 19"/>
      <sheetName val="SBC-BH-16"/>
      <sheetName val="BH-20"/>
      <sheetName val="BH-15"/>
      <sheetName val="BH-14"/>
      <sheetName val="BH-16"/>
      <sheetName val="BH-17"/>
      <sheetName val="sbc-ABH-1"/>
      <sheetName val="ABH-1"/>
      <sheetName val="BH-19"/>
      <sheetName val="BH-1"/>
      <sheetName val="SBC-BH-3"/>
      <sheetName val="BH-3"/>
      <sheetName val="Sheet4"/>
      <sheetName val="Table10"/>
      <sheetName val="Table11"/>
      <sheetName val="Table12"/>
      <sheetName val="Table9"/>
      <sheetName val="sept-plan"/>
      <sheetName val="Spt-BH"/>
      <sheetName val="Other"/>
      <sheetName val="glass_project_concrete"/>
      <sheetName val="glass_project_reift"/>
      <sheetName val="glass_project_indices"/>
      <sheetName val="#REF!"/>
      <sheetName val="Summary 0506"/>
      <sheetName val="Summary 0607- 31.MAR"/>
      <sheetName val="Qty"/>
      <sheetName val="Civil Boq"/>
      <sheetName val="Pile cap"/>
      <sheetName val="Sheet1"/>
      <sheetName val="BH 12-11-10-13"/>
      <sheetName val="BH 12-11-10-9"/>
      <sheetName val="BH 36-15-37"/>
      <sheetName val="BH 16-35-25-17"/>
      <sheetName val="BH 35-25-17"/>
      <sheetName val="Sheet1 (2)"/>
      <sheetName val="SPT_vs_PHI1"/>
      <sheetName val="glass_project_concrete1"/>
      <sheetName val="glass_project_reift1"/>
      <sheetName val="glass_project_indices1"/>
      <sheetName val="SBC-BH_19"/>
      <sheetName val="BH_12-11-10-13"/>
      <sheetName val="BH_12-11-10-9"/>
      <sheetName val="BH_36-15-37"/>
      <sheetName val="BH_16-35-25-17"/>
      <sheetName val="BH_35-25-17"/>
      <sheetName val="Sheet1_(2)"/>
      <sheetName val="d-safe DELUXE"/>
      <sheetName val="V.O.4 - PCC Qty"/>
      <sheetName val="TBAL9697 -group wise  sdpl"/>
      <sheetName val="Abstract Sheet"/>
      <sheetName val="Mix Design"/>
      <sheetName val="std-rates"/>
      <sheetName val="RCC,Ret. Wall"/>
      <sheetName val="PointNo.5"/>
      <sheetName val="Legal Risk Analysis"/>
      <sheetName val="Load Details-220kV"/>
      <sheetName val="WWR"/>
      <sheetName val="Fill this out first..."/>
      <sheetName val="LABOUR"/>
      <sheetName val="REVISED4A PROG PERF-SITE 1"/>
      <sheetName val="GBW"/>
      <sheetName val="8"/>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except wiring"/>
      <sheetName val="BOQ_Direct_selling cost"/>
      <sheetName val="BOQ (2)"/>
      <sheetName val="CABLE DATA"/>
      <sheetName val="Stock-II"/>
      <sheetName val="Flight-1"/>
      <sheetName val="Publicbuilding"/>
      <sheetName val="FT-05-02IsoBOM"/>
      <sheetName val="Input"/>
      <sheetName val="Activity"/>
      <sheetName val="Staff Acco."/>
      <sheetName val="Crew"/>
      <sheetName val="Piping"/>
      <sheetName val="Pipe Supports"/>
      <sheetName val="A-General"/>
      <sheetName val="dummy"/>
      <sheetName val="RA"/>
      <sheetName val="11-hsd"/>
      <sheetName val="13-septic"/>
      <sheetName val="7-ug"/>
      <sheetName val="2-utility"/>
      <sheetName val="18-misc"/>
      <sheetName val="5-pipe"/>
      <sheetName val="Supplier"/>
      <sheetName val="final abstract"/>
      <sheetName val=""/>
      <sheetName val="Abstract"/>
      <sheetName val="INPUT SHEET"/>
      <sheetName val="RES-PLANNING"/>
      <sheetName val="Rev S1 Abstract"/>
      <sheetName val="Quantity Abstract"/>
      <sheetName val="1"/>
      <sheetName val="M-Book for Conc"/>
      <sheetName val="M-Book for FW"/>
      <sheetName val="VCH-SLC"/>
      <sheetName val="Parapet"/>
      <sheetName val="RA-markate"/>
      <sheetName val="Footings"/>
      <sheetName val="Sump"/>
      <sheetName val="cubes_M20"/>
      <sheetName val="Summary_0506"/>
      <sheetName val="Summary_0607-_31_MAR"/>
      <sheetName val="Form_6"/>
      <sheetName val="B@_"/>
      <sheetName val="B@___x0004_@_____$__"/>
      <sheetName val="B@__x005f_x0000__x005f_x0004_@_x005f_x0000__x0000"/>
      <sheetName val="Project Budget Worksheet"/>
      <sheetName val="BS1"/>
      <sheetName val="#REF"/>
      <sheetName val="BOQ -II ph 2"/>
      <sheetName val="d-safe specs"/>
      <sheetName val="DADAN-1"/>
      <sheetName val="Lead"/>
      <sheetName val="class &amp; category"/>
      <sheetName val="SSR &amp; NSSR Market final"/>
      <sheetName val="switch"/>
      <sheetName val="Fee Rate Summary"/>
      <sheetName val="Macro1"/>
      <sheetName val="STAFFSCHED "/>
      <sheetName val="SUMM"/>
      <sheetName val="220 11  BS "/>
      <sheetName val="Cost_any"/>
      <sheetName val="Process"/>
      <sheetName val="pt_cw"/>
      <sheetName val="Metso - Forth &amp; Slurry 11.02.10"/>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recast RC element"/>
      <sheetName val="PROV_SUMS2"/>
      <sheetName val="PROV_QUANTITIES2"/>
      <sheetName val="RES_STEEL_TO2"/>
      <sheetName val="Fin_Sum2"/>
      <sheetName val="Data_sheet1"/>
      <sheetName val="Per_Unit1"/>
      <sheetName val="Switch_&amp;_Sockets1"/>
      <sheetName val="25mm_PVC_Conduit1"/>
      <sheetName val="FLOOR_JB1"/>
      <sheetName val="Light_Fittings1"/>
      <sheetName val="CABLE_TRAY1"/>
      <sheetName val="32MM_PVC_CONDUIT1"/>
      <sheetName val="Point_Wiring1"/>
      <sheetName val="3RX2_5SQMM_WIRE1"/>
      <sheetName val="3CX2_5SQMM_WIRES1"/>
      <sheetName val="3CX4_00SQMM1"/>
      <sheetName val="PPA_Summary1"/>
      <sheetName val="beam-reinft-IIInd_floor1"/>
      <sheetName val="India_F&amp;S_Template1"/>
      <sheetName val="Materials_Cost(PCC)1"/>
      <sheetName val="MASTER_RATE_ANALYSIS"/>
      <sheetName val="Synergy_Sales_Budget"/>
      <sheetName val="Paym__Recom"/>
      <sheetName val="DC_-_DB_&amp;_MCB"/>
      <sheetName val="inst__-_Pt_Wr_(cl-2)"/>
      <sheetName val="Su__-_Pt_Wr"/>
      <sheetName val="Su__Pwr_Wr"/>
      <sheetName val="Inst__Pwr_Wr_(cl-2)"/>
      <sheetName val="Su__-_Cor"/>
      <sheetName val="Ins_-_Cor_"/>
      <sheetName val="Earth_strip&amp;_fittings"/>
      <sheetName val="DC__S_&amp;_So"/>
      <sheetName val="Install_LIFT_SHAFT_"/>
      <sheetName val="Su_solar_pt"/>
      <sheetName val="SU_LIFT_SHAFT"/>
      <sheetName val="DC_-Conduit"/>
      <sheetName val="DC_wiring"/>
      <sheetName val="PA-_Consutant_"/>
      <sheetName val="beam-reinft-machine_rm"/>
      <sheetName val="Measurements"/>
      <sheetName val="Tables"/>
      <sheetName val="Flooring"/>
      <sheetName val="Ceilings"/>
      <sheetName val="ACAD Finishes"/>
      <sheetName val="Site Details"/>
      <sheetName val="Chair"/>
      <sheetName val="Site Area Statement"/>
      <sheetName val="Doors"/>
      <sheetName val="Estimate"/>
      <sheetName val="PROV_SUMS3"/>
      <sheetName val="PROV_QUANTITIES3"/>
      <sheetName val="RES_STEEL_TO3"/>
      <sheetName val="Data_sheet2"/>
      <sheetName val="Per_Unit2"/>
      <sheetName val="Fin_Sum3"/>
      <sheetName val="Switch_&amp;_Sockets2"/>
      <sheetName val="25mm_PVC_Conduit2"/>
      <sheetName val="FLOOR_JB2"/>
      <sheetName val="Light_Fittings2"/>
      <sheetName val="CABLE_TRAY2"/>
      <sheetName val="32MM_PVC_CONDUIT2"/>
      <sheetName val="Point_Wiring2"/>
      <sheetName val="3RX2_5SQMM_WIRE2"/>
      <sheetName val="3CX2_5SQMM_WIRES2"/>
      <sheetName val="3CX4_00SQMM2"/>
      <sheetName val="Rate_analysis2"/>
      <sheetName val="PPA_Summary2"/>
      <sheetName val="beam-reinft-IIInd_floor2"/>
      <sheetName val="India_F&amp;S_Template2"/>
      <sheetName val="Materials_Cost(PCC)2"/>
      <sheetName val="MASTER_RATE_ANALYSIS1"/>
      <sheetName val="PRECAST_lightconc-II1"/>
      <sheetName val="Synergy_Sales_Budget1"/>
      <sheetName val="Break_up_Sheet1"/>
      <sheetName val="Paym__Recom1"/>
      <sheetName val="DC_-_DB_&amp;_MCB1"/>
      <sheetName val="inst__-_Pt_Wr_(cl-2)1"/>
      <sheetName val="Su__-_Pt_Wr1"/>
      <sheetName val="Su__Pwr_Wr1"/>
      <sheetName val="Inst__Pwr_Wr_(cl-2)1"/>
      <sheetName val="Su__-_Cor1"/>
      <sheetName val="Ins_-_Cor_1"/>
      <sheetName val="Earth_strip&amp;_fittings1"/>
      <sheetName val="DC__S_&amp;_So1"/>
      <sheetName val="Install_LIFT_SHAFT_1"/>
      <sheetName val="Su_solar_pt1"/>
      <sheetName val="SU_LIFT_SHAFT1"/>
      <sheetName val="DC_-Conduit1"/>
      <sheetName val="DC_wiring1"/>
      <sheetName val="[97_207COSRP11.xls]_97_207COS_2"/>
      <sheetName val="[97_207COSRP11.xls]_97_207COS_3"/>
      <sheetName val="입찰내역 발주처 양식"/>
      <sheetName val="Headings"/>
      <sheetName val="Basement Budget"/>
      <sheetName val="SC Cost FEB 03"/>
      <sheetName val="Key Ratios"/>
      <sheetName val="총괄표"/>
      <sheetName val="[97_207COSRP11.xls][97_207COSRP"/>
      <sheetName val="A"/>
      <sheetName val="CONC. &amp; STEEL - PILES"/>
      <sheetName val="Mat.Cost"/>
      <sheetName val="[97_207COSRP11.xls]_97_207CO_12"/>
      <sheetName val="[97_207COSRP11.xls]B__________8"/>
      <sheetName val="[97_207COSRP11.xls]B__________9"/>
      <sheetName val="[97_207COSRP11.xls]_97_207CO_13"/>
      <sheetName val="[97_207COSRP11.xls]_97_207CO_14"/>
      <sheetName val="[97_207COSRP11.xls]_97_207COS_8"/>
      <sheetName val="[97_207COSRP11.xls]B__________6"/>
      <sheetName val="[97_207COSRP11.xls]B__________7"/>
      <sheetName val="[97_207COSRP11.xls]_97_207COS_9"/>
      <sheetName val="[97_207COSRP11.xls]_97_207CO_10"/>
      <sheetName val="[97_207COSRP11.xls]_97_207COS_5"/>
      <sheetName val="[97_207COSRP11.xls]B__________4"/>
      <sheetName val="[97_207COSRP11.xls]B__________5"/>
      <sheetName val="[97_207COSRP11.xls]_97_207COS_6"/>
      <sheetName val="[97_207COSRP11.xls]_97_207COS_7"/>
      <sheetName val="[97_207COSRP11.xls]B__________2"/>
      <sheetName val="[97_207COSRP11.xls]B__________3"/>
      <sheetName val="[97_207COSRP11.xls]_97_207COS_4"/>
      <sheetName val="[97_207COSRP11.xls]_97_207CO_11"/>
      <sheetName val="Sub Contractors list"/>
      <sheetName val="Strwise Qty"/>
      <sheetName val="NMR"/>
      <sheetName val="NMR (2)"/>
      <sheetName val="Taxes"/>
      <sheetName val="Bed Class"/>
      <sheetName val="Cd"/>
      <sheetName val="TRIAL BALANCE"/>
      <sheetName val="FINOLEX"/>
      <sheetName val="_97_207COSRP11.xls__97_207COSRP"/>
      <sheetName val="_97_207COSRP11.xls_B@_"/>
      <sheetName val="_97_207COSRP11.xls_B@___x0004_@_____$"/>
      <sheetName val="B@_?_x0004_@?_x0000"/>
      <sheetName val="Anx-M"/>
      <sheetName val="Steel-Circular"/>
      <sheetName val="BQMPALOC"/>
      <sheetName val="Bank Guarantee"/>
      <sheetName val="BFS"/>
      <sheetName val="Internal"/>
      <sheetName val="Insurance &amp; Taxes(B1-2)"/>
      <sheetName val="Structural BOQ"/>
      <sheetName val="Masonry &amp; Plaster"/>
      <sheetName val="Finishes"/>
      <sheetName val="Demand"/>
      <sheetName val="Occ"/>
      <sheetName val="PriceSummary"/>
      <sheetName val="DETAILED  BOQ"/>
      <sheetName val="02"/>
      <sheetName val="03"/>
      <sheetName val="04"/>
      <sheetName val="01"/>
      <sheetName val="Do not delete"/>
      <sheetName val="PROV_SUMS4"/>
      <sheetName val="PROV_QUANTITIES4"/>
      <sheetName val="RES_STEEL_TO4"/>
      <sheetName val="Data_sheet3"/>
      <sheetName val="Per_Unit3"/>
      <sheetName val="Fin_Sum4"/>
      <sheetName val="SPT_vs_PHI3"/>
      <sheetName val="Switch_&amp;_Sockets3"/>
      <sheetName val="25mm_PVC_Conduit3"/>
      <sheetName val="FLOOR_JB3"/>
      <sheetName val="Light_Fittings3"/>
      <sheetName val="CABLE_TRAY3"/>
      <sheetName val="32MM_PVC_CONDUIT3"/>
      <sheetName val="Point_Wiring3"/>
      <sheetName val="3RX2_5SQMM_WIRE3"/>
      <sheetName val="3CX2_5SQMM_WIRES3"/>
      <sheetName val="3CX4_00SQMM3"/>
      <sheetName val="PPA_Summary3"/>
      <sheetName val="beam-reinft-IIInd_floor3"/>
      <sheetName val="India_F&amp;S_Template3"/>
      <sheetName val="Materials_Cost(PCC)3"/>
      <sheetName val="PRECAST_lightconc-II2"/>
      <sheetName val="Synergy_Sales_Budget2"/>
      <sheetName val="Break_up_Sheet2"/>
      <sheetName val="MASTER_RATE_ANALYSIS2"/>
      <sheetName val="beam-reinft-machine_rm1"/>
      <sheetName val="PA-_Consutant_1"/>
      <sheetName val="WORK_TABLE"/>
      <sheetName val="ABP_inputs"/>
      <sheetName val="Debits_as_on_12_04_08"/>
      <sheetName val="Paym__Recom2"/>
      <sheetName val="DC_-_DB_&amp;_MCB2"/>
      <sheetName val="inst__-_Pt_Wr_(cl-2)2"/>
      <sheetName val="Su__-_Pt_Wr2"/>
      <sheetName val="Su__Pwr_Wr2"/>
      <sheetName val="Inst__Pwr_Wr_(cl-2)2"/>
      <sheetName val="Su__-_Cor2"/>
      <sheetName val="Ins_-_Cor_2"/>
      <sheetName val="Earth_strip&amp;_fittings2"/>
      <sheetName val="DC__S_&amp;_So2"/>
      <sheetName val="Install_LIFT_SHAFT_2"/>
      <sheetName val="Su_solar_pt2"/>
      <sheetName val="SU_LIFT_SHAFT2"/>
      <sheetName val="DC_-Conduit2"/>
      <sheetName val="DC_wiring2"/>
      <sheetName val="E_&amp;_R1"/>
      <sheetName val="Appendix_-3-_Rcov__Mat_supplie"/>
      <sheetName val="foot-slab_reinft"/>
      <sheetName val="List_of_contractors"/>
      <sheetName val="glass_project_concrete3"/>
      <sheetName val="glass_project_reift3"/>
      <sheetName val="glass_project_indices3"/>
      <sheetName val="SBC-BH_192"/>
      <sheetName val="Summary_05061"/>
      <sheetName val="Summary_0607-_31_MAR1"/>
      <sheetName val="Civil_Boq1"/>
      <sheetName val="Pile_cap1"/>
      <sheetName val="BH_12-11-10-132"/>
      <sheetName val="BH_12-11-10-92"/>
      <sheetName val="BH_36-15-372"/>
      <sheetName val="BH_16-35-25-172"/>
      <sheetName val="BH_35-25-172"/>
      <sheetName val="Sheet1_(2)2"/>
      <sheetName val="d-safe_DELUXE1"/>
      <sheetName val="V_O_4_-_PCC_Qty1"/>
      <sheetName val="TBAL9697_-group_wise__sdpl1"/>
      <sheetName val="Abstract_Sheet1"/>
      <sheetName val="Mix_Design1"/>
      <sheetName val="RCC,Ret__Wall1"/>
      <sheetName val="Form_61"/>
      <sheetName val="PointNo_51"/>
      <sheetName val="Legal_Risk_Analysis1"/>
      <sheetName val="Load_Details-220kV"/>
      <sheetName val="Fill_this_out_first___"/>
      <sheetName val="REVISED4A_PROG_PERF-SITE_1"/>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OQ_Direct_selling_cost"/>
      <sheetName val="BOQ_(2)"/>
      <sheetName val="CABLE_DATA"/>
      <sheetName val="Staff_Acco_"/>
      <sheetName val="Pipe_Supports"/>
      <sheetName val="final_abstract"/>
      <sheetName val="INPUT_SHEET"/>
      <sheetName val="Rev_S1_Abstract"/>
      <sheetName val="Quantity_Abstract"/>
      <sheetName val="M-Book_for_Conc"/>
      <sheetName val="M-Book_for_FW"/>
      <sheetName val="B@__@_____$__"/>
      <sheetName val="Project_Budget_Worksheet"/>
      <sheetName val="BOQ_-II_ph_2"/>
      <sheetName val="d-safe_specs"/>
      <sheetName val="class_&amp;_category"/>
      <sheetName val="SSR_&amp;_NSSR_Market_final"/>
      <sheetName val="Fee_Rate_Summary"/>
      <sheetName val="STAFFSCHED_"/>
      <sheetName val="220_11__BS_"/>
      <sheetName val="Metso_-_Forth_&amp;_Slurry_11_02_10"/>
      <sheetName val="precast_RC_element"/>
      <sheetName val="Change_Order_Log"/>
      <sheetName val="Material_List_"/>
      <sheetName val="CONC__&amp;_STEEL_-_PILES"/>
      <sheetName val="GR_slab-reinft"/>
      <sheetName val="Bed_Class"/>
      <sheetName val="ACAD_Finishes"/>
      <sheetName val="Site_Details"/>
      <sheetName val="Site_Area_Statement"/>
      <sheetName val="입찰내역_발주처_양식"/>
      <sheetName val="Basement_Budget"/>
      <sheetName val="Mat_Cost"/>
      <sheetName val="TRIAL_BALANCE"/>
      <sheetName val="[97_207COSRP11_xls][97_207COSRP"/>
      <sheetName val="3. Bulk Check"/>
      <sheetName val="2. Trade Sum"/>
      <sheetName val="B@___x005f_x0004_@_____$__"/>
      <sheetName val="B@__x005f_x005f_x005f_x0000__x005f_x005f_x005f_x0004_@_"/>
      <sheetName val=" "/>
      <sheetName val="INFLUENCES ON GM"/>
      <sheetName val="starter"/>
      <sheetName val="Boq (Main Building)"/>
      <sheetName val="12"/>
      <sheetName val="15"/>
      <sheetName val="vb 9&amp;10"/>
      <sheetName val="CGOI"/>
      <sheetName val="Schedules PL"/>
      <sheetName val="Schedules BS"/>
      <sheetName val="BS"/>
      <sheetName val="B@__x005f_x0000__x005f_x0004_@_"/>
      <sheetName val="Ins &amp; Bonds"/>
      <sheetName val="Ratio"/>
      <sheetName val="S &amp; A"/>
      <sheetName val="Old"/>
      <sheetName val="Introduction"/>
      <sheetName val="Operating Statistics"/>
      <sheetName val="Financials"/>
      <sheetName val="Cntmrs"/>
      <sheetName val="B@___x0004_@___$_"/>
      <sheetName val="_97_207COSRP11.xls_B@___x0004_@___$_"/>
      <sheetName val="KP1590_E"/>
      <sheetName val="Internet"/>
      <sheetName val="BOQ LT"/>
      <sheetName val="LABOUR SALARY "/>
      <sheetName val="B@["/>
      <sheetName val="[97_207COSRP11.xls]B@["/>
      <sheetName val="PRICE-COMP"/>
      <sheetName val="B@__x005f"/>
      <sheetName val="P-Ins &amp; Bonds"/>
      <sheetName val="P-Site fac"/>
      <sheetName val="P-Clients fac"/>
      <sheetName val="Intro"/>
      <sheetName val="당초"/>
      <sheetName val="INDIGINEOUS ITEMS "/>
      <sheetName val="MOTO"/>
      <sheetName val="Basic Rate"/>
      <sheetName val="[97_207COSRP11.xls]B_________14"/>
      <sheetName val="[97_207COSRP11.xls]B_________15"/>
      <sheetName val="[97_207COSRP11.xls]_97_207CO_43"/>
      <sheetName val="[97_207COSRP11.xls]_97_207CO_36"/>
      <sheetName val="[97_207COSRP11.xls]_97_207CO_37"/>
      <sheetName val="[97_207COSRP11.xls]_97_207CO_38"/>
      <sheetName val="[97_207COSRP11.xls]_97_207CO_44"/>
      <sheetName val="[97_207COSRP11.xls]B_________16"/>
      <sheetName val="[97_207COSRP11.xls]_97_207CO_39"/>
      <sheetName val="[97_207COSRP11.xls]_97_207CO_40"/>
      <sheetName val="[97_207COSRP11.xls]_97_207CO_41"/>
      <sheetName val="[97_207COSRP11.xls]_97_207CO_45"/>
      <sheetName val="[97_207COSRP11.xls]_97_207CO_42"/>
      <sheetName val="[97_207COSRP11.xls]B_________11"/>
      <sheetName val="[97_207COSRP11.xls]B_________12"/>
      <sheetName val="[97_207COSRP11.xls]_97_207CO_26"/>
      <sheetName val="[97_207COSRP11.xls]_97_207CO_27"/>
      <sheetName val="[97_207COSRP11.xls]_97_207CO_28"/>
      <sheetName val="[97_207COSRP11.xls]B_________13"/>
      <sheetName val="[97_207COSRP11.xls]_97_207CO_29"/>
      <sheetName val="[97_207COSRP11.xls]_97_207CO_30"/>
      <sheetName val="[97_207COSRP11.xls]_97_207CO_31"/>
      <sheetName val="[97_207COSRP11.xls]_97_207CO_32"/>
      <sheetName val="[97_207COSRP11.xls]_97_207CO_16"/>
      <sheetName val="[97_207COSRP11.xls]_97_207CO_17"/>
      <sheetName val="[97_207COSRP11.xls]_97_207CO_18"/>
      <sheetName val="[97_207COSRP11.xls]_97_207CO_15"/>
      <sheetName val="[97_207COSRP11.xls]_97_207CO_23"/>
      <sheetName val="[97_207COSRP11.xls]_97_207CO_19"/>
      <sheetName val="[97_207COSRP11.xls]_97_207CO_20"/>
      <sheetName val="[97_207COSRP11.xls]_97_207CO_24"/>
      <sheetName val="[97_207COSRP11.xls]B_________10"/>
      <sheetName val="[97_207COSRP11.xls]_97_207CO_21"/>
      <sheetName val="[97_207COSRP11.xls]_97_207CO_22"/>
      <sheetName val="[97_207COSRP11.xls]_97_207CO_25"/>
      <sheetName val="[97_207COSRP11.xls]_97_207CO_33"/>
      <sheetName val="[97_207COSRP11.xls]_97_207CO_34"/>
      <sheetName val="[97_207COSRP11.xls]_97_207CO_35"/>
      <sheetName val="[97_207COSRP11.xls]_97_207CO_49"/>
      <sheetName val="[97_207COSRP11.xls]_97_207CO_50"/>
      <sheetName val="[97_207COSRP11.xls]_97_207CO_51"/>
      <sheetName val="[97_207COSRP11.xls]_97_207CO_46"/>
      <sheetName val="[97_207COSRP11.xls]_97_207CO_47"/>
      <sheetName val="[97_207COSRP11.xls]_97_207CO_48"/>
      <sheetName val="[97_207COSRP11.xls]B_________17"/>
      <sheetName val="[97_207COSRP11.xls]B_________18"/>
      <sheetName val="[97_207COSRP11.xls]_97_207CO_53"/>
      <sheetName val="[97_207COSRP11.xls]_97_207CO_54"/>
      <sheetName val="[97_207COSRP11.xls]B_________19"/>
      <sheetName val="[97_207COSRP11.xls]_97_207CO_55"/>
      <sheetName val="[97_207COSRP11.xls]_97_207CO_52"/>
      <sheetName val="[97_207COSRP11.xls]B_________20"/>
      <sheetName val="[97_207COSRP11.xls]B_________21"/>
      <sheetName val="[97_207COSRP11.xls]_97_207CO_63"/>
      <sheetName val="[97_207COSRP11.xls]_97_207CO_56"/>
      <sheetName val="[97_207COSRP11.xls]_97_207CO_57"/>
      <sheetName val="[97_207COSRP11.xls]_97_207CO_58"/>
      <sheetName val="[97_207COSRP11.xls]_97_207CO_64"/>
      <sheetName val="[97_207COSRP11.xls]B_________22"/>
      <sheetName val="[97_207COSRP11.xls]_97_207CO_59"/>
      <sheetName val="[97_207COSRP11.xls]_97_207CO_60"/>
      <sheetName val="[97_207COSRP11.xls]_97_207CO_61"/>
      <sheetName val="[97_207COSRP11.xls]_97_207CO_65"/>
      <sheetName val="[97_207COSRP11.xls]_97_207CO_62"/>
      <sheetName val="[97_207COSRP11.xls]B_________23"/>
      <sheetName val="[97_207COSRP11.xls]B_________24"/>
      <sheetName val="[97_207COSRP11.xls]_97_207CO_73"/>
      <sheetName val="[97_207COSRP11.xls]_97_207CO_66"/>
      <sheetName val="[97_207COSRP11.xls]_97_207CO_67"/>
      <sheetName val="[97_207COSRP11.xls]_97_207CO_68"/>
      <sheetName val="[97_207COSRP11.xls]_97_207CO_69"/>
      <sheetName val="[97_207COSRP11.xls]_97_207CO_74"/>
      <sheetName val="[97_207COSRP11.xls]B_________25"/>
      <sheetName val="[97_207COSRP11.xls]_97_207CO_70"/>
      <sheetName val="[97_207COSRP11.xls]_97_207CO_71"/>
      <sheetName val="[97_207COSRP11.xls]_97_207CO_75"/>
      <sheetName val="[97_207COSRP11.xls]_97_207CO_72"/>
      <sheetName val="[97_207COSRP11.xls]B_________26"/>
      <sheetName val="[97_207COSRP11.xls]B_________27"/>
      <sheetName val="[97_207COSRP11.xls]_97_207CO_76"/>
      <sheetName val="[97_207COSRP11.xls]_97_207CO_77"/>
      <sheetName val="[97_207COSRP11.xls]_97_207CO_78"/>
      <sheetName val="[97_207COSRP11.xls]_97_207CO_79"/>
      <sheetName val="[97_207COSRP11.xls]B_________28"/>
      <sheetName val="[97_207COSRP11.xls]_97_207CO_80"/>
      <sheetName val="[97_207COSRP11.xls]_97_207CO_81"/>
      <sheetName val="[97_207COSRP11.xls]_97_207CO_82"/>
      <sheetName val="[97_207COSRP11.xls]_97_207CO_86"/>
      <sheetName val="[97_207COSRP11.xls]_97_207CO_87"/>
      <sheetName val="[97_207COSRP11.xls]_97_207CO_88"/>
      <sheetName val="[97_207COSRP11.xls]_97_207CO_83"/>
      <sheetName val="[97_207COSRP11.xls]_97_207CO_84"/>
      <sheetName val="[97_207COSRP11.xls]_97_207CO_85"/>
      <sheetName val="[97_207COSRP11.xls]B_________29"/>
      <sheetName val="[97_207COSRP11.xls]B_________30"/>
      <sheetName val="[97_207COSRP11.xls]_97_207CO_96"/>
      <sheetName val="[97_207COSRP11.xls]_97_207CO_89"/>
      <sheetName val="[97_207COSRP11.xls]_97_207CO_90"/>
      <sheetName val="[97_207COSRP11.xls]_97_207CO_91"/>
      <sheetName val="[97_207COSRP11.xls]_97_207CO_92"/>
      <sheetName val="[97_207COSRP11.xls]_97_207CO_97"/>
      <sheetName val="[97_207COSRP11.xls]B_________31"/>
      <sheetName val="[97_207COSRP11.xls]_97_207CO_93"/>
      <sheetName val="[97_207COSRP11.xls]_97_207CO_94"/>
      <sheetName val="[97_207COSRP11.xls]_97_207CO_98"/>
      <sheetName val="[97_207COSRP11.xls]_97_207CO_95"/>
      <sheetName val="[97_207COSRP11.xls]_97_207CO_99"/>
      <sheetName val="[97_207COSRP11.xls]_97_207C_100"/>
      <sheetName val="[97_207COSRP11.xls]_97_207C_101"/>
      <sheetName val="[97_207COSRP11.xls]_97_207C_137"/>
      <sheetName val="[97_207COSRP11.xls]_97_207C_138"/>
      <sheetName val="[97_207COSRP11.xls]_97_207C_139"/>
      <sheetName val="[97_207COSRP11.xls]B_________50"/>
      <sheetName val="[97_207COSRP11.xls]B_________51"/>
      <sheetName val="[97_207COSRP11.xls]_97_207C_144"/>
      <sheetName val="[97_207COSRP11.xls]_97_207C_140"/>
      <sheetName val="[97_207COSRP11.xls]_97_207C_141"/>
      <sheetName val="[97_207COSRP11.xls]_97_207C_145"/>
      <sheetName val="[97_207COSRP11.xls]B_________52"/>
      <sheetName val="[97_207COSRP11.xls]_97_207C_142"/>
      <sheetName val="[97_207COSRP11.xls]_97_207C_143"/>
      <sheetName val="[97_207COSRP11.xls]_97_207C_146"/>
      <sheetName val="[97_207COSRP11.xls]_97_207C_103"/>
      <sheetName val="[97_207COSRP11.xls]_97_207C_104"/>
      <sheetName val="[97_207COSRP11.xls]_97_207C_105"/>
      <sheetName val="[97_207COSRP11.xls]B_________35"/>
      <sheetName val="[97_207COSRP11.xls]B_________36"/>
      <sheetName val="[97_207COSRP11.xls]B_________37"/>
      <sheetName val="[97_207COSRP11.xls]_97_207C_102"/>
      <sheetName val="[97_207COSRP11.xls]B_________32"/>
      <sheetName val="[97_207COSRP11.xls]B_________33"/>
      <sheetName val="[97_207COSRP11.xls]B_________34"/>
      <sheetName val="[97_207COSRP11.xls]_97_207C_106"/>
      <sheetName val="[97_207COSRP11.xls]_97_207C_107"/>
      <sheetName val="[97_207COSRP11.xls]B_________38"/>
      <sheetName val="[97_207COSRP11.xls]B_________39"/>
      <sheetName val="[97_207COSRP11.xls]_97_207C_108"/>
      <sheetName val="[97_207COSRP11.xls]_97_207C_109"/>
      <sheetName val="[97_207COSRP11.xls]B_________40"/>
      <sheetName val="[97_207COSRP11.xls]_97_207C_110"/>
      <sheetName val="[97_207COSRP11.xls]_97_207C_111"/>
      <sheetName val="[97_207COSRP11.xls]_97_207C_112"/>
      <sheetName val="[97_207COSRP11.xls]_97_207C_113"/>
      <sheetName val="[97_207COSRP11.xls]_97_207C_114"/>
      <sheetName val="[97_207COSRP11.xls]_97_207C_115"/>
      <sheetName val="[97_207COSRP11.xls]B_________41"/>
      <sheetName val="[97_207COSRP11.xls]B_________42"/>
      <sheetName val="[97_207COSRP11.xls]_97_207C_127"/>
      <sheetName val="[97_207COSRP11.xls]_97_207C_116"/>
      <sheetName val="[97_207COSRP11.xls]_97_207C_117"/>
      <sheetName val="[97_207COSRP11.xls]_97_207C_128"/>
      <sheetName val="[97_207COSRP11.xls]B_________43"/>
      <sheetName val="[97_207COSRP11.xls]_97_207C_118"/>
      <sheetName val="[97_207COSRP11.xls]_97_207C_119"/>
      <sheetName val="[97_207COSRP11.xls]_97_207C_129"/>
      <sheetName val="[97_207COSRP11.xls]B_________47"/>
      <sheetName val="[97_207COSRP11.xls]B_________48"/>
      <sheetName val="[97_207COSRP11.xls]_97_207C_134"/>
      <sheetName val="[97_207COSRP11.xls]_97_207C_130"/>
      <sheetName val="[97_207COSRP11.xls]_97_207C_131"/>
      <sheetName val="[97_207COSRP11.xls]_97_207C_135"/>
      <sheetName val="[97_207COSRP11.xls]B_________49"/>
      <sheetName val="[97_207COSRP11.xls]_97_207C_132"/>
      <sheetName val="[97_207COSRP11.xls]_97_207C_133"/>
      <sheetName val="[97_207COSRP11.xls]_97_207C_136"/>
      <sheetName val="[97_207COSRP11.xls]_97_207C_120"/>
      <sheetName val="[97_207COSRP11.xls]_97_207C_121"/>
      <sheetName val="[97_207COSRP11.xls]_97_207C_122"/>
      <sheetName val="[97_207COSRP11.xls]B_________44"/>
      <sheetName val="[97_207COSRP11.xls]B_________45"/>
      <sheetName val="[97_207COSRP11.xls]_97_207C_123"/>
      <sheetName val="[97_207COSRP11.xls]_97_207C_124"/>
      <sheetName val="[97_207COSRP11.xls]B_________46"/>
      <sheetName val="[97_207COSRP11.xls]_97_207C_125"/>
      <sheetName val="[97_207COSRP11.xls]_97_207C_126"/>
      <sheetName val="[97_207COSRP11.xls]B_________53"/>
      <sheetName val="[97_207COSRP11.xls]B_________54"/>
      <sheetName val="[97_207COSRP11.xls]_97_207C_157"/>
      <sheetName val="[97_207COSRP11.xls]_97_207C_147"/>
      <sheetName val="[97_207COSRP11.xls]_97_207C_148"/>
      <sheetName val="[97_207COSRP11.xls]_97_207C_149"/>
      <sheetName val="[97_207COSRP11.xls]_97_207C_150"/>
      <sheetName val="[97_207COSRP11.xls]_97_207C_158"/>
      <sheetName val="[97_207COSRP11.xls]B_________55"/>
      <sheetName val="[97_207COSRP11.xls]_97_207C_151"/>
      <sheetName val="[97_207COSRP11.xls]_97_207C_152"/>
      <sheetName val="[97_207COSRP11.xls]_97_207C_159"/>
      <sheetName val="[97_207COSRP11.xls]_97_207C_153"/>
      <sheetName val="[97_207COSRP11.xls]_97_207C_154"/>
      <sheetName val="[97_207COSRP11.xls]_97_207C_155"/>
      <sheetName val="[97_207COSRP11.xls]_97_207C_156"/>
      <sheetName val="[97_207COSRP11.xls]_97_207C_416"/>
      <sheetName val="[97_207COSRP11.xls]_97_207C_417"/>
      <sheetName val="[97_207COSRP11.xls]_97_207C_418"/>
      <sheetName val="[97_207COSRP11.xls]B________151"/>
      <sheetName val="[97_207COSRP11.xls]B________152"/>
      <sheetName val="[97_207COSRP11.xls]_97_207C_423"/>
      <sheetName val="[97_207COSRP11.xls]_97_207C_419"/>
      <sheetName val="[97_207COSRP11.xls]_97_207C_420"/>
      <sheetName val="[97_207COSRP11.xls]_97_207C_424"/>
      <sheetName val="[97_207COSRP11.xls]B________153"/>
      <sheetName val="[97_207COSRP11.xls]_97_207C_421"/>
      <sheetName val="[97_207COSRP11.xls]_97_207C_422"/>
      <sheetName val="[97_207COSRP11.xls]_97_207C_425"/>
      <sheetName val="jobhist"/>
      <sheetName val="PACK (B)"/>
      <sheetName val="Code"/>
      <sheetName val="VARIABLE"/>
      <sheetName val="[97_207COSRP11.xls]_97_207C_264"/>
      <sheetName val="[97_207COSRP11.xls]_97_207C_265"/>
      <sheetName val="[97_207COSRP11.xls]B________100"/>
      <sheetName val="[97_207COSRP11.xls]B________101"/>
      <sheetName val="[97_207COSRP11.xls]_97_207C_271"/>
      <sheetName val="[97_207COSRP11.xls]_97_207C_266"/>
      <sheetName val="[97_207COSRP11.xls]_97_207C_267"/>
      <sheetName val="[97_207COSRP11.xls]_97_207C_272"/>
      <sheetName val="[97_207COSRP11.xls]B________102"/>
      <sheetName val="[97_207COSRP11.xls]_97_207C_268"/>
      <sheetName val="[97_207COSRP11.xls]_97_207C_269"/>
      <sheetName val="[97_207COSRP11.xls]_97_207C_273"/>
      <sheetName val="[97_207COSRP11.xls]_97_207C_270"/>
      <sheetName val="[97_207COSRP11.xls]_97_207C_240"/>
      <sheetName val="[97_207COSRP11.xls]_97_207C_241"/>
      <sheetName val="[97_207COSRP11.xls]B_________91"/>
      <sheetName val="[97_207COSRP11.xls]B_________92"/>
      <sheetName val="[97_207COSRP11.xls]_97_207C_247"/>
      <sheetName val="[97_207COSRP11.xls]_97_207C_242"/>
      <sheetName val="[97_207COSRP11.xls]_97_207C_243"/>
      <sheetName val="[97_207COSRP11.xls]_97_207C_248"/>
      <sheetName val="[97_207COSRP11.xls]B_________93"/>
      <sheetName val="[97_207COSRP11.xls]_97_207C_244"/>
      <sheetName val="[97_207COSRP11.xls]_97_207C_245"/>
      <sheetName val="[97_207COSRP11.xls]_97_207C_249"/>
      <sheetName val="[97_207COSRP11.xls]_97_207C_246"/>
      <sheetName val="[97_207COSRP11.xls]B_________56"/>
      <sheetName val="[97_207COSRP11.xls]B_________57"/>
      <sheetName val="[97_207COSRP11.xls]B_________61"/>
      <sheetName val="[97_207COSRP11.xls]B_________62"/>
      <sheetName val="[97_207COSRP11.xls]B_________63"/>
      <sheetName val="[97_207COSRP11.xls]_97_207C_160"/>
      <sheetName val="[97_207COSRP11.xls]_97_207C_161"/>
      <sheetName val="[97_207COSRP11.xls]B_________58"/>
      <sheetName val="[97_207COSRP11.xls]B_________59"/>
      <sheetName val="[97_207COSRP11.xls]B_________60"/>
      <sheetName val="[97_207COSRP11.xls]_97_207C_165"/>
      <sheetName val="[97_207COSRP11.xls]_97_207C_166"/>
      <sheetName val="[97_207COSRP11.xls]_97_207C_167"/>
      <sheetName val="[97_207COSRP11.xls]B_________64"/>
      <sheetName val="[97_207COSRP11.xls]B_________65"/>
      <sheetName val="[97_207COSRP11.xls]_97_207C_172"/>
      <sheetName val="[97_207COSRP11.xls]_97_207C_168"/>
      <sheetName val="[97_207COSRP11.xls]_97_207C_169"/>
      <sheetName val="[97_207COSRP11.xls]_97_207C_173"/>
      <sheetName val="[97_207COSRP11.xls]B_________66"/>
      <sheetName val="[97_207COSRP11.xls]_97_207C_170"/>
      <sheetName val="[97_207COSRP11.xls]_97_207C_171"/>
      <sheetName val="[97_207COSRP11.xls]_97_207C_174"/>
      <sheetName val="[97_207COSRP11.xls]_97_207C_162"/>
      <sheetName val="[97_207COSRP11.xls]_97_207C_163"/>
      <sheetName val="[97_207COSRP11.xls]_97_207C_164"/>
      <sheetName val="[97_207COSRP11.xls]_97_207C_175"/>
      <sheetName val="[97_207COSRP11.xls]_97_207C_176"/>
      <sheetName val="[97_207COSRP11.xls]B_________67"/>
      <sheetName val="[97_207COSRP11.xls]B_________68"/>
      <sheetName val="[97_207COSRP11.xls]_97_207C_189"/>
      <sheetName val="[97_207COSRP11.xls]_97_207C_177"/>
      <sheetName val="[97_207COSRP11.xls]_97_207C_178"/>
      <sheetName val="[97_207COSRP11.xls]_97_207C_190"/>
      <sheetName val="[97_207COSRP11.xls]B_________69"/>
      <sheetName val="[97_207COSRP11.xls]_97_207C_179"/>
      <sheetName val="[97_207COSRP11.xls]_97_207C_180"/>
      <sheetName val="[97_207COSRP11.xls]_97_207C_191"/>
      <sheetName val="[97_207COSRP11.xls]_97_207C_181"/>
      <sheetName val="[97_207COSRP11.xls]B_________73"/>
      <sheetName val="[97_207COSRP11.xls]B_________74"/>
      <sheetName val="[97_207COSRP11.xls]_97_207C_192"/>
      <sheetName val="[97_207COSRP11.xls]_97_207C_193"/>
      <sheetName val="[97_207COSRP11.xls]B_________75"/>
      <sheetName val="[97_207COSRP11.xls]_97_207C_194"/>
      <sheetName val="[97_207COSRP11.xls]_97_207C_195"/>
      <sheetName val="[97_207COSRP11.xls]_97_207C_182"/>
      <sheetName val="[97_207COSRP11.xls]_97_207C_183"/>
      <sheetName val="[97_207COSRP11.xls]_97_207C_184"/>
      <sheetName val="[97_207COSRP11.xls]B_________70"/>
      <sheetName val="[97_207COSRP11.xls]B_________71"/>
      <sheetName val="[97_207COSRP11.xls]_97_207C_185"/>
      <sheetName val="[97_207COSRP11.xls]_97_207C_186"/>
      <sheetName val="[97_207COSRP11.xls]B_________72"/>
      <sheetName val="[97_207COSRP11.xls]_97_207C_187"/>
      <sheetName val="[97_207COSRP11.xls]_97_207C_188"/>
      <sheetName val="[97_207COSRP11.xls]_97_207C_196"/>
      <sheetName val="[97_207COSRP11.xls]_97_207C_197"/>
      <sheetName val="[97_207COSRP11.xls]_97_207C_198"/>
      <sheetName val="[97_207COSRP11.xls]_97_207C_199"/>
      <sheetName val="[97_207COSRP11.xls]_97_207C_200"/>
      <sheetName val="[97_207COSRP11.xls]B_________76"/>
      <sheetName val="[97_207COSRP11.xls]B_________77"/>
      <sheetName val="[97_207COSRP11.xls]_97_207C_201"/>
      <sheetName val="[97_207COSRP11.xls]_97_207C_202"/>
      <sheetName val="[97_207COSRP11.xls]B_________78"/>
      <sheetName val="[97_207COSRP11.xls]_97_207C_203"/>
      <sheetName val="[97_207COSRP11.xls]_97_207C_204"/>
      <sheetName val="[97_207COSRP11.xls]_97_207C_205"/>
      <sheetName val="[97_207COSRP11.xls]_97_207C_206"/>
      <sheetName val="[97_207COSRP11.xls]_97_207C_207"/>
      <sheetName val="[97_207COSRP11.xls]_97_207C_208"/>
      <sheetName val="[97_207COSRP11.xls]_97_207C_223"/>
      <sheetName val="[97_207COSRP11.xls]_97_207C_224"/>
      <sheetName val="[97_207COSRP11.xls]B_________85"/>
      <sheetName val="[97_207COSRP11.xls]B_________86"/>
      <sheetName val="[97_207COSRP11.xls]_97_207C_225"/>
      <sheetName val="[97_207COSRP11.xls]_97_207C_226"/>
      <sheetName val="[97_207COSRP11.xls]B_________87"/>
      <sheetName val="[97_207COSRP11.xls]_97_207C_227"/>
      <sheetName val="[97_207COSRP11.xls]_97_207C_228"/>
      <sheetName val="[97_207COSRP11.xls]_97_207C_229"/>
      <sheetName val="[97_207COSRP11.xls]_97_207C_209"/>
      <sheetName val="[97_207COSRP11.xls]_97_207C_210"/>
      <sheetName val="[97_207COSRP11.xls]B_________79"/>
      <sheetName val="[97_207COSRP11.xls]B_________80"/>
      <sheetName val="[97_207COSRP11.xls]_97_207C_216"/>
      <sheetName val="[97_207COSRP11.xls]_97_207C_211"/>
      <sheetName val="[97_207COSRP11.xls]_97_207C_212"/>
      <sheetName val="[97_207COSRP11.xls]_97_207C_217"/>
      <sheetName val="[97_207COSRP11.xls]B_________81"/>
      <sheetName val="[97_207COSRP11.xls]_97_207C_213"/>
      <sheetName val="[97_207COSRP11.xls]_97_207C_214"/>
      <sheetName val="[97_207COSRP11.xls]_97_207C_218"/>
      <sheetName val="[97_207COSRP11.xls]_97_207C_215"/>
      <sheetName val="[97_207COSRP11.xls]B_________82"/>
      <sheetName val="[97_207COSRP11.xls]B_________83"/>
      <sheetName val="[97_207COSRP11.xls]_97_207C_219"/>
      <sheetName val="[97_207COSRP11.xls]_97_207C_220"/>
      <sheetName val="[97_207COSRP11.xls]B_________84"/>
      <sheetName val="[97_207COSRP11.xls]_97_207C_221"/>
      <sheetName val="[97_207COSRP11.xls]_97_207C_222"/>
      <sheetName val="[97_207COSRP11.xls]_97_207C_230"/>
      <sheetName val="[97_207COSRP11.xls]_97_207C_231"/>
      <sheetName val="[97_207COSRP11.xls]B_________88"/>
      <sheetName val="[97_207COSRP11.xls]B_________89"/>
      <sheetName val="[97_207COSRP11.xls]_97_207C_237"/>
      <sheetName val="[97_207COSRP11.xls]_97_207C_232"/>
      <sheetName val="[97_207COSRP11.xls]_97_207C_233"/>
      <sheetName val="[97_207COSRP11.xls]_97_207C_238"/>
      <sheetName val="[97_207COSRP11.xls]B_________90"/>
      <sheetName val="[97_207COSRP11.xls]_97_207C_234"/>
      <sheetName val="[97_207COSRP11.xls]_97_207C_235"/>
      <sheetName val="[97_207COSRP11.xls]_97_207C_239"/>
      <sheetName val="[97_207COSRP11.xls]_97_207C_236"/>
      <sheetName val="[97_207COSRP11.xls]_97_207C_257"/>
      <sheetName val="[97_207COSRP11.xls]_97_207C_258"/>
      <sheetName val="[97_207COSRP11.xls]B_________97"/>
      <sheetName val="[97_207COSRP11.xls]B_________98"/>
      <sheetName val="[97_207COSRP11.xls]_97_207C_259"/>
      <sheetName val="[97_207COSRP11.xls]_97_207C_260"/>
      <sheetName val="[97_207COSRP11.xls]B_________99"/>
      <sheetName val="[97_207COSRP11.xls]_97_207C_261"/>
      <sheetName val="[97_207COSRP11.xls]_97_207C_262"/>
      <sheetName val="[97_207COSRP11.xls]_97_207C_263"/>
      <sheetName val="[97_207COSRP11.xls]_97_207C_250"/>
      <sheetName val="[97_207COSRP11.xls]_97_207C_251"/>
      <sheetName val="[97_207COSRP11.xls]B_________94"/>
      <sheetName val="[97_207COSRP11.xls]B_________95"/>
      <sheetName val="[97_207COSRP11.xls]_97_207C_252"/>
      <sheetName val="[97_207COSRP11.xls]_97_207C_253"/>
      <sheetName val="[97_207COSRP11.xls]B_________96"/>
      <sheetName val="[97_207COSRP11.xls]_97_207C_254"/>
      <sheetName val="[97_207COSRP11.xls]_97_207C_255"/>
      <sheetName val="[97_207COSRP11.xls]_97_207C_256"/>
      <sheetName val="[97_207COSRP11.xls]_97_207C_291"/>
      <sheetName val="[97_207COSRP11.xls]_97_207C_292"/>
      <sheetName val="[97_207COSRP11.xls]B________109"/>
      <sheetName val="[97_207COSRP11.xls]B________110"/>
      <sheetName val="[97_207COSRP11.xls]_97_207C_298"/>
      <sheetName val="[97_207COSRP11.xls]_97_207C_293"/>
      <sheetName val="[97_207COSRP11.xls]_97_207C_294"/>
      <sheetName val="[97_207COSRP11.xls]_97_207C_299"/>
      <sheetName val="[97_207COSRP11.xls]B________111"/>
      <sheetName val="[97_207COSRP11.xls]_97_207C_295"/>
      <sheetName val="[97_207COSRP11.xls]_97_207C_296"/>
      <sheetName val="[97_207COSRP11.xls]_97_207C_300"/>
      <sheetName val="[97_207COSRP11.xls]_97_207C_297"/>
      <sheetName val="[97_207COSRP11.xls]_97_207C_274"/>
      <sheetName val="[97_207COSRP11.xls]_97_207C_275"/>
      <sheetName val="[97_207COSRP11.xls]B________103"/>
      <sheetName val="[97_207COSRP11.xls]B________104"/>
      <sheetName val="[97_207COSRP11.xls]_97_207C_276"/>
      <sheetName val="[97_207COSRP11.xls]_97_207C_277"/>
      <sheetName val="[97_207COSRP11.xls]B________105"/>
      <sheetName val="[97_207COSRP11.xls]_97_207C_278"/>
      <sheetName val="[97_207COSRP11.xls]_97_207C_279"/>
      <sheetName val="[97_207COSRP11.xls]_97_207C_280"/>
      <sheetName val="[97_207COSRP11.xls]_97_207C_281"/>
      <sheetName val="[97_207COSRP11.xls]_97_207C_282"/>
      <sheetName val="[97_207COSRP11.xls]B________106"/>
      <sheetName val="[97_207COSRP11.xls]B________107"/>
      <sheetName val="[97_207COSRP11.xls]_97_207C_288"/>
      <sheetName val="[97_207COSRP11.xls]_97_207C_283"/>
      <sheetName val="[97_207COSRP11.xls]_97_207C_284"/>
      <sheetName val="[97_207COSRP11.xls]_97_207C_289"/>
      <sheetName val="[97_207COSRP11.xls]B________108"/>
      <sheetName val="[97_207COSRP11.xls]_97_207C_285"/>
      <sheetName val="[97_207COSRP11.xls]_97_207C_286"/>
      <sheetName val="[97_207COSRP11.xls]_97_207C_290"/>
      <sheetName val="[97_207COSRP11.xls]_97_207C_287"/>
      <sheetName val="[97_207COSRP11.xls]B________112"/>
      <sheetName val="[97_207COSRP11.xls]B________113"/>
      <sheetName val="[97_207COSRP11.xls]_97_207C_305"/>
      <sheetName val="[97_207COSRP11.xls]_97_207C_301"/>
      <sheetName val="[97_207COSRP11.xls]_97_207C_302"/>
      <sheetName val="[97_207COSRP11.xls]_97_207C_306"/>
      <sheetName val="[97_207COSRP11.xls]B________114"/>
      <sheetName val="[97_207COSRP11.xls]_97_207C_303"/>
      <sheetName val="[97_207COSRP11.xls]_97_207C_304"/>
      <sheetName val="[97_207COSRP11.xls]_97_207C_307"/>
      <sheetName val="[97_207COSRP11.xls]_97_207C_325"/>
      <sheetName val="[97_207COSRP11.xls]_97_207C_326"/>
      <sheetName val="[97_207COSRP11.xls]_97_207C_327"/>
      <sheetName val="[97_207COSRP11.xls]B________121"/>
      <sheetName val="[97_207COSRP11.xls]B________122"/>
      <sheetName val="[97_207COSRP11.xls]_97_207C_332"/>
      <sheetName val="[97_207COSRP11.xls]_97_207C_328"/>
      <sheetName val="[97_207COSRP11.xls]_97_207C_329"/>
      <sheetName val="[97_207COSRP11.xls]_97_207C_333"/>
      <sheetName val="[97_207COSRP11.xls]B________123"/>
      <sheetName val="[97_207COSRP11.xls]_97_207C_330"/>
      <sheetName val="[97_207COSRP11.xls]_97_207C_331"/>
      <sheetName val="[97_207COSRP11.xls]_97_207C_334"/>
      <sheetName val="[97_207COSRP11.xls]_97_207C_318"/>
      <sheetName val="[97_207COSRP11.xls]_97_207C_319"/>
      <sheetName val="[97_207COSRP11.xls]_97_207C_320"/>
      <sheetName val="[97_207COSRP11.xls]B________118"/>
      <sheetName val="[97_207COSRP11.xls]B________119"/>
      <sheetName val="[97_207COSRP11.xls]_97_207C_321"/>
      <sheetName val="[97_207COSRP11.xls]_97_207C_322"/>
      <sheetName val="[97_207COSRP11.xls]B________120"/>
      <sheetName val="[97_207COSRP11.xls]_97_207C_323"/>
      <sheetName val="[97_207COSRP11.xls]_97_207C_324"/>
      <sheetName val="[97_207COSRP11.xls]_97_207C_308"/>
      <sheetName val="[97_207COSRP11.xls]_97_207C_309"/>
      <sheetName val="[97_207COSRP11.xls]_97_207C_310"/>
      <sheetName val="[97_207COSRP11.xls]B________115"/>
      <sheetName val="[97_207COSRP11.xls]B________116"/>
      <sheetName val="[97_207COSRP11.xls]_97_207C_315"/>
      <sheetName val="[97_207COSRP11.xls]_97_207C_311"/>
      <sheetName val="[97_207COSRP11.xls]_97_207C_312"/>
      <sheetName val="[97_207COSRP11.xls]_97_207C_316"/>
      <sheetName val="[97_207COSRP11.xls]B________117"/>
      <sheetName val="[97_207COSRP11.xls]_97_207C_313"/>
      <sheetName val="[97_207COSRP11.xls]_97_207C_314"/>
      <sheetName val="[97_207COSRP11.xls]_97_207C_317"/>
      <sheetName val="[97_207COSRP11.xls]_97_207C_335"/>
      <sheetName val="[97_207COSRP11.xls]_97_207C_336"/>
      <sheetName val="[97_207COSRP11.xls]B________124"/>
      <sheetName val="[97_207COSRP11.xls]B________125"/>
      <sheetName val="[97_207COSRP11.xls]_97_207C_337"/>
      <sheetName val="[97_207COSRP11.xls]_97_207C_338"/>
      <sheetName val="[97_207COSRP11.xls]B________126"/>
      <sheetName val="[97_207COSRP11.xls]_97_207C_339"/>
      <sheetName val="[97_207COSRP11.xls]_97_207C_340"/>
      <sheetName val="[97_207COSRP11.xls]_97_207C_341"/>
      <sheetName val="[97_207COSRP11.xls]_97_207C_389"/>
      <sheetName val="[97_207COSRP11.xls]_97_207C_390"/>
      <sheetName val="[97_207COSRP11.xls]B________142"/>
      <sheetName val="[97_207COSRP11.xls]B________143"/>
      <sheetName val="[97_207COSRP11.xls]_97_207C_396"/>
      <sheetName val="[97_207COSRP11.xls]_97_207C_391"/>
      <sheetName val="[97_207COSRP11.xls]_97_207C_392"/>
      <sheetName val="[97_207COSRP11.xls]_97_207C_397"/>
      <sheetName val="[97_207COSRP11.xls]B________144"/>
      <sheetName val="[97_207COSRP11.xls]_97_207C_393"/>
      <sheetName val="[97_207COSRP11.xls]_97_207C_394"/>
      <sheetName val="[97_207COSRP11.xls]_97_207C_398"/>
      <sheetName val="[97_207COSRP11.xls]_97_207C_395"/>
      <sheetName val="[97_207COSRP11.xls]_97_207C_379"/>
      <sheetName val="[97_207COSRP11.xls]_97_207C_380"/>
      <sheetName val="[97_207COSRP11.xls]_97_207C_381"/>
      <sheetName val="[97_207COSRP11.xls]_97_207C_355"/>
      <sheetName val="[97_207COSRP11.xls]_97_207C_356"/>
      <sheetName val="[97_207COSRP11.xls]B________130"/>
      <sheetName val="[97_207COSRP11.xls]B________131"/>
      <sheetName val="[97_207COSRP11.xls]_97_207C_362"/>
      <sheetName val="[97_207COSRP11.xls]_97_207C_357"/>
      <sheetName val="[97_207COSRP11.xls]_97_207C_358"/>
      <sheetName val="[97_207COSRP11.xls]_97_207C_363"/>
      <sheetName val="[97_207COSRP11.xls]B________132"/>
      <sheetName val="[97_207COSRP11.xls]_97_207C_359"/>
      <sheetName val="[97_207COSRP11.xls]_97_207C_360"/>
      <sheetName val="[97_207COSRP11.xls]_97_207C_364"/>
      <sheetName val="[97_207COSRP11.xls]_97_207C_361"/>
      <sheetName val="[97_207COSRP11.xls]_97_207C_345"/>
      <sheetName val="[97_207COSRP11.xls]_97_207C_346"/>
      <sheetName val="[97_207COSRP11.xls]_97_207C_347"/>
      <sheetName val="[97_207COSRP11.xls]B________127"/>
      <sheetName val="[97_207COSRP11.xls]B________128"/>
      <sheetName val="[97_207COSRP11.xls]_97_207C_352"/>
      <sheetName val="[97_207COSRP11.xls]_97_207C_348"/>
      <sheetName val="[97_207COSRP11.xls]_97_207C_349"/>
      <sheetName val="[97_207COSRP11.xls]_97_207C_353"/>
      <sheetName val="[97_207COSRP11.xls]B________129"/>
      <sheetName val="[97_207COSRP11.xls]_97_207C_350"/>
      <sheetName val="[97_207COSRP11.xls]_97_207C_351"/>
      <sheetName val="[97_207COSRP11.xls]_97_207C_354"/>
      <sheetName val="[97_207COSRP11.xls]_97_207C_342"/>
      <sheetName val="[97_207COSRP11.xls]_97_207C_343"/>
      <sheetName val="[97_207COSRP11.xls]_97_207C_344"/>
      <sheetName val="[97_207COSRP11.xls]_97_207C_372"/>
      <sheetName val="[97_207COSRP11.xls]_97_207C_373"/>
      <sheetName val="[97_207COSRP11.xls]B________136"/>
      <sheetName val="[97_207COSRP11.xls]B________137"/>
      <sheetName val="[97_207COSRP11.xls]_97_207C_374"/>
      <sheetName val="[97_207COSRP11.xls]_97_207C_375"/>
      <sheetName val="[97_207COSRP11.xls]B________138"/>
      <sheetName val="[97_207COSRP11.xls]_97_207C_376"/>
      <sheetName val="[97_207COSRP11.xls]_97_207C_377"/>
      <sheetName val="[97_207COSRP11.xls]_97_207C_378"/>
      <sheetName val="[97_207COSRP11.xls]_97_207C_365"/>
      <sheetName val="[97_207COSRP11.xls]_97_207C_366"/>
      <sheetName val="[97_207COSRP11.xls]B________133"/>
      <sheetName val="[97_207COSRP11.xls]B________134"/>
      <sheetName val="[97_207COSRP11.xls]_97_207C_367"/>
      <sheetName val="[97_207COSRP11.xls]_97_207C_368"/>
      <sheetName val="[97_207COSRP11.xls]B________135"/>
      <sheetName val="[97_207COSRP11.xls]_97_207C_369"/>
      <sheetName val="[97_207COSRP11.xls]_97_207C_370"/>
      <sheetName val="[97_207COSRP11.xls]_97_207C_371"/>
      <sheetName val="[97_207COSRP11.xls]_97_207C_382"/>
      <sheetName val="[97_207COSRP11.xls]_97_207C_383"/>
      <sheetName val="[97_207COSRP11.xls]B________139"/>
      <sheetName val="[97_207COSRP11.xls]B________140"/>
      <sheetName val="[97_207COSRP11.xls]_97_207C_384"/>
      <sheetName val="[97_207COSRP11.xls]_97_207C_385"/>
      <sheetName val="[97_207COSRP11.xls]B________141"/>
      <sheetName val="[97_207COSRP11.xls]_97_207C_386"/>
      <sheetName val="[97_207COSRP11.xls]_97_207C_387"/>
      <sheetName val="[97_207COSRP11.xls]_97_207C_388"/>
      <sheetName val="GM &amp; TA"/>
      <sheetName val="[97_207COSRP11.xls]_97_207C_399"/>
      <sheetName val="[97_207COSRP11.xls]_97_207C_400"/>
      <sheetName val="[97_207COSRP11.xls]B________145"/>
      <sheetName val="[97_207COSRP11.xls]B________146"/>
      <sheetName val="[97_207COSRP11.xls]_97_207C_406"/>
      <sheetName val="[97_207COSRP11.xls]_97_207C_401"/>
      <sheetName val="[97_207COSRP11.xls]_97_207C_402"/>
      <sheetName val="[97_207COSRP11.xls]_97_207C_407"/>
      <sheetName val="[97_207COSRP11.xls]B________147"/>
      <sheetName val="[97_207COSRP11.xls]_97_207C_403"/>
      <sheetName val="[97_207COSRP11.xls]_97_207C_404"/>
      <sheetName val="[97_207COSRP11.xls]_97_207C_408"/>
      <sheetName val="[97_207COSRP11.xls]_97_207C_405"/>
      <sheetName val="[97_207COSRP11.xls]_97_207C_409"/>
      <sheetName val="[97_207COSRP11.xls]_97_207C_410"/>
      <sheetName val="[97_207COSRP11.xls]_97_207C_411"/>
      <sheetName val="[97_207COSRP11.xls]B________148"/>
      <sheetName val="[97_207COSRP11.xls]B________149"/>
      <sheetName val="[97_207COSRP11.xls]_97_207C_412"/>
      <sheetName val="[97_207COSRP11.xls]_97_207C_413"/>
      <sheetName val="[97_207COSRP11.xls]B________150"/>
      <sheetName val="[97_207COSRP11.xls]_97_207C_414"/>
      <sheetName val="[97_207COSRP11.xls]_97_207C_415"/>
      <sheetName val="[97_207COSRP11.xls]_97_207C_440"/>
      <sheetName val="[97_207COSRP11.xls]_97_207C_441"/>
      <sheetName val="[97_207COSRP11.xls]_97_207C_442"/>
      <sheetName val="[97_207COSRP11.xls]B________157"/>
      <sheetName val="[97_207COSRP11.xls]B________158"/>
      <sheetName val="[97_207COSRP11.xls]_97_207C_433"/>
      <sheetName val="[97_207COSRP11.xls]_97_207C_434"/>
      <sheetName val="[97_207COSRP11.xls]_97_207C_435"/>
      <sheetName val="[97_207COSRP11.xls]_97_207C_436"/>
      <sheetName val="[97_207COSRP11.xls]B________159"/>
      <sheetName val="[97_207COSRP11.xls]_97_207C_437"/>
      <sheetName val="[97_207COSRP11.xls]_97_207C_438"/>
      <sheetName val="[97_207COSRP11.xls]_97_207C_439"/>
      <sheetName val="[97_207COSRP11.xls]B________154"/>
      <sheetName val="[97_207COSRP11.xls]B________155"/>
      <sheetName val="[97_207COSRP11.xls]_97_207C_426"/>
      <sheetName val="[97_207COSRP11.xls]_97_207C_427"/>
      <sheetName val="[97_207COSRP11.xls]_97_207C_428"/>
      <sheetName val="[97_207COSRP11.xls]_97_207C_429"/>
      <sheetName val="[97_207COSRP11.xls]B________156"/>
      <sheetName val="[97_207COSRP11.xls]_97_207C_430"/>
      <sheetName val="[97_207COSRP11.xls]_97_207C_431"/>
      <sheetName val="[97_207COSRP11.xls]_97_207C_432"/>
      <sheetName val="[97_207COSRP11.xls]_97_207C_443"/>
      <sheetName val="[97_207COSRP11.xls]_97_207C_444"/>
      <sheetName val="[97_207COSRP11.xls]_97_207C_445"/>
      <sheetName val="[97_207COSRP11.xls]_97_207C_446"/>
      <sheetName val="[97_207COSRP11.xls]_97_207C_447"/>
      <sheetName val="[97_207COSRP11.xls]_97_207C_448"/>
      <sheetName val="[97_207COSRP11.xls]B________160"/>
      <sheetName val="[97_207COSRP11.xls]B________161"/>
      <sheetName val="[97_207COSRP11.xls]_97_207C_456"/>
      <sheetName val="[97_207COSRP11.xls]_97_207C_449"/>
      <sheetName val="[97_207COSRP11.xls]_97_207C_450"/>
      <sheetName val="[97_207COSRP11.xls]_97_207C_451"/>
      <sheetName val="[97_207COSRP11.xls]_97_207C_452"/>
      <sheetName val="[97_207COSRP11.xls]_97_207C_457"/>
      <sheetName val="[97_207COSRP11.xls]B________162"/>
      <sheetName val="[97_207COSRP11.xls]_97_207C_453"/>
      <sheetName val="[97_207COSRP11.xls]_97_207C_454"/>
      <sheetName val="[97_207COSRP11.xls]_97_207C_458"/>
      <sheetName val="[97_207COSRP11.xls]_97_207C_455"/>
      <sheetName val="[97_207COSRP11.xls]_97_207C_465"/>
      <sheetName val="[97_207COSRP11.xls]_97_207C_466"/>
      <sheetName val="[97_207COSRP11.xls]_97_207C_467"/>
      <sheetName val="[97_207COSRP11.xls]B________163"/>
      <sheetName val="[97_207COSRP11.xls]B________164"/>
      <sheetName val="[97_207COSRP11.xls]_97_207C_472"/>
      <sheetName val="[97_207COSRP11.xls]_97_207C_468"/>
      <sheetName val="[97_207COSRP11.xls]_97_207C_469"/>
      <sheetName val="[97_207COSRP11.xls]_97_207C_473"/>
      <sheetName val="[97_207COSRP11.xls]B________165"/>
      <sheetName val="[97_207COSRP11.xls]_97_207C_470"/>
      <sheetName val="[97_207COSRP11.xls]_97_207C_471"/>
      <sheetName val="[97_207COSRP11.xls]_97_207C_474"/>
      <sheetName val="[97_207COSRP11.xls]_97_207C_459"/>
      <sheetName val="[97_207COSRP11.xls]_97_207C_460"/>
      <sheetName val="[97_207COSRP11.xls]_97_207C_461"/>
      <sheetName val="[97_207COSRP11.xls]_97_207C_462"/>
      <sheetName val="[97_207COSRP11.xls]_97_207C_463"/>
      <sheetName val="[97_207COSRP11.xls]_97_207C_464"/>
      <sheetName val="[97_207COSRP11.xls]_97_207C_475"/>
      <sheetName val="[97_207COSRP11.xls]_97_207C_476"/>
      <sheetName val="[97_207COSRP11.xls]_97_207C_477"/>
      <sheetName val="[97_207COSRPLatitude 3460"/>
      <sheetName val="B@___x0004_@__x0000"/>
      <sheetName val="Costing-blk-B"/>
      <sheetName val="Insts"/>
      <sheetName val="[97_207COSRP11.xls]B________166"/>
      <sheetName val="[97_207COSRP11.xls]B________167"/>
      <sheetName val="[97_207COSRP11.xls]_97_207C_482"/>
      <sheetName val="[97_207COSRP11.xls]_97_207C_478"/>
      <sheetName val="[97_207COSRP11.xls]_97_207C_483"/>
      <sheetName val="[97_207COSRP11.xls]B________168"/>
      <sheetName val="[97_207COSRP11.xls]_97_207C_479"/>
      <sheetName val="[97_207COSRP11.xls]_97_207C_480"/>
      <sheetName val="[97_207COSRP11.xls]_97_207C_484"/>
      <sheetName val="[97_207COSRP11.xls]_97_207C_481"/>
      <sheetName val="[97_207COSRP11.xls]_97_207C_492"/>
      <sheetName val="[97_207COSRP11.xls]_97_207C_493"/>
      <sheetName val="[97_207COSRP11.xls]_97_207C_494"/>
      <sheetName val="[97_207COSRP11.xls]B________172"/>
      <sheetName val="[97_207COSRP11.xls]B________173"/>
      <sheetName val="[97_207COSRP11.xls]_97_207C_502"/>
      <sheetName val="[97_207COSRP11.xls]_97_207C_495"/>
      <sheetName val="[97_207COSRP11.xls]_97_207C_496"/>
      <sheetName val="[97_207COSRP11.xls]_97_207C_503"/>
      <sheetName val="[97_207COSRP11.xls]B________174"/>
      <sheetName val="[97_207COSRP11.xls]_97_207C_497"/>
      <sheetName val="[97_207COSRP11.xls]_97_207C_498"/>
      <sheetName val="[97_207COSRP11.xls]_97_207C_504"/>
      <sheetName val="[97_207COSRP11.xls]_97_207C_485"/>
      <sheetName val="[97_207COSRP11.xls]_97_207C_486"/>
      <sheetName val="[97_207COSRP11.xls]_97_207C_487"/>
      <sheetName val="[97_207COSRP11.xls]B________169"/>
      <sheetName val="[97_207COSRP11.xls]B________170"/>
      <sheetName val="[97_207COSRP11.xls]_97_207C_488"/>
      <sheetName val="[97_207COSRP11.xls]_97_207C_489"/>
      <sheetName val="[97_207COSRP11.xls]B________171"/>
      <sheetName val="[97_207COSRP11.xls]_97_207C_490"/>
      <sheetName val="[97_207COSRP11.xls]_97_207C_491"/>
      <sheetName val="[97_207COSRP11.xls]_97_207C_499"/>
      <sheetName val="[97_207COSRP11.xls]_97_207C_500"/>
      <sheetName val="[97_207COSRP11.xls]_97_207C_501"/>
      <sheetName val="[97_207COSRP11.xls]_97_207C_505"/>
      <sheetName val="[97_207COSRP11.xls]_97_207C_506"/>
      <sheetName val="[97_207COSRP11.xls]_97_207C_507"/>
      <sheetName val="[97_207COSRP11.xls]B________175"/>
      <sheetName val="[97_207COSRP11.xls]B________176"/>
      <sheetName val="[97_207COSRP11.xls]_97_207C_515"/>
      <sheetName val="[97_207COSRP11.xls]_97_207C_508"/>
      <sheetName val="[97_207COSRP11.xls]_97_207C_509"/>
      <sheetName val="[97_207COSRP11.xls]_97_207C_516"/>
      <sheetName val="[97_207COSRP11.xls]B________177"/>
      <sheetName val="[97_207COSRP11.xls]_97_207C_510"/>
      <sheetName val="[97_207COSRP11.xls]_97_207C_511"/>
      <sheetName val="[97_207COSRP11.xls]_97_207C_517"/>
      <sheetName val="[97_207COSRP11.xls]_97_207C_512"/>
      <sheetName val="[97_207COSRP11.xls]_97_207C_513"/>
      <sheetName val="[97_207COSRP11.xls]_97_207C_514"/>
      <sheetName val="[97_207COSRP11.xls]_97_207C_518"/>
      <sheetName val="[97_207COSRP11.xls]_97_207C_519"/>
      <sheetName val="[97_207COSRP11.xls]_97_207C_520"/>
      <sheetName val="[97_207COSRP11.xls]B________178"/>
      <sheetName val="[97_207COSRP11.xls]B________179"/>
      <sheetName val="[97_207COSRP11.xls]_97_207C_525"/>
      <sheetName val="[97_207COSRP11.xls]_97_207C_521"/>
      <sheetName val="[97_207COSRP11.xls]_97_207C_522"/>
      <sheetName val="[97_207COSRP11.xls]_97_207C_526"/>
      <sheetName val="[97_207COSRP11.xls]B________180"/>
      <sheetName val="[97_207COSRP11.xls]_97_207C_523"/>
      <sheetName val="[97_207COSRP11.xls]_97_207C_524"/>
      <sheetName val="[97_207COSRP11.xls]_97_207C_527"/>
      <sheetName val="EZ"/>
      <sheetName val="[97_207COSRP11.xls]_97_207C_528"/>
      <sheetName val="[97_207COSRP11.xls]_97_207C_529"/>
      <sheetName val="[97_207COSRP11.xls]_97_207C_530"/>
      <sheetName val="[97_207COSRP11.xls]B________181"/>
      <sheetName val="[97_207COSRP11.xls]B________182"/>
      <sheetName val="[97_207COSRP11.xls]_97_207C_535"/>
      <sheetName val="[97_207COSRP11.xls]_97_207C_531"/>
      <sheetName val="[97_207COSRP11.xls]_97_207C_532"/>
      <sheetName val="[97_207COSRP11.xls]_97_207C_536"/>
      <sheetName val="[97_207COSRP11.xls]B________183"/>
      <sheetName val="[97_207COSRP11.xls]_97_207C_533"/>
      <sheetName val="[97_207COSRP11.xls]_97_207C_534"/>
      <sheetName val="[97_207COSRP11.xls]_97_207C_537"/>
      <sheetName val="[97_207COSRP11.xls]_97_207C_575"/>
      <sheetName val="[97_207COSRP11.xls]_97_207C_576"/>
      <sheetName val="[97_207COSRP11.xls]_97_207C_577"/>
      <sheetName val="[97_207COSRP11.xls]B________196"/>
      <sheetName val="[97_207COSRP11.xls]B________197"/>
      <sheetName val="[97_207COSRP11.xls]_97_207C_591"/>
      <sheetName val="[97_207COSRP11.xls]_97_207C_578"/>
      <sheetName val="[97_207COSRP11.xls]_97_207C_579"/>
      <sheetName val="[97_207COSRP11.xls]_97_207C_592"/>
      <sheetName val="[97_207COSRP11.xls]B________198"/>
      <sheetName val="[97_207COSRP11.xls]_97_207C_580"/>
      <sheetName val="[97_207COSRP11.xls]_97_207C_581"/>
      <sheetName val="[97_207COSRP11.xls]_97_207C_593"/>
      <sheetName val="[97_207COSRP11.xls]_97_207C_541"/>
      <sheetName val="[97_207COSRP11.xls]_97_207C_542"/>
      <sheetName val="[97_207COSRP11.xls]_97_207C_543"/>
      <sheetName val="[97_207COSRP11.xls]_97_207C_538"/>
      <sheetName val="[97_207COSRP11.xls]_97_207C_539"/>
      <sheetName val="[97_207COSRP11.xls]_97_207C_540"/>
      <sheetName val="[97_207COSRP11.xls]_97_207C_562"/>
      <sheetName val="[97_207COSRP11.xls]_97_207C_563"/>
      <sheetName val="[97_207COSRP11.xls]_97_207C_564"/>
      <sheetName val="[97_207COSRP11.xls]B________193"/>
      <sheetName val="[97_207COSRP11.xls]B________194"/>
      <sheetName val="[97_207COSRP11.xls]_97_207C_569"/>
      <sheetName val="[97_207COSRP11.xls]_97_207C_565"/>
      <sheetName val="[97_207COSRP11.xls]_97_207C_566"/>
      <sheetName val="[97_207COSRP11.xls]_97_207C_570"/>
      <sheetName val="[97_207COSRP11.xls]B________195"/>
      <sheetName val="[97_207COSRP11.xls]_97_207C_567"/>
      <sheetName val="[97_207COSRP11.xls]_97_207C_568"/>
      <sheetName val="[97_207COSRP11.xls]_97_207C_571"/>
      <sheetName val="[97_207COSRP11.xls]_97_207C_555"/>
      <sheetName val="[97_207COSRP11.xls]_97_207C_556"/>
      <sheetName val="[97_207COSRP11.xls]_97_207C_557"/>
      <sheetName val="[97_207COSRP11.xls]B________190"/>
      <sheetName val="[97_207COSRP11.xls]B________191"/>
      <sheetName val="[97_207COSRP11.xls]_97_207C_558"/>
      <sheetName val="[97_207COSRP11.xls]_97_207C_559"/>
      <sheetName val="[97_207COSRP11.xls]B________192"/>
      <sheetName val="[97_207COSRP11.xls]_97_207C_560"/>
      <sheetName val="[97_207COSRP11.xls]_97_207C_561"/>
      <sheetName val="[97_207COSRP11.xls]B________184"/>
      <sheetName val="[97_207COSRP11.xls]B________185"/>
      <sheetName val="[97_207COSRP11.xls]_97_207C_545"/>
      <sheetName val="[97_207COSRP11.xls]_97_207C_546"/>
      <sheetName val="[97_207COSRP11.xls]B________186"/>
      <sheetName val="[97_207COSRP11.xls]_97_207C_544"/>
      <sheetName val="[97_207COSRP11.xls]_97_207C_547"/>
      <sheetName val="[97_207COSRP11.xls]_97_207C_548"/>
      <sheetName val="[97_207COSRP11.xls]_97_207C_549"/>
      <sheetName val="[97_207COSRP11.xls]_97_207C_550"/>
      <sheetName val="[97_207COSRP11.xls]B________187"/>
      <sheetName val="[97_207COSRP11.xls]B________188"/>
      <sheetName val="[97_207COSRP11.xls]_97_207C_551"/>
      <sheetName val="[97_207COSRP11.xls]_97_207C_552"/>
      <sheetName val="[97_207COSRP11.xls]B________189"/>
      <sheetName val="[97_207COSRP11.xls]_97_207C_553"/>
      <sheetName val="[97_207COSRP11.xls]_97_207C_554"/>
      <sheetName val="[97_207COSRP11.xls]_97_207C_572"/>
      <sheetName val="[97_207COSRP11.xls]_97_207C_573"/>
      <sheetName val="[97_207COSRP11.xls]_97_207C_574"/>
      <sheetName val="[97_207COSRP11.xls]_97_207C_588"/>
      <sheetName val="[97_207COSRP11.xls]_97_207C_589"/>
      <sheetName val="[97_207COSRP11.xls]_97_207C_590"/>
      <sheetName val="[97_207COSRP11.xls]_97_207C_585"/>
      <sheetName val="[97_207COSRP11.xls]_97_207C_586"/>
      <sheetName val="[97_207COSRP11.xls]_97_207C_587"/>
      <sheetName val="[97_207COSRP11.xls]_97_207C_582"/>
      <sheetName val="[97_207COSRP11.xls]_97_207C_583"/>
      <sheetName val="[97_207COSRP11.xls]_97_207C_584"/>
      <sheetName val="[97_207COSRP11.xls]_97_207C_594"/>
      <sheetName val="[97_207COSRP11.xls]_97_207C_595"/>
      <sheetName val="[97_207COSRP11.xls]_97_207C_596"/>
      <sheetName val="[97_207COSRP11.xls]_97_207C_597"/>
      <sheetName val="[97_207COSRP11.xls]_97_207C_598"/>
      <sheetName val="[97_207COSRP11.xls]_97_207C_599"/>
      <sheetName val="[97_207COSRP11.xls]B________199"/>
      <sheetName val="[97_207COSRP11.xls]B________200"/>
      <sheetName val="[97_207COSRP11.xls]_97_207C_604"/>
      <sheetName val="[97_207COSRP11.xls]_97_207C_600"/>
      <sheetName val="[97_207COSRP11.xls]_97_207C_601"/>
      <sheetName val="[97_207COSRP11.xls]_97_207C_605"/>
      <sheetName val="[97_207COSRP11.xls]B________201"/>
      <sheetName val="[97_207COSRP11.xls]_97_207C_602"/>
      <sheetName val="[97_207COSRP11.xls]_97_207C_603"/>
      <sheetName val="[97_207COSRP11.xls]_97_207C_606"/>
      <sheetName val="[97_207COSRP11.xls]_97_207C_607"/>
      <sheetName val="[97_207COSRP11.xls]_97_207C_608"/>
      <sheetName val="[97_207COSRP11.xls]_97_207C_609"/>
      <sheetName val="[97_207COSRP11.xls]_97_207C_617"/>
      <sheetName val="[97_207COSRP11.xls]_97_207C_618"/>
      <sheetName val="[97_207COSRP11.xls]_97_207C_619"/>
      <sheetName val="[97_207COSRP11.xls]B________205"/>
      <sheetName val="[97_207COSRP11.xls]B________206"/>
      <sheetName val="[97_207COSRP11.xls]_97_207C_624"/>
      <sheetName val="[97_207COSRP11.xls]_97_207C_620"/>
      <sheetName val="[97_207COSRP11.xls]_97_207C_621"/>
      <sheetName val="[97_207COSRP11.xls]_97_207C_625"/>
      <sheetName val="[97_207COSRP11.xls]B________207"/>
      <sheetName val="[97_207COSRP11.xls]_97_207C_622"/>
      <sheetName val="[97_207COSRP11.xls]_97_207C_623"/>
      <sheetName val="[97_207COSRP11.xls]_97_207C_626"/>
      <sheetName val="[97_207COSRP11.xls]_97_207C_610"/>
      <sheetName val="[97_207COSRP11.xls]_97_207C_611"/>
      <sheetName val="[97_207COSRP11.xls]_97_207C_612"/>
      <sheetName val="[97_207COSRP11.xls]B________202"/>
      <sheetName val="[97_207COSRP11.xls]B________203"/>
      <sheetName val="[97_207COSRP11.xls]_97_207C_613"/>
      <sheetName val="[97_207COSRP11.xls]_97_207C_614"/>
      <sheetName val="[97_207COSRP11.xls]B________204"/>
      <sheetName val="[97_207COSRP11.xls]_97_207C_615"/>
      <sheetName val="[97_207COSRP11.xls]_97_207C_616"/>
      <sheetName val="[97_207COSRP11.xls]_97_207C_630"/>
      <sheetName val="[97_207COSRP11.xls]_97_207C_631"/>
      <sheetName val="[97_207COSRP11.xls]_97_207C_632"/>
      <sheetName val="[97_207COSRP11.xls]B________208"/>
      <sheetName val="[97_207COSRP11.xls]B________209"/>
      <sheetName val="[97_207COSRP11.xls]_97_207C_637"/>
      <sheetName val="[97_207COSRP11.xls]_97_207C_633"/>
      <sheetName val="[97_207COSRP11.xls]_97_207C_634"/>
      <sheetName val="[97_207COSRP11.xls]_97_207C_638"/>
      <sheetName val="[97_207COSRP11.xls]B________210"/>
      <sheetName val="[97_207COSRP11.xls]_97_207C_635"/>
      <sheetName val="[97_207COSRP11.xls]_97_207C_636"/>
      <sheetName val="[97_207COSRP11.xls]_97_207C_639"/>
      <sheetName val="[97_207COSRP11.xls]_97_207C_627"/>
      <sheetName val="[97_207COSRP11.xls]_97_207C_628"/>
      <sheetName val="[97_207COSRP11.xls]_97_207C_629"/>
      <sheetName val="[97_207COSRP11.xls]_97_207C_643"/>
      <sheetName val="[97_207COSRP11.xls]_97_207C_644"/>
      <sheetName val="[97_207COSRP11.xls]_97_207C_645"/>
      <sheetName val="[97_207COSRP11.xls]_97_207C_640"/>
      <sheetName val="[97_207COSRP11.xls]_97_207C_641"/>
      <sheetName val="[97_207COSRP11.xls]_97_207C_642"/>
      <sheetName val="[97_207COSRP11.xls]_97_207C_649"/>
      <sheetName val="[97_207COSRP11.xls]_97_207C_650"/>
      <sheetName val="[97_207COSRP11.xls]_97_207C_651"/>
      <sheetName val="[97_207COSRP11.xls]_97_207C_646"/>
      <sheetName val="[97_207COSRP11.xls]_97_207C_647"/>
      <sheetName val="[97_207COSRP11.xls]_97_207C_648"/>
      <sheetName val="B@__x005f_x005f_x005f_x0000__x0"/>
      <sheetName val="_97_207COSRP11.xls_B@___x0004_@"/>
      <sheetName val="BLOCK-A (MEA.SHEET)"/>
      <sheetName val="Comparative"/>
      <sheetName val="DOOR-WIND"/>
      <sheetName val="Qty-UG"/>
      <sheetName val="GRSummary"/>
      <sheetName val="[97_207COSRP11.xls]_97_207C_652"/>
      <sheetName val="[97_207COSRP11.xls]_97_207C_653"/>
      <sheetName val="[97_207COSRP11.xls]_97_207C_654"/>
      <sheetName val="[97_207COSRP11.xls]_97_207C_655"/>
      <sheetName val="[97_207COSRP11.xls]_97_207C_656"/>
      <sheetName val="[97_207COSRP11.xls]_97_207C_657"/>
      <sheetName val="[97_207COSRP11.xls]_97_207C_658"/>
      <sheetName val="[97_207COSRP11.xls]_97_207C_659"/>
      <sheetName val="[97_207COSRP11.xls]_97_207C_660"/>
      <sheetName val="[97_207COSRP11.xls]_97_207C_661"/>
      <sheetName val="[97_207COSRP11.xls]B________211"/>
      <sheetName val="[97_207COSRP11.xls]B________212"/>
      <sheetName val="[97_207COSRP11.xls]_97_207C_667"/>
      <sheetName val="[97_207COSRP11.xls]_97_207C_662"/>
      <sheetName val="[97_207COSRP11.xls]_97_207C_663"/>
      <sheetName val="[97_207COSRP11.xls]_97_207C_668"/>
      <sheetName val="[97_207COSRP11.xls]_97_207C_664"/>
      <sheetName val="[97_207COSRP11.xls]_97_207C_665"/>
      <sheetName val="[97_207COSRP11.xls]_97_207C_666"/>
      <sheetName val="[97_207COSRP11.xls]_97_207C_675"/>
      <sheetName val="[97_207COSRP11.xls]_97_207C_676"/>
      <sheetName val="[97_207COSRP11.xls]_97_207C_673"/>
      <sheetName val="[97_207COSRP11.xls]_97_207C_674"/>
      <sheetName val="[97_207COSRP11.xls]_97_207C_669"/>
      <sheetName val="[97_207COSRP11.xls]_97_207C_670"/>
      <sheetName val="[97_207COSRP11.xls]_97_207C_671"/>
      <sheetName val="[97_207COSRP11.xls]_97_207C_672"/>
      <sheetName val="[97_207COSRP11.xls]B________213"/>
      <sheetName val="[97_207COSRP11.xls]B________214"/>
      <sheetName val="[97_207COSRP11.xls]_97_207C_680"/>
      <sheetName val="[97_207COSRP11.xls]_97_207C_677"/>
      <sheetName val="[97_207COSRP11.xls]_97_207C_678"/>
      <sheetName val="[97_207COSRP11.xls]_97_207C_681"/>
      <sheetName val="[97_207COSRP11.xls]_97_207C_679"/>
      <sheetName val="B@__x0000__x0004_@_x0000__x0000"/>
      <sheetName val="B@__x0000__x0004_@_x0000___$_x0"/>
      <sheetName val="_97_207COSRP11.xls_B@__x0000__x"/>
      <sheetName val="[97_207COSRPLatitude 3460_x0000_tails"/>
      <sheetName val="B@__x0000__x0004_@_"/>
      <sheetName val="B@__x0004_@_x0000"/>
      <sheetName val="B@__x0004_@__$_x0"/>
      <sheetName val="_97_207COSRP11.xls_B@__x"/>
      <sheetName val="[97_207COSRPLatitude 3460tails"/>
      <sheetName val="B@__x0004_@_"/>
      <sheetName val="COMPLEXALL"/>
      <sheetName val="Lowside"/>
      <sheetName val="Approach Database"/>
      <sheetName val="선수금"/>
      <sheetName val="[97_207COSRP11.xls]B________251"/>
      <sheetName val="[97_207COSRP11.xls]B________243"/>
      <sheetName val="[97_207COSRP11.xls]B________244"/>
      <sheetName val="[97_207COSRP11.xls]B________227"/>
      <sheetName val="[97_207COSRP11.xls]B________228"/>
      <sheetName val="[97_207COSRP11.xls]B________220"/>
      <sheetName val="[97_207COSRP11.xls]B________221"/>
      <sheetName val="[97_207COSRP11.xls]B________222"/>
      <sheetName val="[97_207COSRP11.xls]B________215"/>
      <sheetName val="[97_207COSRP11.xls]B________216"/>
      <sheetName val="[97_207COSRP11.xls]B________217"/>
      <sheetName val="[97_207COSRP11.xls]B________218"/>
      <sheetName val="[97_207COSRP11.xls]B________219"/>
      <sheetName val="[97_207COSRP11.xls]B________223"/>
      <sheetName val="[97_207COSRP11.xls]B________224"/>
      <sheetName val="[97_207COSRP11.xls]B________225"/>
      <sheetName val="[97_207COSRP11.xls]B________226"/>
      <sheetName val="[97_207COSRP11.xls]B________229"/>
      <sheetName val="[97_207COSRP11.xls]B________230"/>
      <sheetName val="[97_207COSRP11.xls]B________231"/>
      <sheetName val="[97_207COSRP11.xls]B________232"/>
      <sheetName val="[97_207COSRP11.xls]B________241"/>
      <sheetName val="[97_207COSRP11.xls]B________242"/>
      <sheetName val="[97_207COSRP11.xls]B________233"/>
      <sheetName val="[97_207COSRP11.xls]B________234"/>
      <sheetName val="[97_207COSRP11.xls]B________235"/>
      <sheetName val="[97_207COSRP11.xls]B________236"/>
      <sheetName val="[97_207COSRP11.xls]B________237"/>
      <sheetName val="[97_207COSRP11.xls]B________238"/>
      <sheetName val="[97_207COSRP11.xls]B________239"/>
      <sheetName val="[97_207COSRP11.xls]B________240"/>
      <sheetName val="[97_207COSRP11.xls]B________249"/>
      <sheetName val="[97_207COSRP11.xls]B________250"/>
      <sheetName val="[97_207COSRP11.xls]B________245"/>
      <sheetName val="[97_207COSRP11.xls]B________246"/>
      <sheetName val="[97_207COSRP11.xls]B________247"/>
      <sheetName val="[97_207COSRP11.xls]B________248"/>
      <sheetName val="[97_207COSRP11.xls]B________252"/>
      <sheetName val="[97_207COSRP11.xls]B________253"/>
      <sheetName val="[97_207COSRP11.xls]B________254"/>
      <sheetName val="[97_207COSRP11.xls]B________255"/>
      <sheetName val="[97_207COSRP11.xls]B________256"/>
      <sheetName val="[97_207COSRP11.xls]B________277"/>
      <sheetName val="[97_207COSRP11.xls]B________278"/>
      <sheetName val="[97_207COSRP11.xls]B________279"/>
      <sheetName val="PROV_SUMS5"/>
      <sheetName val="PROV_QUANTITIES5"/>
      <sheetName val="RES_STEEL_TO5"/>
      <sheetName val="Data_sheet4"/>
      <sheetName val="Per_Unit4"/>
      <sheetName val="Fin_Sum5"/>
      <sheetName val="SPT_vs_PHI4"/>
      <sheetName val="Switch_&amp;_Sockets4"/>
      <sheetName val="25mm_PVC_Conduit4"/>
      <sheetName val="FLOOR_JB4"/>
      <sheetName val="Light_Fittings4"/>
      <sheetName val="CABLE_TRAY4"/>
      <sheetName val="32MM_PVC_CONDUIT4"/>
      <sheetName val="Point_Wiring4"/>
      <sheetName val="3RX2_5SQMM_WIRE4"/>
      <sheetName val="3CX2_5SQMM_WIRES4"/>
      <sheetName val="3CX4_00SQMM4"/>
      <sheetName val="Rate_analysis3"/>
      <sheetName val="PPA_Summary4"/>
      <sheetName val="beam-reinft-IIInd_floor4"/>
      <sheetName val="India_F&amp;S_Template4"/>
      <sheetName val="Materials_Cost(PCC)4"/>
      <sheetName val="MASTER_RATE_ANALYSIS3"/>
      <sheetName val="PRECAST_lightconc-II3"/>
      <sheetName val="Synergy_Sales_Budget3"/>
      <sheetName val="Break_up_Sheet3"/>
      <sheetName val="PA-_Consutant_2"/>
      <sheetName val="beam-reinft-machine_rm2"/>
      <sheetName val="Paym__Recom3"/>
      <sheetName val="DC_-_DB_&amp;_MCB3"/>
      <sheetName val="inst__-_Pt_Wr_(cl-2)3"/>
      <sheetName val="Su__-_Pt_Wr3"/>
      <sheetName val="Su__Pwr_Wr3"/>
      <sheetName val="Inst__Pwr_Wr_(cl-2)3"/>
      <sheetName val="Su__-_Cor3"/>
      <sheetName val="Ins_-_Cor_3"/>
      <sheetName val="Earth_strip&amp;_fittings3"/>
      <sheetName val="DC__S_&amp;_So3"/>
      <sheetName val="Install_LIFT_SHAFT_3"/>
      <sheetName val="Su_solar_pt3"/>
      <sheetName val="SU_LIFT_SHAFT3"/>
      <sheetName val="DC_-Conduit3"/>
      <sheetName val="DC_wiring3"/>
      <sheetName val="WORK_TABLE1"/>
      <sheetName val="ABP_inputs1"/>
      <sheetName val="E_&amp;_R2"/>
      <sheetName val="Appendix_-3-_Rcov__Mat_supplie1"/>
      <sheetName val="Debits_as_on_12_04_081"/>
      <sheetName val="List_of_contractors1"/>
      <sheetName val="foot-slab_reinft1"/>
      <sheetName val="Change_Order_Log1"/>
      <sheetName val="Material_List_1"/>
      <sheetName val="ACAD_Finishes1"/>
      <sheetName val="Site_Details1"/>
      <sheetName val="Site_Area_Statement1"/>
      <sheetName val="TBAL9697_-group_wise__sdpl2"/>
      <sheetName val="입찰내역_발주처_양식1"/>
      <sheetName val="Basement_Budget1"/>
      <sheetName val="SC_Cost_FEB_03"/>
      <sheetName val="glass_project_concrete4"/>
      <sheetName val="glass_project_reift4"/>
      <sheetName val="glass_project_indices4"/>
      <sheetName val="SBC-BH_193"/>
      <sheetName val="Summary_05062"/>
      <sheetName val="Summary_0607-_31_MAR2"/>
      <sheetName val="Civil_Boq2"/>
      <sheetName val="Pile_cap2"/>
      <sheetName val="BH_12-11-10-133"/>
      <sheetName val="BH_12-11-10-93"/>
      <sheetName val="BH_36-15-373"/>
      <sheetName val="BH_16-35-25-173"/>
      <sheetName val="BH_35-25-173"/>
      <sheetName val="Sheet1_(2)3"/>
      <sheetName val="d-safe_DELUXE2"/>
      <sheetName val="V_O_4_-_PCC_Qty2"/>
      <sheetName val="Abstract_Sheet2"/>
      <sheetName val="Mix_Design2"/>
      <sheetName val="RCC,Ret__Wall2"/>
      <sheetName val="Form_62"/>
      <sheetName val="PointNo_52"/>
      <sheetName val="Legal_Risk_Analysis2"/>
      <sheetName val="Load_Details-220kV1"/>
      <sheetName val="Fill_this_out_first___1"/>
      <sheetName val="REVISED4A_PROG_PERF-SITE_1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BOQ_Direct_selling_cost1"/>
      <sheetName val="BOQ_(2)1"/>
      <sheetName val="CABLE_DATA1"/>
      <sheetName val="Staff_Acco_1"/>
      <sheetName val="Pipe_Supports1"/>
      <sheetName val="final_abstract1"/>
      <sheetName val="INPUT_SHEET1"/>
      <sheetName val="Rev_S1_Abstract1"/>
      <sheetName val="Quantity_Abstract1"/>
      <sheetName val="M-Book_for_Conc1"/>
      <sheetName val="M-Book_for_FW1"/>
      <sheetName val="Project_Budget_Worksheet2"/>
      <sheetName val="BOQ_-II_ph_21"/>
      <sheetName val="d-safe_specs1"/>
      <sheetName val="class_&amp;_category1"/>
      <sheetName val="SSR_&amp;_NSSR_Market_final1"/>
      <sheetName val="Fee_Rate_Summary1"/>
      <sheetName val="STAFFSCHED_1"/>
      <sheetName val="220_11__BS_1"/>
      <sheetName val="Metso_-_Forth_&amp;_Slurry_11_02_11"/>
      <sheetName val="precast_RC_element1"/>
      <sheetName val="CONC__&amp;_STEEL_-_PILES1"/>
      <sheetName val="GR_slab-reinft1"/>
      <sheetName val="Bank_Guarantee"/>
      <sheetName val="Bed_Class1"/>
      <sheetName val="Mat_Cost1"/>
      <sheetName val="[97_207COSRP11_xls][97_207COSR1"/>
      <sheetName val="3__Bulk_Check"/>
      <sheetName val="2__Trade_Sum"/>
      <sheetName val="TRIAL_BALANCE1"/>
      <sheetName val="Structural_BOQ"/>
      <sheetName val="Masonry_&amp;_Plaster"/>
      <sheetName val="DETAILED__BOQ"/>
      <sheetName val="[97_207COSRP11_xls]B@["/>
      <sheetName val="Key_Ratios"/>
      <sheetName val="Sub_Contractors_list"/>
      <sheetName val="Strwise_Qty"/>
      <sheetName val="NMR_(2)"/>
      <sheetName val="_97_207COSRP11_xls__97_207COSRP"/>
      <sheetName val="_97_207COSRP11_xls_B@_"/>
      <sheetName val="_97_207COSRP11_xls_B@__@_____$"/>
      <sheetName val="B@_?@?_x0000"/>
      <sheetName val="B@__@___$_"/>
      <sheetName val="_97_207COSRP11_xls_B@__@___$_"/>
      <sheetName val="BOQ_LT"/>
      <sheetName val="LABOUR_SALARY_"/>
      <sheetName val="Boq_(Main_Building)"/>
      <sheetName val="Ins_&amp;_Bonds"/>
      <sheetName val="S_&amp;_A"/>
      <sheetName val="Operating_Statistics"/>
      <sheetName val="B@_@_x0000"/>
      <sheetName val="B@_@__$_x0"/>
      <sheetName val="_97_207COSRP11_xls_B@__x"/>
      <sheetName val="[97_207COSRP11_xls]_97_207CO_20"/>
      <sheetName val="[97_207COSRP11_xls]B_________10"/>
      <sheetName val="[97_207COSRP11_xls]B_________11"/>
      <sheetName val="[97_207COSRP11_xls]_97_207CO_24"/>
      <sheetName val="[97_207COSRP11_xls]_97_207CO_21"/>
      <sheetName val="[97_207COSRP11_xls]_97_207CO_22"/>
      <sheetName val="[97_207COSRP11_xls]_97_207CO_25"/>
      <sheetName val="[97_207COSRP11_xls]_97_207CO_23"/>
      <sheetName val="[97_207COSRP11_xls]_97_207COS_2"/>
      <sheetName val="[97_207COSRP11_xls]B__________2"/>
      <sheetName val="[97_207COSRP11_xls]B__________3"/>
      <sheetName val="[97_207COSRP11_xls]_97_207COS_5"/>
      <sheetName val="[97_207COSRP11_xls]_97_207COS_3"/>
      <sheetName val="[97_207COSRP11_xls]_97_207COS_4"/>
      <sheetName val="[97_207COSRP11_xls]_97_207CO_10"/>
      <sheetName val="[97_207COSRP11_xls]B__________6"/>
      <sheetName val="[97_207COSRP11_xls]B__________7"/>
      <sheetName val="[97_207COSRP11_xls]_97_207CO_11"/>
      <sheetName val="[97_207COSRP11_xls]_97_207CO_12"/>
      <sheetName val="[97_207COSRP11_xls]_97_207CO_13"/>
      <sheetName val="[97_207COSRP11_xls]_97_207COS_6"/>
      <sheetName val="[97_207COSRP11_xls]B__________4"/>
      <sheetName val="[97_207COSRP11_xls]B__________5"/>
      <sheetName val="[97_207COSRP11_xls]_97_207COS_7"/>
      <sheetName val="[97_207COSRP11_xls]_97_207COS_8"/>
      <sheetName val="[97_207COSRP11_xls]_97_207COS_9"/>
      <sheetName val="GM_&amp;_TA"/>
      <sheetName val="Insurance_&amp;_Taxes(B1-2)"/>
      <sheetName val="[97_207COSRP11_xls]_97_207CO_14"/>
      <sheetName val="[97_207COSRP11_xls]B__________8"/>
      <sheetName val="[97_207COSRP11_xls]B__________9"/>
      <sheetName val="[97_207COSRP11_xls]_97_207CO_18"/>
      <sheetName val="[97_207COSRP11_xls]_97_207CO_15"/>
      <sheetName val="[97_207COSRP11_xls]_97_207CO_16"/>
      <sheetName val="[97_207COSRP11_xls]_97_207CO_19"/>
      <sheetName val="[97_207COSRP11_xls]_97_207CO_17"/>
      <sheetName val="[97_207COSRP11_xls]_97_207CO_26"/>
      <sheetName val="[97_207COSRP11_xls]B_________12"/>
      <sheetName val="[97_207COSRP11_xls]B_________13"/>
      <sheetName val="[97_207COSRP11_xls]_97_207CO_27"/>
      <sheetName val="[97_207COSRP11_xls]_97_207CO_28"/>
      <sheetName val="[97_207COSRP11_xls]_97_207CO_29"/>
      <sheetName val="Do_not_delete"/>
      <sheetName val="_"/>
      <sheetName val="INFLUENCES_ON_GM"/>
      <sheetName val="vb_9&amp;10"/>
      <sheetName val="Schedules_PL"/>
      <sheetName val="Schedules_BS"/>
      <sheetName val="P-Ins_&amp;_Bonds"/>
      <sheetName val="P-Site_fac"/>
      <sheetName val="P-Clients_fac"/>
      <sheetName val="[97_207COSRP11_xls]B_________39"/>
      <sheetName val="[97_207COSRP11_xls]B_________40"/>
      <sheetName val="[97_207COSRP11_xls]_97_207CO_79"/>
      <sheetName val="[97_207COSRP11_xls]_97_207CO_76"/>
      <sheetName val="[97_207COSRP11_xls]_97_207CO_77"/>
      <sheetName val="[97_207COSRP11_xls]_97_207CO_78"/>
      <sheetName val="[97_207COSRP11_xls]_97_207CO_73"/>
      <sheetName val="[97_207COSRP11_xls]B_________37"/>
      <sheetName val="[97_207COSRP11_xls]B_________38"/>
      <sheetName val="[97_207COSRP11_xls]_97_207CO_74"/>
      <sheetName val="[97_207COSRP11_xls]_97_207CO_75"/>
      <sheetName val="[97_207COSRP11_xls]_97_207CO_66"/>
      <sheetName val="[97_207COSRP11_xls]B_________33"/>
      <sheetName val="[97_207COSRP11_xls]B_________34"/>
      <sheetName val="[97_207COSRP11_xls]_97_207CO_69"/>
      <sheetName val="[97_207COSRP11_xls]_97_207CO_67"/>
      <sheetName val="[97_207COSRP11_xls]_97_207CO_68"/>
      <sheetName val="[97_207COSRP11_xls]_97_207CO_63"/>
      <sheetName val="[97_207COSRP11_xls]B_________31"/>
      <sheetName val="[97_207COSRP11_xls]B_________32"/>
      <sheetName val="[97_207COSRP11_xls]_97_207CO_52"/>
      <sheetName val="[97_207COSRP11_xls]B_________26"/>
      <sheetName val="[97_207COSRP11_xls]B_________27"/>
      <sheetName val="[97_207COSRP11_xls]_97_207CO_56"/>
      <sheetName val="[97_207COSRP11_xls]_97_207CO_53"/>
      <sheetName val="[97_207COSRP11_xls]_97_207CO_54"/>
      <sheetName val="[97_207COSRP11_xls]_97_207CO_48"/>
      <sheetName val="[97_207COSRP11_xls]_97_207CO_49"/>
      <sheetName val="[97_207COSRP11_xls]B_________24"/>
      <sheetName val="[97_207COSRP11_xls]B_________25"/>
      <sheetName val="[97_207COSRP11_xls]_97_207CO_50"/>
      <sheetName val="[97_207COSRP11_xls]_97_207CO_51"/>
      <sheetName val="[97_207COSRP11_xls]B_________16"/>
      <sheetName val="[97_207COSRP11_xls]B_________17"/>
      <sheetName val="[97_207COSRP11_xls]_97_207CO_30"/>
      <sheetName val="[97_207COSRP11_xls]B_________14"/>
      <sheetName val="[97_207COSRP11_xls]B_________15"/>
      <sheetName val="[97_207COSRP11_xls]_97_207CO_31"/>
      <sheetName val="[97_207COSRP11_xls]_97_207CO_32"/>
      <sheetName val="[97_207COSRP11_xls]B_________18"/>
      <sheetName val="[97_207COSRP11_xls]B_________19"/>
      <sheetName val="[97_207COSRP11_xls]_97_207CO_36"/>
      <sheetName val="[97_207COSRP11_xls]_97_207CO_33"/>
      <sheetName val="[97_207COSRP11_xls]_97_207CO_34"/>
      <sheetName val="[97_207COSRP11_xls]_97_207CO_37"/>
      <sheetName val="[97_207COSRP11_xls]_97_207CO_35"/>
      <sheetName val="[97_207COSRP11_xls]_97_207CO_38"/>
      <sheetName val="[97_207COSRP11_xls]B_________20"/>
      <sheetName val="[97_207COSRP11_xls]B_________21"/>
      <sheetName val="[97_207COSRP11_xls]_97_207CO_42"/>
      <sheetName val="[97_207COSRP11_xls]_97_207CO_39"/>
      <sheetName val="[97_207COSRP11_xls]_97_207CO_40"/>
      <sheetName val="[97_207COSRP11_xls]_97_207CO_43"/>
      <sheetName val="[97_207COSRP11_xls]_97_207CO_41"/>
      <sheetName val="[97_207COSRP11_xls]B_________22"/>
      <sheetName val="[97_207COSRP11_xls]B_________23"/>
      <sheetName val="[97_207COSRP11_xls]_97_207CO_46"/>
      <sheetName val="[97_207COSRP11_xls]_97_207CO_44"/>
      <sheetName val="[97_207COSRP11_xls]_97_207CO_45"/>
      <sheetName val="[97_207COSRP11_xls]_97_207CO_47"/>
      <sheetName val="[97_207COSRP11_xls]_97_207CO_55"/>
      <sheetName val="[97_207COSRP11_xls]B_________28"/>
      <sheetName val="[97_207COSRP11_xls]B_________29"/>
      <sheetName val="[97_207COSRP11_xls]_97_207CO_57"/>
      <sheetName val="[97_207COSRP11_xls]_97_207CO_58"/>
      <sheetName val="[97_207COSRP11_xls]_97_207CO_64"/>
      <sheetName val="[97_207COSRP11_xls]_97_207CO_59"/>
      <sheetName val="[97_207COSRP11_xls]_97_207CO_60"/>
      <sheetName val="[97_207COSRP11_xls]_97_207CO_65"/>
      <sheetName val="[97_207COSRP11_xls]B_________30"/>
      <sheetName val="[97_207COSRP11_xls]_97_207CO_61"/>
      <sheetName val="[97_207COSRP11_xls]_97_207CO_62"/>
      <sheetName val="Basic_Rate"/>
      <sheetName val="INDIGINEOUS_ITEMS_"/>
      <sheetName val="[97_207COSRP11_xls]_97_207CO_70"/>
      <sheetName val="[97_207COSRP11_xls]B_________35"/>
      <sheetName val="[97_207COSRP11_xls]B_________36"/>
      <sheetName val="[97_207COSRP11_xls]_97_207CO_71"/>
      <sheetName val="[97_207COSRP11_xls]_97_207CO_72"/>
      <sheetName val="[97_207COSRP11_xls]_97_207C_520"/>
      <sheetName val="[97_207COSRP11_xls]B________243"/>
      <sheetName val="[97_207COSRP11_xls]B________244"/>
      <sheetName val="[97_207COSRP11_xls]_97_207C_524"/>
      <sheetName val="[97_207COSRP11_xls]_97_207C_521"/>
      <sheetName val="[97_207COSRP11_xls]_97_207C_522"/>
      <sheetName val="[97_207COSRP11_xls]_97_207C_244"/>
      <sheetName val="B@_@_"/>
      <sheetName val="[97_207COSRP11_xls]_97_207C_220"/>
      <sheetName val="[97_207COSRP11_xls]B________116"/>
      <sheetName val="[97_207COSRP11_xls]B________117"/>
      <sheetName val="[97_207COSRP11_xls]_97_207C_224"/>
      <sheetName val="[97_207COSRP11_xls]_97_207C_221"/>
      <sheetName val="[97_207COSRP11_xls]_97_207C_222"/>
      <sheetName val="[97_207COSRP11_xls]_97_207C_118"/>
      <sheetName val="[97_207COSRP11_xls]B_________61"/>
      <sheetName val="[97_207COSRP11_xls]B_________62"/>
      <sheetName val="[97_207COSRP11_xls]_97_207C_125"/>
      <sheetName val="[97_207COSRP11_xls]_97_207C_119"/>
      <sheetName val="[97_207COSRP11_xls]_97_207C_120"/>
      <sheetName val="[97_207COSRP11_xls]_97_207CO_80"/>
      <sheetName val="[97_207COSRP11_xls]_97_207CO_81"/>
      <sheetName val="[97_207COSRP11_xls]B_________41"/>
      <sheetName val="[97_207COSRP11_xls]B_________42"/>
      <sheetName val="[97_207COSRP11_xls]_97_207CO_82"/>
      <sheetName val="[97_207COSRP11_xls]_97_207CO_83"/>
      <sheetName val="[97_207COSRP11_xls]_97_207CO_84"/>
      <sheetName val="[97_207COSRP11_xls]B_________43"/>
      <sheetName val="[97_207COSRP11_xls]B_________44"/>
      <sheetName val="[97_207COSRP11_xls]_97_207CO_85"/>
      <sheetName val="[97_207COSRP11_xls]_97_207CO_86"/>
      <sheetName val="[97_207COSRP11_xls]_97_207CO_87"/>
      <sheetName val="[97_207COSRP11_xls]B_________45"/>
      <sheetName val="[97_207COSRP11_xls]B_________46"/>
      <sheetName val="[97_207COSRP11_xls]_97_207CO_88"/>
      <sheetName val="[97_207COSRP11_xls]_97_207CO_89"/>
      <sheetName val="[97_207COSRP11_xls]_97_207CO_90"/>
      <sheetName val="[97_207COSRP11_xls]B_________47"/>
      <sheetName val="[97_207COSRP11_xls]B_________48"/>
      <sheetName val="[97_207COSRP11_xls]_97_207CO_91"/>
      <sheetName val="[97_207COSRP11_xls]_97_207CO_92"/>
      <sheetName val="[97_207COSRP11_xls]_97_207CO_93"/>
      <sheetName val="[97_207COSRP11_xls]B_________49"/>
      <sheetName val="[97_207COSRP11_xls]B_________50"/>
      <sheetName val="[97_207COSRP11_xls]_97_207CO_94"/>
      <sheetName val="[97_207COSRP11_xls]_97_207CO_95"/>
      <sheetName val="[97_207COSRP11_xls]_97_207C_121"/>
      <sheetName val="[97_207COSRP11_xls]_97_207CO_96"/>
      <sheetName val="[97_207COSRP11_xls]B_________51"/>
      <sheetName val="[97_207COSRP11_xls]B_________52"/>
      <sheetName val="[97_207COSRP11_xls]_97_207CO_97"/>
      <sheetName val="[97_207COSRP11_xls]_97_207CO_98"/>
      <sheetName val="[97_207COSRP11_xls]_97_207CO_99"/>
      <sheetName val="[97_207COSRP11_xls]_97_207C_100"/>
      <sheetName val="[97_207COSRP11_xls]B_________53"/>
      <sheetName val="[97_207COSRP11_xls]B_________54"/>
      <sheetName val="[97_207COSRP11_xls]_97_207C_101"/>
      <sheetName val="[97_207COSRP11_xls]_97_207C_102"/>
      <sheetName val="[97_207COSRP11_xls]_97_207C_103"/>
      <sheetName val="[97_207COSRP11_xls]_97_207C_126"/>
      <sheetName val="[97_207COSRP11_xls]_97_207C_122"/>
      <sheetName val="[97_207COSRP11_xls]_97_207C_127"/>
      <sheetName val="[97_207COSRP11_xls]B_________63"/>
      <sheetName val="[97_207COSRP11_xls]_97_207C_123"/>
      <sheetName val="[97_207COSRP11_xls]_97_207C_124"/>
      <sheetName val="[97_207COSRP11_xls]_97_207C_104"/>
      <sheetName val="[97_207COSRP11_xls]B_________55"/>
      <sheetName val="[97_207COSRP11_xls]B_________56"/>
      <sheetName val="[97_207COSRP11_xls]_97_207C_105"/>
      <sheetName val="[97_207COSRP11_xls]_97_207C_106"/>
      <sheetName val="[97_207COSRP11_xls]_97_207C_107"/>
      <sheetName val="[97_207COSRP11_xls]_97_207C_108"/>
      <sheetName val="[97_207COSRP11_xls]B_________57"/>
      <sheetName val="[97_207COSRP11_xls]_97_207C_109"/>
      <sheetName val="[97_207COSRP11_xls]_97_207C_110"/>
      <sheetName val="[97_207COSRP11_xls]_97_207C_111"/>
      <sheetName val="[97_207COSRP11_xls]B_________58"/>
      <sheetName val="[97_207COSRP11_xls]B_________59"/>
      <sheetName val="[97_207COSRP11_xls]_97_207C_112"/>
      <sheetName val="[97_207COSRP11_xls]_97_207C_113"/>
      <sheetName val="[97_207COSRP11_xls]_97_207C_114"/>
      <sheetName val="[97_207COSRP11_xls]_97_207C_115"/>
      <sheetName val="[97_207COSRP11_xls]B_________60"/>
      <sheetName val="[97_207COSRP11_xls]_97_207C_116"/>
      <sheetName val="[97_207COSRP11_xls]_97_207C_117"/>
      <sheetName val="[97_207COSRP11_xls]B_________64"/>
      <sheetName val="[97_207COSRP11_xls]B_________65"/>
      <sheetName val="[97_207COSRP11_xls]_97_207C_160"/>
      <sheetName val="[97_207COSRP11_xls]_97_207C_128"/>
      <sheetName val="[97_207COSRP11_xls]_97_207C_129"/>
      <sheetName val="[97_207COSRP11_xls]B_________82"/>
      <sheetName val="[97_207COSRP11_xls]B_________83"/>
      <sheetName val="[97_207COSRP11_xls]_97_207C_164"/>
      <sheetName val="[97_207COSRP11_xls]_97_207C_161"/>
      <sheetName val="[97_207COSRP11_xls]_97_207C_162"/>
      <sheetName val="[97_207COSRP11_xls]_97_207C_130"/>
      <sheetName val="[97_207COSRP11_xls]B_________66"/>
      <sheetName val="[97_207COSRP11_xls]B_________67"/>
      <sheetName val="[97_207COSRP11_xls]_97_207C_131"/>
      <sheetName val="[97_207COSRP11_xls]_97_207C_132"/>
      <sheetName val="[97_207COSRP11_xls]_97_207C_163"/>
      <sheetName val="[97_207COSRP11_xls]_97_207C_133"/>
      <sheetName val="[97_207COSRP11_xls]B_________68"/>
      <sheetName val="[97_207COSRP11_xls]B_________69"/>
      <sheetName val="[97_207COSRP11_xls]_97_207C_134"/>
      <sheetName val="[97_207COSRP11_xls]_97_207C_135"/>
      <sheetName val="[97_207COSRP11_xls]_97_207C_136"/>
      <sheetName val="[97_207COSRP11_xls]B_________70"/>
      <sheetName val="[97_207COSRP11_xls]B_________71"/>
      <sheetName val="[97_207COSRP11_xls]_97_207C_137"/>
      <sheetName val="[97_207COSRP11_xls]_97_207C_138"/>
      <sheetName val="[97_207COSRP11_xls]_97_207C_139"/>
      <sheetName val="[97_207COSRP11_xls]_97_207C_140"/>
      <sheetName val="[97_207COSRP11_xls]B_________72"/>
      <sheetName val="[97_207COSRP11_xls]B_________73"/>
      <sheetName val="[97_207COSRP11_xls]_97_207C_141"/>
      <sheetName val="[97_207COSRP11_xls]_97_207C_142"/>
      <sheetName val="[97_207COSRP11_xls]_97_207C_143"/>
      <sheetName val="[97_207COSRP11_xls]_97_207C_144"/>
      <sheetName val="[97_207COSRP11_xls]B_________74"/>
      <sheetName val="[97_207COSRP11_xls]B_________75"/>
      <sheetName val="[97_207COSRP11_xls]_97_207C_145"/>
      <sheetName val="[97_207COSRP11_xls]_97_207C_146"/>
      <sheetName val="[97_207COSRP11_xls]_97_207C_147"/>
      <sheetName val="[97_207COSRP11_xls]_97_207C_148"/>
      <sheetName val="[97_207COSRP11_xls]B_________76"/>
      <sheetName val="[97_207COSRP11_xls]B_________77"/>
      <sheetName val="[97_207COSRP11_xls]_97_207C_149"/>
      <sheetName val="[97_207COSRP11_xls]_97_207C_150"/>
      <sheetName val="[97_207COSRP11_xls]_97_207C_151"/>
      <sheetName val="[97_207COSRP11_xls]_97_207C_152"/>
      <sheetName val="[97_207COSRP11_xls]B_________78"/>
      <sheetName val="[97_207COSRP11_xls]B_________79"/>
      <sheetName val="[97_207COSRP11_xls]_97_207C_153"/>
      <sheetName val="[97_207COSRP11_xls]_97_207C_154"/>
      <sheetName val="[97_207COSRP11_xls]_97_207C_155"/>
      <sheetName val="[97_207COSRP11_xls]_97_207C_156"/>
      <sheetName val="[97_207COSRP11_xls]B_________80"/>
      <sheetName val="[97_207COSRP11_xls]B_________81"/>
      <sheetName val="[97_207COSRP11_xls]_97_207C_157"/>
      <sheetName val="[97_207COSRP11_xls]_97_207C_158"/>
      <sheetName val="[97_207COSRP11_xls]_97_207C_159"/>
      <sheetName val="[97_207COSRP11_xls]B_________84"/>
      <sheetName val="[97_207COSRP11_xls]B_________85"/>
      <sheetName val="[97_207COSRP11_xls]_97_207C_173"/>
      <sheetName val="[97_207COSRP11_xls]_97_207C_165"/>
      <sheetName val="[97_207COSRP11_xls]_97_207C_166"/>
      <sheetName val="[97_207COSRP11_xls]B_________90"/>
      <sheetName val="[97_207COSRP11_xls]B_________91"/>
      <sheetName val="[97_207COSRP11_xls]_97_207C_216"/>
      <sheetName val="[97_207COSRP11_xls]_97_207C_174"/>
      <sheetName val="[97_207COSRP11_xls]_97_207C_175"/>
      <sheetName val="[97_207COSRP11_xls]_97_207C_167"/>
      <sheetName val="[97_207COSRP11_xls]B_________86"/>
      <sheetName val="[97_207COSRP11_xls]B_________87"/>
      <sheetName val="[97_207COSRP11_xls]_97_207C_168"/>
      <sheetName val="[97_207COSRP11_xls]_97_207C_169"/>
      <sheetName val="[97_207COSRP11_xls]_97_207C_170"/>
      <sheetName val="[97_207COSRP11_xls]B_________88"/>
      <sheetName val="[97_207COSRP11_xls]B_________89"/>
      <sheetName val="[97_207COSRP11_xls]_97_207C_171"/>
      <sheetName val="[97_207COSRP11_xls]_97_207C_172"/>
      <sheetName val="[97_207COSRP11_xls]B________114"/>
      <sheetName val="[97_207COSRP11_xls]B________115"/>
      <sheetName val="[97_207COSRP11_xls]_97_207C_217"/>
      <sheetName val="[97_207COSRP11_xls]_97_207C_218"/>
      <sheetName val="[97_207COSRP11_xls]_97_207C_176"/>
      <sheetName val="[97_207COSRP11_xls]B_________92"/>
      <sheetName val="[97_207COSRP11_xls]B_________93"/>
      <sheetName val="[97_207COSRP11_xls]_97_207C_177"/>
      <sheetName val="[97_207COSRP11_xls]_97_207C_178"/>
      <sheetName val="[97_207COSRP11_xls]_97_207C_179"/>
      <sheetName val="[97_207COSRP11_xls]B_________94"/>
      <sheetName val="[97_207COSRP11_xls]B_________95"/>
      <sheetName val="[97_207COSRP11_xls]_97_207C_180"/>
      <sheetName val="[97_207COSRP11_xls]_97_207C_181"/>
      <sheetName val="[97_207COSRP11_xls]_97_207C_182"/>
      <sheetName val="[97_207COSRP11_xls]B_________96"/>
      <sheetName val="[97_207COSRP11_xls]B_________97"/>
      <sheetName val="[97_207COSRP11_xls]_97_207C_183"/>
      <sheetName val="[97_207COSRP11_xls]_97_207C_184"/>
      <sheetName val="[97_207COSRP11_xls]_97_207C_185"/>
      <sheetName val="[97_207COSRP11_xls]B_________98"/>
      <sheetName val="[97_207COSRP11_xls]B_________99"/>
      <sheetName val="[97_207COSRP11_xls]_97_207C_186"/>
      <sheetName val="[97_207COSRP11_xls]_97_207C_187"/>
      <sheetName val="[97_207COSRP11_xls]_97_207C_219"/>
      <sheetName val="[97_207COSRP11_xls]_97_207C_223"/>
      <sheetName val="[97_207COSRP11_xls]_97_207C_188"/>
      <sheetName val="[97_207COSRP11_xls]B________100"/>
      <sheetName val="[97_207COSRP11_xls]B________101"/>
      <sheetName val="[97_207COSRP11_xls]_97_207C_189"/>
      <sheetName val="[97_207COSRP11_xls]_97_207C_190"/>
      <sheetName val="[97_207COSRP11_xls]_97_207C_191"/>
      <sheetName val="[97_207COSRP11_xls]_97_207C_192"/>
      <sheetName val="[97_207COSRP11_xls]B________102"/>
      <sheetName val="[97_207COSRP11_xls]B________103"/>
      <sheetName val="[97_207COSRP11_xls]_97_207C_193"/>
      <sheetName val="[97_207COSRP11_xls]_97_207C_194"/>
      <sheetName val="[97_207COSRP11_xls]_97_207C_195"/>
      <sheetName val="[97_207COSRP11_xls]_97_207C_196"/>
      <sheetName val="[97_207COSRP11_xls]B________104"/>
      <sheetName val="[97_207COSRP11_xls]B________105"/>
      <sheetName val="[97_207COSRP11_xls]_97_207C_197"/>
      <sheetName val="[97_207COSRP11_xls]_97_207C_198"/>
      <sheetName val="[97_207COSRP11_xls]_97_207C_199"/>
      <sheetName val="[97_207COSRP11_xls]_97_207C_200"/>
      <sheetName val="[97_207COSRP11_xls]B________106"/>
      <sheetName val="[97_207COSRP11_xls]B________107"/>
      <sheetName val="[97_207COSRP11_xls]_97_207C_201"/>
      <sheetName val="[97_207COSRP11_xls]_97_207C_202"/>
      <sheetName val="[97_207COSRP11_xls]_97_207C_203"/>
      <sheetName val="[97_207COSRP11_xls]_97_207C_204"/>
      <sheetName val="[97_207COSRP11_xls]B________108"/>
      <sheetName val="[97_207COSRP11_xls]B________109"/>
      <sheetName val="[97_207COSRP11_xls]_97_207C_205"/>
      <sheetName val="[97_207COSRP11_xls]_97_207C_206"/>
      <sheetName val="[97_207COSRP11_xls]_97_207C_207"/>
      <sheetName val="[97_207COSRP11_xls]_97_207C_208"/>
      <sheetName val="[97_207COSRP11_xls]B________110"/>
      <sheetName val="[97_207COSRP11_xls]B________111"/>
      <sheetName val="[97_207COSRP11_xls]_97_207C_209"/>
      <sheetName val="[97_207COSRP11_xls]_97_207C_210"/>
      <sheetName val="[97_207COSRP11_xls]_97_207C_211"/>
      <sheetName val="[97_207COSRP11_xls]_97_207C_212"/>
      <sheetName val="[97_207COSRP11_xls]B________112"/>
      <sheetName val="[97_207COSRP11_xls]B________113"/>
      <sheetName val="[97_207COSRP11_xls]_97_207C_213"/>
      <sheetName val="[97_207COSRP11_xls]_97_207C_214"/>
      <sheetName val="[97_207COSRP11_xls]_97_207C_215"/>
      <sheetName val="[97_207COSRP11_xls]_97_207C_225"/>
      <sheetName val="[97_207COSRP11_xls]B________118"/>
      <sheetName val="[97_207COSRP11_xls]B________119"/>
      <sheetName val="[97_207COSRP11_xls]_97_207C_226"/>
      <sheetName val="[97_207COSRP11_xls]_97_207C_227"/>
      <sheetName val="[97_207COSRP11_xls]_97_207C_228"/>
      <sheetName val="[97_207COSRP11_xls]_97_207C_229"/>
      <sheetName val="[97_207COSRP11_xls]B________126"/>
      <sheetName val="[97_207COSRP11_xls]B________127"/>
      <sheetName val="[97_207COSRP11_xls]_97_207C_241"/>
      <sheetName val="[97_207COSRP11_xls]_97_207C_238"/>
      <sheetName val="[97_207COSRP11_xls]_97_207C_239"/>
      <sheetName val="[97_207COSRP11_xls]_97_207C_240"/>
      <sheetName val="[97_207COSRP11_xls]B________120"/>
      <sheetName val="[97_207COSRP11_xls]B________121"/>
      <sheetName val="[97_207COSRP11_xls]_97_207C_231"/>
      <sheetName val="[97_207COSRP11_xls]_97_207C_230"/>
      <sheetName val="[97_207COSRP11_xls]B________124"/>
      <sheetName val="[97_207COSRP11_xls]B________125"/>
      <sheetName val="[97_207COSRP11_xls]_97_207C_235"/>
      <sheetName val="[97_207COSRP11_xls]_97_207C_236"/>
      <sheetName val="[97_207COSRP11_xls]_97_207C_237"/>
      <sheetName val="[97_207COSRP11_xls]B________122"/>
      <sheetName val="[97_207COSRP11_xls]B________123"/>
      <sheetName val="[97_207COSRP11_xls]_97_207C_232"/>
      <sheetName val="[97_207COSRP11_xls]_97_207C_233"/>
      <sheetName val="[97_207COSRP11_xls]_97_207C_234"/>
      <sheetName val="[97_207COSRP11_xls]_97_207C_242"/>
      <sheetName val="[97_207COSRP11_xls]_97_207C_243"/>
      <sheetName val="[97_207COSRP11_xls]_97_207C_245"/>
      <sheetName val="[97_207COSRP11_xls]_97_207C_246"/>
      <sheetName val="[97_207COSRP11_xls]B________128"/>
      <sheetName val="[97_207COSRP11_xls]B________129"/>
      <sheetName val="[97_207COSRP11_xls]_97_207C_247"/>
      <sheetName val="[97_207COSRP11_xls]_97_207C_248"/>
      <sheetName val="[97_207COSRP11_xls]_97_207C_249"/>
      <sheetName val="[97_207COSRP11_xls]B________130"/>
      <sheetName val="[97_207COSRP11_xls]B________131"/>
      <sheetName val="[97_207COSRP11_xls]_97_207C_250"/>
      <sheetName val="[97_207COSRP11_xls]_97_207C_251"/>
      <sheetName val="[97_207COSRP11_xls]_97_207C_348"/>
      <sheetName val="[97_207COSRP11_xls]B________174"/>
      <sheetName val="[97_207COSRP11_xls]B________175"/>
      <sheetName val="[97_207COSRP11_xls]_97_207C_353"/>
      <sheetName val="[97_207COSRP11_xls]_97_207C_349"/>
      <sheetName val="[97_207COSRP11_xls]_97_207C_350"/>
      <sheetName val="[97_207COSRP11_xls]_97_207C_341"/>
      <sheetName val="[97_207COSRP11_xls]B________171"/>
      <sheetName val="[97_207COSRP11_xls]B________172"/>
      <sheetName val="[97_207COSRP11_xls]_97_207C_342"/>
      <sheetName val="[97_207COSRP11_xls]_97_207C_343"/>
      <sheetName val="[97_207COSRP11_xls]_97_207C_280"/>
      <sheetName val="[97_207COSRP11_xls]B________142"/>
      <sheetName val="[97_207COSRP11_xls]B________143"/>
      <sheetName val="[97_207COSRP11_xls]_97_207C_289"/>
      <sheetName val="[97_207COSRP11_xls]_97_207C_281"/>
      <sheetName val="[97_207COSRP11_xls]_97_207C_282"/>
      <sheetName val="[97_207COSRP11_xls]_97_207C_269"/>
      <sheetName val="[97_207COSRP11_xls]_97_207C_270"/>
      <sheetName val="[97_207COSRP11_xls]_97_207C_271"/>
      <sheetName val="[97_207COSRP11_xls]B________138"/>
      <sheetName val="[97_207COSRP11_xls]B________139"/>
      <sheetName val="[97_207COSRP11_xls]_97_207C_272"/>
      <sheetName val="[97_207COSRP11_xls]_97_207C_273"/>
      <sheetName val="[97_207COSRP11_xls]_97_207C_252"/>
      <sheetName val="[97_207COSRP11_xls]_97_207C_253"/>
      <sheetName val="[97_207COSRP11_xls]_97_207C_254"/>
      <sheetName val="[97_207COSRP11_xls]_97_207C_255"/>
      <sheetName val="[97_207COSRP11_xls]_97_207C_256"/>
      <sheetName val="[97_207COSRP11_xls]B________132"/>
      <sheetName val="[97_207COSRP11_xls]B________133"/>
      <sheetName val="[97_207COSRP11_xls]_97_207C_257"/>
      <sheetName val="[97_207COSRP11_xls]_97_207C_258"/>
      <sheetName val="[97_207COSRP11_xls]_97_207C_259"/>
      <sheetName val="[97_207COSRP11_xls]_97_207C_260"/>
      <sheetName val="[97_207COSRP11_xls]_97_207C_261"/>
      <sheetName val="[97_207COSRP11_xls]B________134"/>
      <sheetName val="[97_207COSRP11_xls]B________135"/>
      <sheetName val="[97_207COSRP11_xls]_97_207C_262"/>
      <sheetName val="[97_207COSRP11_xls]_97_207C_263"/>
      <sheetName val="[97_207COSRP11_xls]_97_207C_264"/>
      <sheetName val="[97_207COSRP11_xls]_97_207C_265"/>
      <sheetName val="[97_207COSRP11_xls]_97_207C_266"/>
      <sheetName val="[97_207COSRP11_xls]B________136"/>
      <sheetName val="[97_207COSRP11_xls]B________137"/>
      <sheetName val="[97_207COSRP11_xls]_97_207C_267"/>
      <sheetName val="[97_207COSRP11_xls]_97_207C_268"/>
      <sheetName val="[97_207COSRP11_xls]_97_207C_283"/>
      <sheetName val="[97_207COSRP11_xls]_97_207C_279"/>
      <sheetName val="[97_207COSRP11_xls]_97_207C_274"/>
      <sheetName val="[97_207COSRP11_xls]_97_207C_275"/>
      <sheetName val="[97_207COSRP11_xls]_97_207C_276"/>
      <sheetName val="[97_207COSRP11_xls]B________140"/>
      <sheetName val="[97_207COSRP11_xls]B________141"/>
      <sheetName val="[97_207COSRP11_xls]_97_207C_277"/>
      <sheetName val="[97_207COSRP11_xls]_97_207C_278"/>
      <sheetName val="[97_207COSRP11_xls]_97_207C_284"/>
      <sheetName val="[97_207COSRP11_xls]_97_207C_290"/>
      <sheetName val="[97_207COSRP11_xls]_97_207C_291"/>
      <sheetName val="[97_207COSRP11_xls]B________146"/>
      <sheetName val="[97_207COSRP11_xls]B________147"/>
      <sheetName val="[97_207COSRP11_xls]_97_207C_292"/>
      <sheetName val="[97_207COSRP11_xls]_97_207C_293"/>
      <sheetName val="[97_207COSRP11_xls]_97_207C_285"/>
      <sheetName val="[97_207COSRP11_xls]_97_207C_286"/>
      <sheetName val="[97_207COSRP11_xls]_97_207C_287"/>
      <sheetName val="[97_207COSRP11_xls]B________144"/>
      <sheetName val="[97_207COSRP11_xls]B________145"/>
      <sheetName val="[97_207COSRP11_xls]_97_207C_288"/>
      <sheetName val="[97_207COSRP11_xls]_97_207C_294"/>
      <sheetName val="[97_207COSRP11_xls]B________148"/>
      <sheetName val="[97_207COSRP11_xls]B________149"/>
      <sheetName val="[97_207COSRP11_xls]_97_207C_295"/>
      <sheetName val="[97_207COSRP11_xls]_97_207C_296"/>
      <sheetName val="[97_207COSRP11_xls]_97_207C_297"/>
      <sheetName val="[97_207COSRP11_xls]B________150"/>
      <sheetName val="[97_207COSRP11_xls]B________151"/>
      <sheetName val="[97_207COSRP11_xls]_97_207C_298"/>
      <sheetName val="[97_207COSRP11_xls]_97_207C_299"/>
      <sheetName val="[97_207COSRP11_xls]_97_207C_300"/>
      <sheetName val="[97_207COSRP11_xls]B________152"/>
      <sheetName val="[97_207COSRP11_xls]B________153"/>
      <sheetName val="[97_207COSRP11_xls]_97_207C_301"/>
      <sheetName val="[97_207COSRP11_xls]_97_207C_302"/>
      <sheetName val="[97_207COSRP11_xls]_97_207C_303"/>
      <sheetName val="[97_207COSRP11_xls]B________154"/>
      <sheetName val="[97_207COSRP11_xls]B________155"/>
      <sheetName val="[97_207COSRP11_xls]_97_207C_304"/>
      <sheetName val="[97_207COSRP11_xls]_97_207C_305"/>
      <sheetName val="[97_207COSRP11_xls]_97_207C_344"/>
      <sheetName val="[97_207COSRP11_xls]_97_207C_351"/>
      <sheetName val="[97_207COSRP11_xls]_97_207C_345"/>
      <sheetName val="[97_207COSRP11_xls]_97_207C_352"/>
      <sheetName val="[97_207COSRP11_xls]B________173"/>
      <sheetName val="[97_207COSRP11_xls]_97_207C_346"/>
      <sheetName val="[97_207COSRP11_xls]_97_207C_347"/>
      <sheetName val="[97_207COSRP11_xls]_97_207C_306"/>
      <sheetName val="[97_207COSRP11_xls]B________156"/>
      <sheetName val="[97_207COSRP11_xls]B________157"/>
      <sheetName val="[97_207COSRP11_xls]_97_207C_307"/>
      <sheetName val="[97_207COSRP11_xls]_97_207C_308"/>
      <sheetName val="[97_207COSRP11_xls]_97_207C_309"/>
      <sheetName val="[97_207COSRP11_xls]_97_207C_310"/>
      <sheetName val="[97_207COSRP11_xls]B________158"/>
      <sheetName val="[97_207COSRP11_xls]_97_207C_311"/>
      <sheetName val="[97_207COSRP11_xls]_97_207C_312"/>
      <sheetName val="[97_207COSRP11_xls]_97_207C_313"/>
      <sheetName val="[97_207COSRP11_xls]B________159"/>
      <sheetName val="[97_207COSRP11_xls]B________160"/>
      <sheetName val="[97_207COSRP11_xls]_97_207C_314"/>
      <sheetName val="[97_207COSRP11_xls]_97_207C_315"/>
      <sheetName val="[97_207COSRP11_xls]_97_207C_316"/>
      <sheetName val="[97_207COSRP11_xls]_97_207C_317"/>
      <sheetName val="[97_207COSRP11_xls]B________161"/>
      <sheetName val="[97_207COSRP11_xls]_97_207C_318"/>
      <sheetName val="[97_207COSRP11_xls]_97_207C_319"/>
      <sheetName val="[97_207COSRP11_xls]_97_207C_320"/>
      <sheetName val="[97_207COSRP11_xls]B________162"/>
      <sheetName val="[97_207COSRP11_xls]B________163"/>
      <sheetName val="[97_207COSRP11_xls]_97_207C_321"/>
      <sheetName val="[97_207COSRP11_xls]_97_207C_322"/>
      <sheetName val="[97_207COSRP11_xls]_97_207C_323"/>
      <sheetName val="[97_207COSRP11_xls]_97_207C_324"/>
      <sheetName val="[97_207COSRP11_xls]B________164"/>
      <sheetName val="[97_207COSRP11_xls]_97_207C_325"/>
      <sheetName val="[97_207COSRP11_xls]_97_207C_326"/>
      <sheetName val="[97_207COSRP11_xls]_97_207C_327"/>
      <sheetName val="[97_207COSRP11_xls]B________165"/>
      <sheetName val="[97_207COSRP11_xls]B________166"/>
      <sheetName val="[97_207COSRP11_xls]_97_207C_328"/>
      <sheetName val="[97_207COSRP11_xls]_97_207C_329"/>
      <sheetName val="[97_207COSRP11_xls]_97_207C_330"/>
      <sheetName val="[97_207COSRP11_xls]_97_207C_331"/>
      <sheetName val="[97_207COSRP11_xls]B________167"/>
      <sheetName val="[97_207COSRP11_xls]_97_207C_332"/>
      <sheetName val="[97_207COSRP11_xls]_97_207C_333"/>
      <sheetName val="[97_207COSRP11_xls]_97_207C_334"/>
      <sheetName val="[97_207COSRP11_xls]B________168"/>
      <sheetName val="[97_207COSRP11_xls]B________169"/>
      <sheetName val="[97_207COSRP11_xls]_97_207C_335"/>
      <sheetName val="[97_207COSRP11_xls]_97_207C_336"/>
      <sheetName val="[97_207COSRP11_xls]_97_207C_337"/>
      <sheetName val="[97_207COSRP11_xls]_97_207C_338"/>
      <sheetName val="[97_207COSRP11_xls]B________170"/>
      <sheetName val="[97_207COSRP11_xls]_97_207C_339"/>
      <sheetName val="[97_207COSRP11_xls]_97_207C_340"/>
      <sheetName val="[97_207COSRP11_xls]_97_207C_354"/>
      <sheetName val="[97_207COSRP11_xls]_97_207C_525"/>
      <sheetName val="[97_207COSRP11_xls]_97_207C_523"/>
      <sheetName val="[97_207COSRP11_xls]B________193"/>
      <sheetName val="[97_207COSRP11_xls]B________194"/>
      <sheetName val="[97_207COSRP11_xls]_97_207C_402"/>
      <sheetName val="[97_207COSRP11_xls]_97_207C_399"/>
      <sheetName val="[97_207COSRP11_xls]_97_207C_400"/>
      <sheetName val="[97_207COSRP11_xls]_97_207C_401"/>
      <sheetName val="[97_207COSRP11_xls]_97_207C_389"/>
      <sheetName val="[97_207COSRP11_xls]B________190"/>
      <sheetName val="[97_207COSRP11_xls]B________191"/>
      <sheetName val="[97_207COSRP11_xls]_97_207C_396"/>
      <sheetName val="[97_207COSRP11_xls]_97_207C_390"/>
      <sheetName val="[97_207COSRP11_xls]_97_207C_391"/>
      <sheetName val="[97_207COSRP11_xls]_97_207C_397"/>
      <sheetName val="[97_207COSRP11_xls]_97_207C_392"/>
      <sheetName val="[97_207COSRP11_xls]_97_207C_398"/>
      <sheetName val="[97_207COSRP11_xls]B________192"/>
      <sheetName val="[97_207COSRP11_xls]_97_207C_393"/>
      <sheetName val="[97_207COSRP11_xls]_97_207C_394"/>
      <sheetName val="[97_207COSRP11_xls]_97_207C_395"/>
      <sheetName val="BLOCK-A_(MEA_SHEET)"/>
      <sheetName val="_97_207COSRP11_xls_B@__@"/>
      <sheetName val="[97_207COSRP11_xls]_97_207C_355"/>
      <sheetName val="[97_207COSRP11_xls]B________176"/>
      <sheetName val="[97_207COSRP11_xls]B________177"/>
      <sheetName val="[97_207COSRP11_xls]_97_207C_377"/>
      <sheetName val="[97_207COSRP11_xls]_97_207C_356"/>
      <sheetName val="[97_207COSRP11_xls]_97_207C_357"/>
      <sheetName val="[97_207COSRP11_xls]_97_207C_358"/>
      <sheetName val="[97_207COSRP11_xls]_97_207C_359"/>
      <sheetName val="[97_207COSRP11_xls]_97_207C_378"/>
      <sheetName val="[97_207COSRP11_xls]_97_207C_379"/>
      <sheetName val="[97_207COSRP11_xls]B________178"/>
      <sheetName val="[97_207COSRP11_xls]_97_207C_360"/>
      <sheetName val="[97_207COSRP11_xls]_97_207C_361"/>
      <sheetName val="[97_207COSRP11_xls]B________185"/>
      <sheetName val="[97_207COSRP11_xls]B________186"/>
      <sheetName val="[97_207COSRP11_xls]_97_207C_380"/>
      <sheetName val="[97_207COSRP11_xls]_97_207C_381"/>
      <sheetName val="[97_207COSRP11_xls]_97_207C_362"/>
      <sheetName val="[97_207COSRP11_xls]_97_207C_363"/>
      <sheetName val="[97_207COSRP11_xls]_97_207C_364"/>
      <sheetName val="[97_207COSRP11_xls]B________179"/>
      <sheetName val="[97_207COSRP11_xls]B________180"/>
      <sheetName val="[97_207COSRP11_xls]_97_207C_365"/>
      <sheetName val="[97_207COSRP11_xls]_97_207C_366"/>
      <sheetName val="[97_207COSRP11_xls]_97_207C_367"/>
      <sheetName val="[97_207COSRP11_xls]_97_207C_368"/>
      <sheetName val="[97_207COSRP11_xls]_97_207C_369"/>
      <sheetName val="[97_207COSRP11_xls]B________181"/>
      <sheetName val="[97_207COSRP11_xls]B________182"/>
      <sheetName val="[97_207COSRP11_xls]_97_207C_370"/>
      <sheetName val="[97_207COSRP11_xls]_97_207C_371"/>
      <sheetName val="[97_207COSRP11_xls]_97_207C_372"/>
      <sheetName val="[97_207COSRP11_xls]_97_207C_373"/>
      <sheetName val="[97_207COSRP11_xls]_97_207C_374"/>
      <sheetName val="[97_207COSRP11_xls]B________183"/>
      <sheetName val="[97_207COSRP11_xls]B________184"/>
      <sheetName val="[97_207COSRP11_xls]_97_207C_375"/>
      <sheetName val="[97_207COSRP11_xls]_97_207C_376"/>
      <sheetName val="[97_207COSRP11_xls]_97_207C_382"/>
      <sheetName val="[97_207COSRP11_xls]B________187"/>
      <sheetName val="[97_207COSRP11_xls]B________188"/>
      <sheetName val="[97_207COSRP11_xls]_97_207C_383"/>
      <sheetName val="[97_207COSRP11_xls]_97_207C_384"/>
      <sheetName val="[97_207COSRP11_xls]_97_207C_385"/>
      <sheetName val="[97_207COSRP11_xls]B________189"/>
      <sheetName val="[97_207COSRP11_xls]_97_207C_386"/>
      <sheetName val="[97_207COSRP11_xls]_97_207C_387"/>
      <sheetName val="[97_207COSRP11_xls]_97_207C_388"/>
      <sheetName val="[97_207COSRP11_xls]B________195"/>
      <sheetName val="[97_207COSRP11_xls]B________196"/>
      <sheetName val="[97_207COSRP11_xls]_97_207C_501"/>
      <sheetName val="[97_207COSRP11_xls]_97_207C_403"/>
      <sheetName val="[97_207COSRP11_xls]_97_207C_404"/>
      <sheetName val="[97_207COSRP11_xls]_97_207C_487"/>
      <sheetName val="[97_207COSRP11_xls]B________227"/>
      <sheetName val="[97_207COSRP11_xls]B________228"/>
      <sheetName val="[97_207COSRP11_xls]_97_207C_491"/>
      <sheetName val="[97_207COSRP11_xls]_97_207C_488"/>
      <sheetName val="[97_207COSRP11_xls]_97_207C_489"/>
      <sheetName val="[97_207COSRP11_xls]_97_207C_492"/>
      <sheetName val="[97_207COSRP11_xls]_97_207C_490"/>
      <sheetName val="[97_207COSRP11_xls]_97_207C_472"/>
      <sheetName val="[97_207COSRP11_xls]_97_207C_424"/>
      <sheetName val="[97_207COSRP11_xls]B________205"/>
      <sheetName val="[97_207COSRP11_xls]B________206"/>
      <sheetName val="[97_207COSRP11_xls]_97_207C_431"/>
      <sheetName val="[97_207COSRP11_xls]_97_207C_425"/>
      <sheetName val="[97_207COSRP11_xls]_97_207C_426"/>
      <sheetName val="[97_207COSRP11_xls]_97_207C_432"/>
      <sheetName val="[97_207COSRP11_xls]_97_207C_427"/>
      <sheetName val="[97_207COSRP11_xls]_97_207C_433"/>
      <sheetName val="[97_207COSRP11_xls]B________207"/>
      <sheetName val="[97_207COSRP11_xls]_97_207C_428"/>
      <sheetName val="[97_207COSRP11_xls]_97_207C_429"/>
      <sheetName val="[97_207COSRP11_xls]_97_207C_430"/>
      <sheetName val="[97_207COSRP11_xls]_97_207C_405"/>
      <sheetName val="[97_207COSRP11_xls]B________197"/>
      <sheetName val="[97_207COSRP11_xls]_97_207C_406"/>
      <sheetName val="[97_207COSRP11_xls]_97_207C_407"/>
      <sheetName val="[97_207COSRP11_xls]B________198"/>
      <sheetName val="[97_207COSRP11_xls]_97_207C_408"/>
      <sheetName val="[97_207COSRP11_xls]_97_207C_409"/>
      <sheetName val="[97_207COSRP11_xls]_97_207C_410"/>
      <sheetName val="[97_207COSRP11_xls]B________199"/>
      <sheetName val="[97_207COSRP11_xls]B________200"/>
      <sheetName val="[97_207COSRP11_xls]_97_207C_411"/>
      <sheetName val="[97_207COSRP11_xls]_97_207C_412"/>
      <sheetName val="[97_207COSRP11_xls]_97_207C_413"/>
      <sheetName val="[97_207COSRP11_xls]B________201"/>
      <sheetName val="[97_207COSRP11_xls]_97_207C_414"/>
      <sheetName val="[97_207COSRP11_xls]_97_207C_415"/>
      <sheetName val="[97_207COSRP11_xls]_97_207C_416"/>
      <sheetName val="[97_207COSRP11_xls]_97_207C_417"/>
      <sheetName val="[97_207COSRP11_xls]B________202"/>
      <sheetName val="[97_207COSRP11_xls]B________203"/>
      <sheetName val="[97_207COSRP11_xls]_97_207C_418"/>
      <sheetName val="[97_207COSRP11_xls]_97_207C_419"/>
      <sheetName val="[97_207COSRP11_xls]_97_207C_420"/>
      <sheetName val="[97_207COSRP11_xls]B________204"/>
      <sheetName val="[97_207COSRP11_xls]_97_207C_421"/>
      <sheetName val="[97_207COSRP11_xls]_97_207C_422"/>
      <sheetName val="[97_207COSRP11_xls]_97_207C_423"/>
      <sheetName val="[97_207COSRP11_xls]_97_207C_462"/>
      <sheetName val="[97_207COSRP11_xls]B________220"/>
      <sheetName val="[97_207COSRP11_xls]B________221"/>
      <sheetName val="[97_207COSRP11_xls]_97_207C_463"/>
      <sheetName val="[97_207COSRP11_xls]_97_207C_464"/>
      <sheetName val="[97_207COSRP11_xls]_97_207C_465"/>
      <sheetName val="[97_207COSRP11_xls]_97_207C_466"/>
      <sheetName val="[97_207COSRP11_xls]_97_207C_473"/>
      <sheetName val="[97_207COSRP11_xls]_97_207C_474"/>
      <sheetName val="[97_207COSRP11_xls]B________222"/>
      <sheetName val="[97_207COSRP11_xls]_97_207C_467"/>
      <sheetName val="[97_207COSRP11_xls]_97_207C_468"/>
      <sheetName val="[97_207COSRP11_xls]_97_207C_434"/>
      <sheetName val="[97_207COSRP11_xls]B________208"/>
      <sheetName val="[97_207COSRP11_xls]B________209"/>
      <sheetName val="[97_207COSRP11_xls]_97_207C_435"/>
      <sheetName val="[97_207COSRP11_xls]_97_207C_436"/>
      <sheetName val="[97_207COSRP11_xls]_97_207C_437"/>
      <sheetName val="[97_207COSRP11_xls]_97_207C_438"/>
      <sheetName val="[97_207COSRP11_xls]B________210"/>
      <sheetName val="[97_207COSRP11_xls]_97_207C_439"/>
      <sheetName val="[97_207COSRP11_xls]_97_207C_440"/>
      <sheetName val="[97_207COSRP11_xls]_97_207C_441"/>
      <sheetName val="[97_207COSRP11_xls]B________211"/>
      <sheetName val="[97_207COSRP11_xls]B________212"/>
      <sheetName val="[97_207COSRP11_xls]_97_207C_442"/>
      <sheetName val="[97_207COSRP11_xls]_97_207C_443"/>
      <sheetName val="[97_207COSRP11_xls]_97_207C_444"/>
      <sheetName val="[97_207COSRP11_xls]_97_207C_445"/>
      <sheetName val="[97_207COSRP11_xls]B________213"/>
      <sheetName val="[97_207COSRP11_xls]_97_207C_446"/>
      <sheetName val="[97_207COSRP11_xls]_97_207C_447"/>
      <sheetName val="[97_207COSRP11_xls]_97_207C_448"/>
      <sheetName val="[97_207COSRP11_xls]B________214"/>
      <sheetName val="[97_207COSRP11_xls]B________215"/>
      <sheetName val="[97_207COSRP11_xls]_97_207C_449"/>
      <sheetName val="[97_207COSRP11_xls]_97_207C_450"/>
      <sheetName val="[97_207COSRP11_xls]_97_207C_451"/>
      <sheetName val="[97_207COSRP11_xls]_97_207C_452"/>
      <sheetName val="[97_207COSRP11_xls]B________216"/>
      <sheetName val="[97_207COSRP11_xls]_97_207C_453"/>
      <sheetName val="[97_207COSRP11_xls]_97_207C_454"/>
      <sheetName val="[97_207COSRP11_xls]_97_207C_455"/>
      <sheetName val="[97_207COSRP11_xls]B________217"/>
      <sheetName val="[97_207COSRP11_xls]B________218"/>
      <sheetName val="[97_207COSRP11_xls]_97_207C_456"/>
      <sheetName val="[97_207COSRP11_xls]_97_207C_457"/>
      <sheetName val="[97_207COSRP11_xls]_97_207C_458"/>
      <sheetName val="[97_207COSRP11_xls]_97_207C_459"/>
      <sheetName val="[97_207COSRP11_xls]B________219"/>
      <sheetName val="[97_207COSRP11_xls]_97_207C_460"/>
      <sheetName val="[97_207COSRP11_xls]_97_207C_461"/>
      <sheetName val="[97_207COSRP11_xls]_97_207C_469"/>
      <sheetName val="[97_207COSRP11_xls]_97_207C_470"/>
      <sheetName val="[97_207COSRP11_xls]_97_207C_471"/>
      <sheetName val="[97_207COSRP11_xls]B________223"/>
      <sheetName val="[97_207COSRP11_xls]B________224"/>
      <sheetName val="[97_207COSRP11_xls]_97_207C_475"/>
      <sheetName val="[97_207COSRP11_xls]_97_207C_476"/>
      <sheetName val="[97_207COSRP11_xls]_97_207C_480"/>
      <sheetName val="[97_207COSRP11_xls]B________225"/>
      <sheetName val="[97_207COSRP11_xls]B________226"/>
      <sheetName val="[97_207COSRP11_xls]_97_207C_485"/>
      <sheetName val="[97_207COSRP11_xls]_97_207C_481"/>
      <sheetName val="[97_207COSRP11_xls]_97_207C_482"/>
      <sheetName val="[97_207COSRP11_xls]_97_207C_483"/>
      <sheetName val="[97_207COSRP11_xls]_97_207C_484"/>
      <sheetName val="[97_207COSRP11_xls]_97_207C_477"/>
      <sheetName val="[97_207COSRP11_xls]_97_207C_478"/>
      <sheetName val="[97_207COSRP11_xls]_97_207C_479"/>
      <sheetName val="[97_207COSRP11_xls]_97_207C_486"/>
      <sheetName val="[97_207COSRP11_xls]B________229"/>
      <sheetName val="[97_207COSRP11_xls]B________230"/>
      <sheetName val="[97_207COSRP11_xls]_97_207C_493"/>
      <sheetName val="[97_207COSRP11_xls]_97_207C_494"/>
      <sheetName val="[97_207COSRP11_xls]_97_207C_502"/>
      <sheetName val="[97_207COSRP11_xls]_97_207C_495"/>
      <sheetName val="[97_207COSRP11_xls]_97_207C_496"/>
      <sheetName val="[97_207COSRP11_xls]_97_207C_497"/>
      <sheetName val="[97_207COSRP11_xls]_97_207C_498"/>
      <sheetName val="[97_207COSRP11_xls]B________231"/>
      <sheetName val="[97_207COSRP11_xls]B________232"/>
      <sheetName val="[97_207COSRP11_xls]_97_207C_499"/>
      <sheetName val="[97_207COSRP11_xls]_97_207C_500"/>
      <sheetName val="[97_207COSRP11_xls]_97_207C_517"/>
      <sheetName val="[97_207COSRP11_xls]_97_207C_503"/>
      <sheetName val="[97_207COSRP11_xls]B________241"/>
      <sheetName val="[97_207COSRP11_xls]B________242"/>
      <sheetName val="[97_207COSRP11_xls]_97_207C_518"/>
      <sheetName val="[97_207COSRP11_xls]_97_207C_519"/>
      <sheetName val="[97_207COSRP11_xls]_97_207C_504"/>
      <sheetName val="[97_207COSRP11_xls]_97_207C_505"/>
      <sheetName val="[97_207COSRP11_xls]B________233"/>
      <sheetName val="[97_207COSRP11_xls]B________234"/>
      <sheetName val="[97_207COSRP11_xls]_97_207C_506"/>
      <sheetName val="[97_207COSRP11_xls]_97_207C_507"/>
      <sheetName val="[97_207COSRP11_xls]_97_207C_508"/>
      <sheetName val="[97_207COSRP11_xls]B________235"/>
      <sheetName val="[97_207COSRP11_xls]B________236"/>
      <sheetName val="[97_207COSRP11_xls]_97_207C_509"/>
      <sheetName val="[97_207COSRP11_xls]_97_207C_510"/>
      <sheetName val="[97_207COSRP11_xls]_97_207C_511"/>
      <sheetName val="[97_207COSRP11_xls]B________237"/>
      <sheetName val="[97_207COSRP11_xls]B________238"/>
      <sheetName val="[97_207COSRP11_xls]_97_207C_512"/>
      <sheetName val="[97_207COSRP11_xls]_97_207C_513"/>
      <sheetName val="[97_207COSRP11_xls]_97_207C_514"/>
      <sheetName val="[97_207COSRP11_xls]B________239"/>
      <sheetName val="[97_207COSRP11_xls]B________240"/>
      <sheetName val="[97_207COSRP11_xls]_97_207C_515"/>
      <sheetName val="[97_207COSRP11_xls]_97_207C_516"/>
      <sheetName val="[97_207COSRP11_xls]_97_207C_526"/>
      <sheetName val="[97_207COSRP11_xls]_97_207C_527"/>
      <sheetName val="[97_207COSRP11_xls]B________245"/>
      <sheetName val="[97_207COSRP11_xls]B________246"/>
      <sheetName val="[97_207COSRP11_xls]_97_207C_528"/>
      <sheetName val="[97_207COSRP11_xls]_97_207C_529"/>
      <sheetName val="[97_207COSRP11_xls]B________249"/>
      <sheetName val="[97_207COSRP11_xls]B________250"/>
      <sheetName val="[97_207COSRP11_xls]_97_207C_541"/>
      <sheetName val="[97_207COSRP11_xls]_97_207C_538"/>
      <sheetName val="[97_207COSRP11_xls]_97_207C_539"/>
      <sheetName val="[97_207COSRP11_xls]_97_207C_540"/>
      <sheetName val="[97_207COSRP11_xls]_97_207C_530"/>
      <sheetName val="[97_207COSRP11_xls]_97_207C_531"/>
      <sheetName val="[97_207COSRP11_xls]B________247"/>
      <sheetName val="[97_207COSRP11_xls]B________248"/>
      <sheetName val="[97_207COSRP11_xls]_97_207C_536"/>
      <sheetName val="[97_207COSRP11_xls]_97_207C_532"/>
      <sheetName val="[97_207COSRP11_xls]_97_207C_533"/>
      <sheetName val="[97_207COSRP11_xls]_97_207C_534"/>
      <sheetName val="[97_207COSRP11_xls]_97_207C_537"/>
      <sheetName val="[97_207COSRP11_xls]_97_207C_535"/>
      <sheetName val="MN T.B."/>
      <sheetName val="[97_207COSRP11.xls]B________259"/>
      <sheetName val="[97_207COSRP11.xls]B________260"/>
      <sheetName val="[97_207COSRP11.xls]B________257"/>
      <sheetName val="[97_207COSRP11.xls]B________258"/>
      <sheetName val="[97_207COSRP11.xls]B________261"/>
      <sheetName val="[97_207COSRP11.xls]B________262"/>
      <sheetName val="[97_207COSRP11.xls]B________272"/>
      <sheetName val="[97_207COSRP11.xls]B________273"/>
      <sheetName val="[97_207COSRP11.xls]B________263"/>
      <sheetName val="[97_207COSRP11.xls]B________266"/>
      <sheetName val="[97_207COSRP11.xls]B________267"/>
      <sheetName val="[97_207COSRP11.xls]B________264"/>
      <sheetName val="[97_207COSRP11.xls]B________265"/>
      <sheetName val="[97_207COSRP11.xls]B________268"/>
      <sheetName val="[97_207COSRP11.xls]B________269"/>
      <sheetName val="[97_207COSRP11.xls]B________270"/>
      <sheetName val="[97_207COSRP11.xls]B________271"/>
      <sheetName val="[97_207COSRP11.xls]B________274"/>
      <sheetName val="[97_207COSRP11.xls]B________275"/>
      <sheetName val="[97_207COSRP11.xls]B________276"/>
      <sheetName val="[97_207COSRP11.xls]B________280"/>
      <sheetName val="[97_207COSRP11.xls]B________281"/>
      <sheetName val="[97_207COSRP11.xls]_97_207_2508"/>
      <sheetName val="[97_207COSRP11.xls]B________835"/>
      <sheetName val="[97_207COSRP11.xls]B________836"/>
      <sheetName val="[97_207COSRP11.xls]_97_207_2512"/>
      <sheetName val="[97_207COSRP11.xls]_97_207_2509"/>
      <sheetName val="[97_207COSRP11.xls]_97_207_2510"/>
      <sheetName val="[97_207COSRP11.xls]_97_207_2511"/>
      <sheetName val="[97_207COSRP11.xls]_97_207_2503"/>
      <sheetName val="[97_207COSRP11.xls]B________833"/>
      <sheetName val="[97_207COSRP11.xls]B________834"/>
      <sheetName val="[97_207COSRP11.xls]_97_207_2507"/>
      <sheetName val="[97_207COSRP11.xls]_97_207_2504"/>
      <sheetName val="[97_207COSRP11.xls]_97_207_2505"/>
      <sheetName val="[97_207COSRP11.xls]_97_207_2506"/>
      <sheetName val="[97_207COSRP11.xls]B________321"/>
      <sheetName val="[97_207COSRP11.xls]B________322"/>
      <sheetName val="[97_207COSRP11.xls]_97_207C_751"/>
      <sheetName val="[97_207COSRP11.xls]_97_207C_752"/>
      <sheetName val="SP Break Up"/>
      <sheetName val="BHANDUP"/>
      <sheetName val="acevsSp (ABC)"/>
      <sheetName val="Q&amp;pl-V"/>
      <sheetName val="Labor abs-NMR"/>
      <sheetName val="[97_207COSRP11.xls]B________291"/>
      <sheetName val="[97_207COSRP11.xls]B________292"/>
      <sheetName val="[97_207COSRP11.xls]B________287"/>
      <sheetName val="[97_207COSRP11.xls]B________288"/>
      <sheetName val="[97_207COSRP11.xls]B________282"/>
      <sheetName val="[97_207COSRP11.xls]B________285"/>
      <sheetName val="[97_207COSRP11.xls]B________286"/>
      <sheetName val="[97_207COSRP11.xls]B________283"/>
      <sheetName val="[97_207COSRP11.xls]B________284"/>
      <sheetName val="[97_207COSRP11.xls]B________289"/>
      <sheetName val="[97_207COSRP11.xls]B________290"/>
      <sheetName val="[97_207COSRP11.xls]B________297"/>
      <sheetName val="[97_207COSRP11.xls]B________298"/>
      <sheetName val="[97_207COSRP11.xls]B________293"/>
      <sheetName val="[97_207COSRP11.xls]B________294"/>
      <sheetName val="[97_207COSRP11.xls]B________295"/>
      <sheetName val="[97_207COSRP11.xls]B________296"/>
      <sheetName val="[97_207COSRP11.xls]B________299"/>
      <sheetName val="[97_207COSRP11.xls]B________300"/>
      <sheetName val="[97_207COSRP11.xls]B________301"/>
      <sheetName val="[97_207COSRP11.xls]B________302"/>
      <sheetName val="[97_207COSRP11.xls]B________303"/>
      <sheetName val="[97_207COSRP11.xls]B________304"/>
      <sheetName val="[97_207COSRP11.xls]B________305"/>
      <sheetName val="[97_207COSRP11.xls]B________306"/>
      <sheetName val="[97_207COSRP11.xls]B________307"/>
      <sheetName val="[97_207COSRP11.xls]B________308"/>
      <sheetName val="[97_207COSRP11.xls]B________311"/>
      <sheetName val="[97_207COSRP11.xls]B________312"/>
      <sheetName val="[97_207COSRP11.xls]B________309"/>
      <sheetName val="[97_207COSRP11.xls]B________310"/>
      <sheetName val="[97_207COSRP11.xls]_97_207C_715"/>
      <sheetName val="[97_207COSRP11.xls]_97_207C_718"/>
      <sheetName val="[97_207COSRP11.xls]_97_207C_716"/>
      <sheetName val="[97_207COSRP11.xls]_97_207C_717"/>
      <sheetName val="[97_207COSRP11.xls]_97_207C_712"/>
      <sheetName val="[97_207COSRP11.xls]_97_207C_713"/>
      <sheetName val="[97_207COSRP11.xls]_97_207C_714"/>
      <sheetName val="core data"/>
      <sheetName val="[97_207COSRP11.xls]_97_207C_709"/>
      <sheetName val="[97_207COSRP11.xls]_97_207C_702"/>
      <sheetName val="[97_207COSRP11.xls]_97_207C_697"/>
      <sheetName val="[97_207COSRP11.xls]_97_207C_701"/>
      <sheetName val="[97_207COSRP11.xls]_97_207C_698"/>
      <sheetName val="[97_207COSRP11.xls]_97_207C_699"/>
      <sheetName val="[97_207COSRP11.xls]_97_207C_689"/>
      <sheetName val="[97_207COSRP11.xls]_97_207C_690"/>
      <sheetName val="[97_207COSRP11.xls]_97_207C_691"/>
      <sheetName val="[97_207COSRP11.xls]_97_207C_692"/>
      <sheetName val="[97_207COSRP11.xls]_97_207C_700"/>
      <sheetName val="[97_207COSRP11.xls]_97_207C_682"/>
      <sheetName val="[97_207COSRP11.xls]_97_207C_687"/>
      <sheetName val="[97_207COSRP11.xls]_97_207C_683"/>
      <sheetName val="[97_207COSRP11.xls]_97_207C_684"/>
      <sheetName val="[97_207COSRP11.xls]_97_207C_685"/>
      <sheetName val="[97_207COSRP11.xls]_97_207C_688"/>
      <sheetName val="[97_207COSRP11.xls]_97_207C_686"/>
      <sheetName val="[97_207COSRP11.xls]_97_207C_693"/>
      <sheetName val="[97_207COSRP11.xls]_97_207C_694"/>
      <sheetName val="[97_207COSRP11.xls]_97_207C_695"/>
      <sheetName val="[97_207COSRP11.xls]_97_207C_696"/>
      <sheetName val="[97_207COSRP11.xls]_97_207C_704"/>
      <sheetName val="[97_207COSRP11.xls]_97_207C_703"/>
      <sheetName val="[97_207COSRP11.xls]_97_207C_705"/>
      <sheetName val="[97_207COSRP11.xls]_97_207C_708"/>
      <sheetName val="[97_207COSRP11.xls]_97_207C_706"/>
      <sheetName val="[97_207COSRP11.xls]_97_207C_707"/>
      <sheetName val="[97_207COSRP11.xls]_97_207C_711"/>
      <sheetName val="[97_207COSRP11.xls]_97_207C_710"/>
      <sheetName val="[97_207COSRP11.xls]_97_207C_719"/>
      <sheetName val="[97_207COSRP11.xls]_97_207C_722"/>
      <sheetName val="[97_207COSRP11.xls]_97_207C_720"/>
      <sheetName val="[97_207COSRP11.xls]_97_207C_721"/>
      <sheetName val="[97_207COSRP11.xls]_97_207C_725"/>
      <sheetName val="[97_207COSRP11.xls]_97_207C_723"/>
      <sheetName val="[97_207COSRP11.xls]_97_207C_724"/>
      <sheetName val="[97_207COSRP11.xls]_97_207C_726"/>
      <sheetName val="[97_207COSRP11.xls]_97_207C_729"/>
      <sheetName val="[97_207COSRP11.xls]_97_207C_727"/>
      <sheetName val="[97_207COSRP11.xls]_97_207C_728"/>
      <sheetName val="[97_207COSRP11.xls]_97_207C_730"/>
      <sheetName val="[97_207COSRP11.xls]_97_207C_731"/>
      <sheetName val="[97_207COSRP11.xls]_97_207C_732"/>
      <sheetName val="[97_207COSRP11.xls]_97_207C_740"/>
      <sheetName val="[97_207COSRP11.xls]_97_207C_733"/>
      <sheetName val="[97_207COSRP11.xls]_97_207C_734"/>
      <sheetName val="[97_207COSRP11.xls]B________313"/>
      <sheetName val="[97_207COSRP11.xls]_97_207C_743"/>
      <sheetName val="[97_207COSRP11.xls]_97_207C_741"/>
      <sheetName val="[97_207COSRP11.xls]_97_207C_742"/>
      <sheetName val="[97_207COSRP11.xls]_97_207C_739"/>
      <sheetName val="[97_207COSRP11.xls]_97_207C_736"/>
      <sheetName val="[97_207COSRP11.xls]_97_207C_735"/>
      <sheetName val="[97_207COSRP11.xls]_97_207C_738"/>
      <sheetName val="[97_207COSRP11.xls]_97_207C_737"/>
      <sheetName val="[97_207COSRP11.xls]B________314"/>
      <sheetName val="[97_207COSRP11.xls]B________315"/>
      <sheetName val="[97_207COSRP11.xls]_97_207C_746"/>
      <sheetName val="[97_207COSRP11.xls]_97_207C_744"/>
      <sheetName val="[97_207COSRP11.xls]_97_207C_745"/>
      <sheetName val="[97_207COSRP11.xls]B________316"/>
      <sheetName val="[97_207COSRP11.xls]B________317"/>
      <sheetName val="[97_207COSRP11.xls]B________318"/>
      <sheetName val="[97_207COSRP11.xls]_97_207C_747"/>
      <sheetName val="[97_207COSRP11.xls]B________319"/>
      <sheetName val="[97_207COSRP11.xls]B________320"/>
      <sheetName val="[97_207COSRP11.xls]_97_207C_750"/>
      <sheetName val="[97_207COSRP11.xls]_97_207C_748"/>
      <sheetName val="[97_207COSRP11.xls]_97_207C_749"/>
      <sheetName val="[97_207COSRP11.xls]_97_207C_783"/>
      <sheetName val="[97_207COSRP11.xls]B________335"/>
      <sheetName val="[97_207COSRP11.xls]B________336"/>
      <sheetName val="[97_207COSRP11.xls]_97_207C_762"/>
      <sheetName val="[97_207COSRP11.xls]_97_207C_761"/>
      <sheetName val="[97_207COSRP11.xls]B________323"/>
      <sheetName val="[97_207COSRP11.xls]B________324"/>
      <sheetName val="[97_207COSRP11.xls]_97_207C_754"/>
      <sheetName val="[97_207COSRP11.xls]_97_207C_753"/>
      <sheetName val="[97_207COSRP11.xls]B________325"/>
      <sheetName val="[97_207COSRP11.xls]B________326"/>
      <sheetName val="[97_207COSRP11.xls]B________327"/>
      <sheetName val="[97_207COSRP11.xls]B________328"/>
      <sheetName val="[97_207COSRP11.xls]B________329"/>
      <sheetName val="[97_207COSRP11.xls]B________330"/>
      <sheetName val="[97_207COSRP11.xls]_97_207C_755"/>
      <sheetName val="[97_207COSRP11.xls]B________331"/>
      <sheetName val="[97_207COSRP11.xls]B________332"/>
      <sheetName val="[97_207COSRP11.xls]_97_207C_759"/>
      <sheetName val="[97_207COSRP11.xls]_97_207C_756"/>
      <sheetName val="[97_207COSRP11.xls]_97_207C_757"/>
      <sheetName val="[97_207COSRP11.xls]_97_207C_758"/>
      <sheetName val="[97_207COSRP11.xls]B________333"/>
      <sheetName val="[97_207COSRP11.xls]B________334"/>
      <sheetName val="[97_207COSRP11.xls]_97_207C_760"/>
      <sheetName val="[97_207COSRP11.xls]B________337"/>
      <sheetName val="[97_207COSRP11.xls]B________338"/>
      <sheetName val="[97_207COSRP11.xls]_97_207C_763"/>
      <sheetName val="[97_207COSRP11.xls]_97_207C_764"/>
      <sheetName val="[97_207COSRP11.xls]B________339"/>
      <sheetName val="[97_207COSRP11.xls]B________340"/>
      <sheetName val="[97_207COSRP11.xls]_97_207C_765"/>
      <sheetName val="[97_207COSRP11.xls]B________347"/>
      <sheetName val="[97_207COSRP11.xls]_97_207C_782"/>
      <sheetName val="[97_207COSRP11.xls]B________348"/>
      <sheetName val="[97_207COSRP11.xls]_97_207C_766"/>
      <sheetName val="[97_207COSRP11.xls]B________341"/>
      <sheetName val="[97_207COSRP11.xls]B________342"/>
      <sheetName val="[97_207COSRP11.xls]_97_207C_767"/>
      <sheetName val="[97_207COSRP11.xls]_97_207C_768"/>
      <sheetName val="[97_207COSRP11.xls]B________343"/>
      <sheetName val="[97_207COSRP11.xls]B________344"/>
      <sheetName val="[97_207COSRP11.xls]_97_207C_772"/>
      <sheetName val="[97_207COSRP11.xls]_97_207C_769"/>
      <sheetName val="[97_207COSRP11.xls]_97_207C_770"/>
      <sheetName val="[97_207COSRP11.xls]_97_207C_771"/>
      <sheetName val="[97_207COSRP11.xls]_97_207C_773"/>
      <sheetName val="[97_207COSRP11.xls]_97_207C_776"/>
      <sheetName val="[97_207COSRP11.xls]_97_207C_774"/>
      <sheetName val="[97_207COSRP11.xls]B________345"/>
      <sheetName val="[97_207COSRP11.xls]B________346"/>
      <sheetName val="[97_207COSRP11.xls]_97_207C_781"/>
      <sheetName val="[97_207COSRP11.xls]_97_207C_777"/>
      <sheetName val="[97_207COSRP11.xls]_97_207C_778"/>
      <sheetName val="[97_207COSRP11.xls]_97_207C_779"/>
      <sheetName val="[97_207COSRP11.xls]_97_207C_775"/>
      <sheetName val="[97_207COSRP11.xls]_97_207C_780"/>
      <sheetName val="[97_207COSRP11.xls]B________349"/>
      <sheetName val="[97_207COSRP11.xls]B________350"/>
      <sheetName val="[97_207COSRP11.xls]_97_207C_784"/>
      <sheetName val="[97_207COSRP11.xls]B________353"/>
      <sheetName val="[97_207COSRP11.xls]B________354"/>
      <sheetName val="[97_207COSRP11.xls]_97_207C_787"/>
      <sheetName val="[97_207COSRP11.xls]_97_207C_786"/>
      <sheetName val="[97_207COSRP11.xls]B________351"/>
      <sheetName val="[97_207COSRP11.xls]B________352"/>
      <sheetName val="[97_207COSRP11.xls]_97_207C_785"/>
      <sheetName val="[97_207COSRP11.xls]B________355"/>
      <sheetName val="[97_207COSRP11.xls]B________356"/>
      <sheetName val="[97_207COSRP11.xls]_97_207C_788"/>
      <sheetName val="[97_207COSRP11.xls]B________357"/>
      <sheetName val="[97_207COSRP11.xls]B________358"/>
      <sheetName val="[97_207COSRP11.xls]_97_207C_789"/>
      <sheetName val="[97_207COSRP11.xls]B________359"/>
      <sheetName val="[97_207COSRP11.xls]B________360"/>
      <sheetName val="[97_207COSRP11.xls]_97_207C_791"/>
      <sheetName val="[97_207COSRP11.xls]_97_207C_790"/>
      <sheetName val="[97_207COSRP11.xls]_97_207C_792"/>
      <sheetName val="[97_207COSRP11.xls]B________361"/>
      <sheetName val="[97_207COSRP11.xls]B________362"/>
      <sheetName val="[97_207COSRP11.xls]_97_207C_798"/>
      <sheetName val="[97_207COSRP11.xls]_97_207C_793"/>
      <sheetName val="[97_207COSRP11.xls]_97_207C_794"/>
      <sheetName val="[97_207COSRP11.xls]_97_207C_795"/>
      <sheetName val="[97_207COSRP11.xls]_97_207C_796"/>
      <sheetName val="[97_207COSRP11.xls]B________365"/>
      <sheetName val="[97_207COSRP11.xls]B________366"/>
      <sheetName val="[97_207COSRP11.xls]_97_207C_799"/>
      <sheetName val="[97_207COSRP11.xls]_97_207C_797"/>
      <sheetName val="[97_207COSRP11.xls]B________363"/>
      <sheetName val="[97_207COSRP11.xls]B________364"/>
      <sheetName val="[97_207COSRP11.xls]B________367"/>
      <sheetName val="[97_207COSRP11.xls]B________368"/>
      <sheetName val="[97_207COSRP11.xls]_97_207C_801"/>
      <sheetName val="[97_207COSRP11.xls]_97_207C_800"/>
      <sheetName val="[97_207COSRP11.xls]_97_207C_803"/>
      <sheetName val="[97_207COSRP11.xls]B________369"/>
      <sheetName val="[97_207COSRP11.xls]B________370"/>
      <sheetName val="[97_207COSRP11.xls]_97_207C_804"/>
      <sheetName val="[97_207COSRP11.xls]_97_207C_802"/>
      <sheetName val="[97_207COSRP11.xls]_97_207C_805"/>
      <sheetName val="[97_207COSRP11.xls]_97_207C_806"/>
      <sheetName val="[97_207COSRP11.xls]B________371"/>
      <sheetName val="[97_207COSRP11.xls]B________372"/>
      <sheetName val="[97_207COSRP11.xls]_97_207C_808"/>
      <sheetName val="[97_207COSRP11.xls]_97_207C_807"/>
      <sheetName val="[97_207COSRP11.xls]B________375"/>
      <sheetName val="[97_207COSRP11.xls]B________376"/>
      <sheetName val="[97_207COSRP11.xls]_97_207C_812"/>
      <sheetName val="[97_207COSRP11.xls]_97_207C_811"/>
      <sheetName val="[97_207COSRP11.xls]B________373"/>
      <sheetName val="[97_207COSRP11.xls]B________374"/>
      <sheetName val="cost_any."/>
      <sheetName val="[97_207COSRP11.xls]_97_207C_809"/>
      <sheetName val="[97_207COSRP11.xls]_97_207C_810"/>
      <sheetName val="[97_207COSRP11.xls]B________377"/>
      <sheetName val="[97_207COSRP11.xls]B________378"/>
      <sheetName val="[97_207COSRP11.xls]_97_207C_813"/>
      <sheetName val="[97_207COSRP11.xls]B________379"/>
      <sheetName val="[97_207COSRP11.xls]_97_207C_814"/>
      <sheetName val="[97_207COSRP11.xls]B________380"/>
      <sheetName val="[97_207COSRP11.xls]_97_207C_815"/>
      <sheetName val="[97_207COSRP11.xls]B________381"/>
      <sheetName val="[97_207COSRP11.xls]B________382"/>
      <sheetName val="[97_207COSRP11.xls]_97_207C_819"/>
      <sheetName val="[97_207COSRP11.xls]_97_207C_818"/>
      <sheetName val="[97_207COSRP11.xls]_97_207C_817"/>
      <sheetName val="[97_207COSRP11.xls]_97_207C_816"/>
      <sheetName val="[97_207COSRP11.xls]_97_207C_820"/>
      <sheetName val="[97_207COSRP11.xls]B________383"/>
      <sheetName val="[97_207COSRP11.xls]B________384"/>
      <sheetName val="[97_207COSRP11.xls]_97_207C_826"/>
      <sheetName val="[97_207COSRP11.xls]B________387"/>
      <sheetName val="[97_207COSRP11.xls]B________388"/>
      <sheetName val="[97_207COSRP11.xls]_97_207C_827"/>
      <sheetName val="[97_207COSRP11.xls]_97_207C_823"/>
      <sheetName val="[97_207COSRP11.xls]B________385"/>
      <sheetName val="[97_207COSRP11.xls]B________386"/>
      <sheetName val="[97_207COSRP11.xls]_97_207C_824"/>
      <sheetName val="[97_207COSRP11.xls]_97_207C_825"/>
      <sheetName val="[97_207COSRP11.xls]_97_207C_822"/>
      <sheetName val="[97_207COSRP11.xls]_97_207C_821"/>
      <sheetName val="[97_207COSRP11.xls]_97_207C_828"/>
      <sheetName val="[97_207COSRP11.xls]_97_207C_829"/>
      <sheetName val="[97_207COSRP11.xls]B________389"/>
      <sheetName val="[97_207COSRP11.xls]B________390"/>
      <sheetName val="[97_207COSRP11.xls]_97_207C_830"/>
      <sheetName val="[97_207COSRP11.xls]_97_207_1748"/>
      <sheetName val="[97_207COSRP11.xls]B________412"/>
      <sheetName val="[97_207COSRP11.xls]B________413"/>
      <sheetName val="[97_207COSRP11.xls]_97_207_1249"/>
      <sheetName val="[97_207COSRP11.xls]_97_207_1744"/>
      <sheetName val="[97_207COSRP11.xls]_97_207_1250"/>
      <sheetName val="[97_207COSRP11.xls]_97_207_1251"/>
      <sheetName val="[97_207COSRP11.xls]_97_207_1252"/>
      <sheetName val="[97_207COSRP11.xls]B________391"/>
      <sheetName val="[97_207COSRP11.xls]B________392"/>
      <sheetName val="[97_207COSRP11.xls]_97_207C_831"/>
      <sheetName val="[97_207COSRP11.xls]B________404"/>
      <sheetName val="[97_207COSRP11.xls]B________405"/>
      <sheetName val="[97_207COSRP11.xls]_97_207_1237"/>
      <sheetName val="[97_207COSRP11.xls]_97_207_1239"/>
      <sheetName val="core_data"/>
      <sheetName val="PROV_SUMS6"/>
      <sheetName val="PROV_QUANTITIES6"/>
      <sheetName val="RES_STEEL_TO6"/>
      <sheetName val="Data_sheet5"/>
      <sheetName val="Per_Unit5"/>
      <sheetName val="Fin_Sum6"/>
      <sheetName val="SPT_vs_PHI5"/>
      <sheetName val="Switch_&amp;_Sockets5"/>
      <sheetName val="25mm_PVC_Conduit5"/>
      <sheetName val="FLOOR_JB5"/>
      <sheetName val="Light_Fittings5"/>
      <sheetName val="CABLE_TRAY5"/>
      <sheetName val="32MM_PVC_CONDUIT5"/>
      <sheetName val="Point_Wiring5"/>
      <sheetName val="3RX2_5SQMM_WIRE5"/>
      <sheetName val="3CX2_5SQMM_WIRES5"/>
      <sheetName val="3CX4_00SQMM5"/>
      <sheetName val="PPA_Summary5"/>
      <sheetName val="beam-reinft-IIInd_floor5"/>
      <sheetName val="India_F&amp;S_Template5"/>
      <sheetName val="Materials_Cost(PCC)5"/>
      <sheetName val="MASTER_RATE_ANALYSIS4"/>
      <sheetName val="PRECAST_lightconc-II4"/>
      <sheetName val="Synergy_Sales_Budget4"/>
      <sheetName val="Break_up_Sheet4"/>
      <sheetName val="Paym__Recom4"/>
      <sheetName val="DC_-_DB_&amp;_MCB4"/>
      <sheetName val="inst__-_Pt_Wr_(cl-2)4"/>
      <sheetName val="Su__-_Pt_Wr4"/>
      <sheetName val="Su__Pwr_Wr4"/>
      <sheetName val="Inst__Pwr_Wr_(cl-2)4"/>
      <sheetName val="Su__-_Cor4"/>
      <sheetName val="Ins_-_Cor_4"/>
      <sheetName val="Earth_strip&amp;_fittings4"/>
      <sheetName val="DC__S_&amp;_So4"/>
      <sheetName val="Install_LIFT_SHAFT_4"/>
      <sheetName val="Su_solar_pt4"/>
      <sheetName val="SU_LIFT_SHAFT4"/>
      <sheetName val="DC_-Conduit4"/>
      <sheetName val="DC_wiring4"/>
      <sheetName val="PA-_Consutant_3"/>
      <sheetName val="beam-reinft-machine_rm3"/>
      <sheetName val="E_&amp;_R3"/>
      <sheetName val="Appendix_-3-_Rcov__Mat_supplie2"/>
      <sheetName val="WORK_TABLE2"/>
      <sheetName val="ABP_inputs2"/>
      <sheetName val="List_of_contractors2"/>
      <sheetName val="Debits_as_on_12_04_082"/>
      <sheetName val="glass_project_concrete5"/>
      <sheetName val="glass_project_reift5"/>
      <sheetName val="glass_project_indices5"/>
      <sheetName val="SBC-BH_194"/>
      <sheetName val="Summary_05063"/>
      <sheetName val="Summary_0607-_31_MAR3"/>
      <sheetName val="Civil_Boq3"/>
      <sheetName val="Pile_cap3"/>
      <sheetName val="BH_12-11-10-134"/>
      <sheetName val="BH_12-11-10-94"/>
      <sheetName val="BH_36-15-374"/>
      <sheetName val="BH_16-35-25-174"/>
      <sheetName val="BH_35-25-174"/>
      <sheetName val="Sheet1_(2)4"/>
      <sheetName val="d-safe_DELUXE3"/>
      <sheetName val="V_O_4_-_PCC_Qty3"/>
      <sheetName val="TBAL9697_-group_wise__sdpl3"/>
      <sheetName val="Abstract_Sheet3"/>
      <sheetName val="Mix_Design3"/>
      <sheetName val="RCC,Ret__Wall3"/>
      <sheetName val="Form_63"/>
      <sheetName val="PointNo_53"/>
      <sheetName val="Legal_Risk_Analysis3"/>
      <sheetName val="Load_Details-220kV2"/>
      <sheetName val="Fill_this_out_first___2"/>
      <sheetName val="REVISED4A_PROG_PERF-SITE_1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BOQ_Direct_selling_cost2"/>
      <sheetName val="BOQ_(2)2"/>
      <sheetName val="CABLE_DATA2"/>
      <sheetName val="Staff_Acco_2"/>
      <sheetName val="Pipe_Supports2"/>
      <sheetName val="final_abstract2"/>
      <sheetName val="INPUT_SHEET2"/>
      <sheetName val="Rev_S1_Abstract2"/>
      <sheetName val="Quantity_Abstract2"/>
      <sheetName val="M-Book_for_Conc2"/>
      <sheetName val="M-Book_for_FW2"/>
      <sheetName val="Project_Budget_Worksheet3"/>
      <sheetName val="BOQ_-II_ph_22"/>
      <sheetName val="d-safe_specs2"/>
      <sheetName val="class_&amp;_category2"/>
      <sheetName val="SSR_&amp;_NSSR_Market_final2"/>
      <sheetName val="Fee_Rate_Summary2"/>
      <sheetName val="STAFFSCHED_2"/>
      <sheetName val="220_11__BS_2"/>
      <sheetName val="Metso_-_Forth_&amp;_Slurry_11_02_12"/>
      <sheetName val="precast_RC_element2"/>
      <sheetName val="Change_Order_Log2"/>
      <sheetName val="Material_List_2"/>
      <sheetName val="foot-slab_reinft2"/>
      <sheetName val="GR_slab-reinft2"/>
      <sheetName val="Key_Ratios1"/>
      <sheetName val="CONC__&amp;_STEEL_-_PILES2"/>
      <sheetName val="Sub_Contractors_list1"/>
      <sheetName val="Strwise_Qty1"/>
      <sheetName val="NMR_(2)1"/>
      <sheetName val="[97_207COSRP11_xls][97_207COSR2"/>
      <sheetName val="ACAD_Finishes2"/>
      <sheetName val="Site_Details2"/>
      <sheetName val="Site_Area_Statement2"/>
      <sheetName val="Mat_Cost2"/>
      <sheetName val="입찰내역_발주처_양식2"/>
      <sheetName val="Basement_Budget2"/>
      <sheetName val="SC_Cost_FEB_031"/>
      <sheetName val="Bed_Class2"/>
      <sheetName val="TRIAL_BALANCE2"/>
      <sheetName val="_97_207COSRP11_xls__97_207COSR1"/>
      <sheetName val="_97_207COSRP11_xls_B@_1"/>
      <sheetName val="Bank_Guarantee1"/>
      <sheetName val="Insurance_&amp;_Taxes(B1-2)1"/>
      <sheetName val="Structural_BOQ1"/>
      <sheetName val="Masonry_&amp;_Plaster1"/>
      <sheetName val="DETAILED__BOQ1"/>
      <sheetName val="Do_not_delete1"/>
      <sheetName val="_1"/>
      <sheetName val="3__Bulk_Check1"/>
      <sheetName val="2__Trade_Sum1"/>
      <sheetName val="[97_207COSRP11_xls]B__________1"/>
      <sheetName val="[97_207COSRP11_xls]_97_207COS_1"/>
      <sheetName val="[97_207COSRP11_xls]_97_207COS10"/>
      <sheetName val="[97_207COSRP11_xls]_97_207COS11"/>
      <sheetName val="[97_207COSRP11_xls]_97_207COS12"/>
      <sheetName val="[97_207COSRP11_xls]_97_207COS13"/>
      <sheetName val="[97_207COSRP11_xls]_97_207COS14"/>
      <sheetName val="[97_207COSRP11_xls]_97_207CO100"/>
      <sheetName val="[97_207COSRP11_xls]_97_207COS15"/>
      <sheetName val="[97_207COSRP11_xls]_97_207COS16"/>
      <sheetName val="[97_207COSRP11_xls]_97_207CO101"/>
      <sheetName val="[97_207COSRP11_xls]_97_207CO102"/>
      <sheetName val="[97_207COSRP11_xls]_97_207CO103"/>
      <sheetName val="[97_207COSRP11_xls]_97_207CO104"/>
      <sheetName val="[97_207COSRP11_xls]_97_207CO105"/>
      <sheetName val="[97_207COSRP11_xls]_97_207CO106"/>
      <sheetName val="[97_207COSRP11_xls]_97_207CO107"/>
      <sheetName val="[97_207COSRP11_xls]_97_207CO108"/>
      <sheetName val="[97_207COSRP11_xls]_97_207CO109"/>
      <sheetName val="[97_207COSRP11_xls]_97_207CO110"/>
      <sheetName val="[97_207COSRP11_xls]_97_207CO111"/>
      <sheetName val="[97_207COSRP11_xls]_97_207CO112"/>
      <sheetName val="[97_207COSRP11_xls]_97_207CO113"/>
      <sheetName val="[97_207COSRP11_xls]_97_207CO114"/>
      <sheetName val="[97_207COSRP11_xls]_97_207CO115"/>
      <sheetName val="[97_207COSRP11_xls]_97_207CO116"/>
      <sheetName val="[97_207COSRP11_xls]_97_207CO117"/>
      <sheetName val="[97_207COSRP11_xls]_97_207CO118"/>
      <sheetName val="[97_207COSRP11_xls]_97_207CO119"/>
      <sheetName val="Ins_&amp;_Bonds1"/>
      <sheetName val="S_&amp;_A1"/>
      <sheetName val="Operating_Statistics1"/>
      <sheetName val="BOQ_LT1"/>
      <sheetName val="LABOUR_SALARY_1"/>
      <sheetName val="[97_207COSRP11_xls]B@[1"/>
      <sheetName val="Basic_Rate1"/>
      <sheetName val="INFLUENCES_ON_GM1"/>
      <sheetName val="Boq_(Main_Building)1"/>
      <sheetName val="[97_207COSRP11_xls]_97_207CO120"/>
      <sheetName val="[97_207COSRP11_xls]_97_207CO121"/>
      <sheetName val="[97_207COSRP11_xls]_97_207CO122"/>
      <sheetName val="[97_207COSRP11_xls]_97_207CO123"/>
      <sheetName val="[97_207COSRP11_xls]_97_207CO124"/>
      <sheetName val="[97_207COSRP11_xls]_97_207CO125"/>
      <sheetName val="[97_207COSRP11_xls]_97_207CO126"/>
      <sheetName val="[97_207COSRP11_xls]_97_207CO127"/>
      <sheetName val="[97_207COSRP11_xls]_97_207CO128"/>
      <sheetName val="[97_207COSRP11_xls]_97_207CO129"/>
      <sheetName val="[97_207COSRP11_xls]_97_207CO130"/>
      <sheetName val="[97_207COSRP11_xls]_97_207CO131"/>
      <sheetName val="[97_207COSRP11_xls]_97_207CO132"/>
      <sheetName val="[97_207COSRP11_xls]_97_207CO133"/>
      <sheetName val="[97_207COSRP11_xls]_97_207CO134"/>
      <sheetName val="[97_207COSRP11_xls]_97_207CO135"/>
      <sheetName val="[97_207COSRP11_xls]_97_207CO136"/>
      <sheetName val="vb_9&amp;101"/>
      <sheetName val="Schedules_PL1"/>
      <sheetName val="Schedules_BS1"/>
      <sheetName val="[97_207COSRP11_xls]_97_207CO137"/>
      <sheetName val="[97_207COSRP11_xls]_97_207CO138"/>
      <sheetName val="[97_207COSRP11_xls]_97_207CO139"/>
      <sheetName val="[97_207COSRP11_xls]_97_207CO140"/>
      <sheetName val="[97_207COSRP11_xls]_97_207CO141"/>
      <sheetName val="[97_207COSRP11_xls]_97_207CO142"/>
      <sheetName val="[97_207COSRP11_xls]_97_207CO143"/>
      <sheetName val="[97_207COSRP11_xls]_97_207CO144"/>
      <sheetName val="[97_207COSRP11_xls]_97_207CO145"/>
      <sheetName val="[97_207COSRP11_xls]_97_207CO146"/>
      <sheetName val="[97_207COSRP11_xls]_97_207CO147"/>
      <sheetName val="[97_207COSRP11_xls]_97_207CO148"/>
      <sheetName val="[97_207COSRP11_xls]_97_207CO149"/>
      <sheetName val="[97_207COSRP11_xls]_97_207CO150"/>
      <sheetName val="[97_207COSRP11_xls]_97_207CO151"/>
      <sheetName val="[97_207COSRP11_xls]_97_207CO152"/>
      <sheetName val="[97_207COSRP11_xls]_97_207CO153"/>
      <sheetName val="[97_207COSRP11_xls]_97_207CO154"/>
      <sheetName val="[97_207COSRP11_xls]_97_207CO155"/>
      <sheetName val="[97_207COSRP11_xls]_97_207CO156"/>
      <sheetName val="[97_207COSRP11_xls]_97_207CO157"/>
      <sheetName val="[97_207COSRP11_xls]_97_207CO158"/>
      <sheetName val="[97_207COSRP11_xls]_97_207CO159"/>
      <sheetName val="[97_207COSRP11_xls]_97_207CO160"/>
      <sheetName val="[97_207COSRP11_xls]_97_207CO161"/>
      <sheetName val="[97_207COSRP11_xls]_97_207CO162"/>
      <sheetName val="[97_207COSRP11_xls]_97_207CO163"/>
      <sheetName val="[97_207COSRP11_xls]_97_207CO164"/>
      <sheetName val="[97_207COSRP11_xls]_97_207CO165"/>
      <sheetName val="[97_207COSRP11_xls]_97_207CO166"/>
      <sheetName val="[97_207COSRP11_xls]_97_207CO167"/>
      <sheetName val="[97_207COSRP11_xls]_97_207CO168"/>
      <sheetName val="[97_207COSRP11_xls]_97_207CO169"/>
      <sheetName val="[97_207COSRP11_xls]_97_207CO170"/>
      <sheetName val="[97_207COSRP11_xls]_97_207CO171"/>
      <sheetName val="[97_207COSRP11_xls]_97_207CO172"/>
      <sheetName val="[97_207COSRP11_xls]_97_207CO173"/>
      <sheetName val="[97_207COSRP11_xls]_97_207CO174"/>
      <sheetName val="[97_207COSRP11_xls]_97_207CO175"/>
      <sheetName val="[97_207COSRP11_xls]_97_207CO176"/>
      <sheetName val="[97_207COSRP11_xls]_97_207CO177"/>
      <sheetName val="[97_207COSRP11_xls]_97_207CO178"/>
      <sheetName val="[97_207COSRP11_xls]_97_207CO179"/>
      <sheetName val="[97_207COSRP11_xls]_97_207CO180"/>
      <sheetName val="[97_207COSRP11_xls]_97_207CO181"/>
      <sheetName val="[97_207COSRP11_xls]_97_207CO182"/>
      <sheetName val="[97_207COSRP11_xls]_97_207CO183"/>
      <sheetName val="[97_207COSRP11_xls]_97_207CO184"/>
      <sheetName val="[97_207COSRP11_xls]_97_207CO185"/>
      <sheetName val="[97_207COSRP11_xls]_97_207CO186"/>
      <sheetName val="[97_207COSRP11_xls]_97_207CO187"/>
      <sheetName val="[97_207COSRP11_xls]_97_207CO188"/>
      <sheetName val="[97_207COSRP11_xls]_97_207CO189"/>
      <sheetName val="P-Ins_&amp;_Bonds1"/>
      <sheetName val="P-Site_fac1"/>
      <sheetName val="P-Clients_fac1"/>
      <sheetName val="[97_207COSRP11_xls]B________251"/>
      <sheetName val="[97_207COSRP11_xls]B________252"/>
      <sheetName val="[97_207COSRP11_xls]B________253"/>
      <sheetName val="[97_207COSRP11_xls]B________254"/>
      <sheetName val="[97_207COSRP11_xls]B________255"/>
      <sheetName val="[97_207COSRP11_xls]B________256"/>
      <sheetName val="[97_207COSRP11_xls]B________257"/>
      <sheetName val="[97_207COSRP11_xls]B________258"/>
      <sheetName val="[97_207COSRP11_xls]B________259"/>
      <sheetName val="[97_207COSRP11_xls]B________260"/>
      <sheetName val="[97_207COSRP11_xls]B________261"/>
      <sheetName val="[97_207COSRP11_xls]B________262"/>
      <sheetName val="[97_207COSRP11_xls]B________263"/>
      <sheetName val="[97_207COSRP11_xls]B________264"/>
      <sheetName val="[97_207COSRP11_xls]B________265"/>
      <sheetName val="[97_207COSRP11_xls]B________266"/>
      <sheetName val="[97_207COSRP11_xls]B________267"/>
      <sheetName val="[97_207COSRP11_xls]B________268"/>
      <sheetName val="[97_207COSRP11_xls]B________269"/>
      <sheetName val="[97_207COSRP11_xls]B________270"/>
      <sheetName val="[97_207COSRP11_xls]B________271"/>
      <sheetName val="[97_207COSRP11_xls]B________272"/>
      <sheetName val="[97_207COSRP11_xls]B________273"/>
      <sheetName val="[97_207COSRP11_xls]B________274"/>
      <sheetName val="[97_207COSRP11_xls]B________275"/>
      <sheetName val="[97_207COSRP11_xls]B________276"/>
      <sheetName val="[97_207COSRP11_xls]B________277"/>
      <sheetName val="[97_207COSRP11_xls]B________278"/>
      <sheetName val="[97_207COSRP11_xls]B________279"/>
      <sheetName val="[97_207COSRP11_xls]B________280"/>
      <sheetName val="[97_207COSRP11_xls]B________281"/>
      <sheetName val="[97_207COSRP11_xls]B________282"/>
      <sheetName val="[97_207COSRP11_xls]B________283"/>
      <sheetName val="[97_207COSRP11_xls]B________284"/>
      <sheetName val="[97_207COSRP11_xls]B________285"/>
      <sheetName val="[97_207COSRP11_xls]B________286"/>
      <sheetName val="[97_207COSRP11_xls]B________287"/>
      <sheetName val="[97_207COSRP11_xls]B________288"/>
      <sheetName val="[97_207COSRP11_xls]B________289"/>
      <sheetName val="[97_207COSRP11_xls]B________290"/>
      <sheetName val="PROV_SUMS7"/>
      <sheetName val="PROV_QUANTITIES7"/>
      <sheetName val="RES_STEEL_TO7"/>
      <sheetName val="Data_sheet6"/>
      <sheetName val="Per_Unit6"/>
      <sheetName val="Fin_Sum7"/>
      <sheetName val="SPT_vs_PHI6"/>
      <sheetName val="Switch_&amp;_Sockets6"/>
      <sheetName val="25mm_PVC_Conduit6"/>
      <sheetName val="FLOOR_JB6"/>
      <sheetName val="Light_Fittings6"/>
      <sheetName val="CABLE_TRAY6"/>
      <sheetName val="32MM_PVC_CONDUIT6"/>
      <sheetName val="Point_Wiring6"/>
      <sheetName val="3RX2_5SQMM_WIRE6"/>
      <sheetName val="3CX2_5SQMM_WIRES6"/>
      <sheetName val="3CX4_00SQMM6"/>
      <sheetName val="PPA_Summary6"/>
      <sheetName val="beam-reinft-IIInd_floor6"/>
      <sheetName val="India_F&amp;S_Template6"/>
      <sheetName val="Materials_Cost(PCC)6"/>
      <sheetName val="MASTER_RATE_ANALYSIS5"/>
      <sheetName val="PRECAST_lightconc-II5"/>
      <sheetName val="Synergy_Sales_Budget5"/>
      <sheetName val="Break_up_Sheet5"/>
      <sheetName val="Paym__Recom5"/>
      <sheetName val="DC_-_DB_&amp;_MCB5"/>
      <sheetName val="inst__-_Pt_Wr_(cl-2)5"/>
      <sheetName val="Su__-_Pt_Wr5"/>
      <sheetName val="Su__Pwr_Wr5"/>
      <sheetName val="Inst__Pwr_Wr_(cl-2)5"/>
      <sheetName val="Su__-_Cor5"/>
      <sheetName val="Ins_-_Cor_5"/>
      <sheetName val="Earth_strip&amp;_fittings5"/>
      <sheetName val="DC__S_&amp;_So5"/>
      <sheetName val="Install_LIFT_SHAFT_5"/>
      <sheetName val="Su_solar_pt5"/>
      <sheetName val="SU_LIFT_SHAFT5"/>
      <sheetName val="DC_-Conduit5"/>
      <sheetName val="DC_wiring5"/>
      <sheetName val="PA-_Consutant_4"/>
      <sheetName val="beam-reinft-machine_rm4"/>
      <sheetName val="E_&amp;_R4"/>
      <sheetName val="Appendix_-3-_Rcov__Mat_supplie3"/>
      <sheetName val="WORK_TABLE3"/>
      <sheetName val="ABP_inputs3"/>
      <sheetName val="List_of_contractors3"/>
      <sheetName val="Debits_as_on_12_04_083"/>
      <sheetName val="glass_project_concrete6"/>
      <sheetName val="glass_project_reift6"/>
      <sheetName val="glass_project_indices6"/>
      <sheetName val="SBC-BH_195"/>
      <sheetName val="Summary_05064"/>
      <sheetName val="Summary_0607-_31_MAR4"/>
      <sheetName val="Civil_Boq4"/>
      <sheetName val="Pile_cap4"/>
      <sheetName val="BH_12-11-10-135"/>
      <sheetName val="BH_12-11-10-95"/>
      <sheetName val="BH_36-15-375"/>
      <sheetName val="BH_16-35-25-175"/>
      <sheetName val="BH_35-25-175"/>
      <sheetName val="Sheet1_(2)5"/>
      <sheetName val="d-safe_DELUXE4"/>
      <sheetName val="V_O_4_-_PCC_Qty4"/>
      <sheetName val="TBAL9697_-group_wise__sdpl4"/>
      <sheetName val="Abstract_Sheet4"/>
      <sheetName val="Mix_Design4"/>
      <sheetName val="RCC,Ret__Wall4"/>
      <sheetName val="Form_64"/>
      <sheetName val="PointNo_54"/>
      <sheetName val="Legal_Risk_Analysis4"/>
      <sheetName val="Load_Details-220kV3"/>
      <sheetName val="Fill_this_out_first___3"/>
      <sheetName val="REVISED4A_PROG_PERF-SITE_1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Direct_selling_cost3"/>
      <sheetName val="BOQ_(2)3"/>
      <sheetName val="CABLE_DATA3"/>
      <sheetName val="Staff_Acco_3"/>
      <sheetName val="Pipe_Supports3"/>
      <sheetName val="final_abstract3"/>
      <sheetName val="[97_207COSRP11_xls]B________291"/>
      <sheetName val="INPUT_SHEET3"/>
      <sheetName val="Rev_S1_Abstract3"/>
      <sheetName val="Quantity_Abstract3"/>
      <sheetName val="M-Book_for_Conc3"/>
      <sheetName val="M-Book_for_FW3"/>
      <sheetName val="[97_207COSRP11_xls]B________292"/>
      <sheetName val="Project_Budget_Worksheet4"/>
      <sheetName val="BOQ_-II_ph_23"/>
      <sheetName val="d-safe_specs3"/>
      <sheetName val="class_&amp;_category3"/>
      <sheetName val="SSR_&amp;_NSSR_Market_final3"/>
      <sheetName val="Fee_Rate_Summary3"/>
      <sheetName val="STAFFSCHED_3"/>
      <sheetName val="220_11__BS_3"/>
      <sheetName val="Metso_-_Forth_&amp;_Slurry_11_02_13"/>
      <sheetName val="precast_RC_element3"/>
      <sheetName val="Change_Order_Log3"/>
      <sheetName val="Material_List_3"/>
      <sheetName val="foot-slab_reinft3"/>
      <sheetName val="GR_slab-reinft3"/>
      <sheetName val="Key_Ratios2"/>
      <sheetName val="CONC__&amp;_STEEL_-_PILES3"/>
      <sheetName val="Sub_Contractors_list2"/>
      <sheetName val="Strwise_Qty2"/>
      <sheetName val="NMR_(2)2"/>
      <sheetName val="[97_207COSRP11_xls][97_207COSR3"/>
      <sheetName val="ACAD_Finishes3"/>
      <sheetName val="Site_Details3"/>
      <sheetName val="Site_Area_Statement3"/>
      <sheetName val="Mat_Cost3"/>
      <sheetName val="입찰내역_발주처_양식3"/>
      <sheetName val="Basement_Budget3"/>
      <sheetName val="SC_Cost_FEB_032"/>
      <sheetName val="Bed_Class3"/>
      <sheetName val="TRIAL_BALANCE3"/>
      <sheetName val="_97_207COSRP11_xls__97_207COSR2"/>
      <sheetName val="_97_207COSRP11_xls_B@_2"/>
      <sheetName val="Bank_Guarantee2"/>
      <sheetName val="Insurance_&amp;_Taxes(B1-2)2"/>
      <sheetName val="Structural_BOQ2"/>
      <sheetName val="Masonry_&amp;_Plaster2"/>
      <sheetName val="DETAILED__BOQ2"/>
      <sheetName val="Do_not_delete2"/>
      <sheetName val="_2"/>
      <sheetName val="3__Bulk_Check2"/>
      <sheetName val="2__Trade_Sum2"/>
      <sheetName val="[97_207COSRP11_xls]B________293"/>
      <sheetName val="[97_207COSRP11_xls]B________294"/>
      <sheetName val="[97_207COSRP11_xls]_97_207COS17"/>
      <sheetName val="[97_207COSRP11_xls]_97_207COS18"/>
      <sheetName val="[97_207COSRP11_xls]_97_207COS19"/>
      <sheetName val="[97_207COSRP11_xls]_97_207COS20"/>
      <sheetName val="[97_207COSRP11_xls]_97_207COS21"/>
      <sheetName val="[97_207COSRP11_xls]_97_207COS22"/>
      <sheetName val="[97_207COSRP11_xls]B________295"/>
      <sheetName val="[97_207COSRP11_xls]B________296"/>
      <sheetName val="[97_207COSRP11_xls]_97_207CO190"/>
      <sheetName val="[97_207COSRP11_xls]_97_207COS23"/>
      <sheetName val="[97_207COSRP11_xls]_97_207COS24"/>
      <sheetName val="[97_207COSRP11_xls]_97_207CO191"/>
      <sheetName val="[97_207COSRP11_xls]_97_207CO192"/>
      <sheetName val="[97_207COSRP11_xls]_97_207CO193"/>
      <sheetName val="[97_207COSRP11_xls]B________297"/>
      <sheetName val="[97_207COSRP11_xls]B________298"/>
      <sheetName val="[97_207COSRP11_xls]B________299"/>
      <sheetName val="[97_207COSRP11_xls]B________300"/>
      <sheetName val="[97_207COSRP11_xls]_97_207CO194"/>
      <sheetName val="[97_207COSRP11_xls]_97_207CO195"/>
      <sheetName val="[97_207COSRP11_xls]_97_207CO196"/>
      <sheetName val="[97_207COSRP11_xls]_97_207CO197"/>
      <sheetName val="[97_207COSRP11_xls]B________301"/>
      <sheetName val="[97_207COSRP11_xls]B________302"/>
      <sheetName val="[97_207COSRP11_xls]_97_207CO198"/>
      <sheetName val="[97_207COSRP11_xls]_97_207CO199"/>
      <sheetName val="[97_207COSRP11_xls]_97_207CO200"/>
      <sheetName val="[97_207COSRP11_xls]_97_207CO201"/>
      <sheetName val="[97_207COSRP11_xls]B________303"/>
      <sheetName val="[97_207COSRP11_xls]B________304"/>
      <sheetName val="[97_207COSRP11_xls]_97_207CO202"/>
      <sheetName val="[97_207COSRP11_xls]_97_207CO203"/>
      <sheetName val="[97_207COSRP11_xls]_97_207CO204"/>
      <sheetName val="[97_207COSRP11_xls]_97_207CO205"/>
      <sheetName val="[97_207COSRP11_xls]B________305"/>
      <sheetName val="[97_207COSRP11_xls]B________306"/>
      <sheetName val="[97_207COSRP11_xls]_97_207CO206"/>
      <sheetName val="[97_207COSRP11_xls]_97_207CO207"/>
      <sheetName val="[97_207COSRP11_xls]_97_207CO208"/>
      <sheetName val="[97_207COSRP11_xls]_97_207CO209"/>
      <sheetName val="Ins_&amp;_Bonds2"/>
      <sheetName val="S_&amp;_A2"/>
      <sheetName val="Operating_Statistics2"/>
      <sheetName val="BOQ_LT2"/>
      <sheetName val="LABOUR_SALARY_2"/>
      <sheetName val="[97_207COSRP11_xls]B@[2"/>
      <sheetName val="Basic_Rate2"/>
      <sheetName val="INFLUENCES_ON_GM2"/>
      <sheetName val="Boq_(Main_Building)2"/>
      <sheetName val="[97_207COSRP11_xls]B________307"/>
      <sheetName val="[97_207COSRP11_xls]B________308"/>
      <sheetName val="[97_207COSRP11_xls]B________309"/>
      <sheetName val="[97_207COSRP11_xls]B________310"/>
      <sheetName val="[97_207COSRP11_xls]B________311"/>
      <sheetName val="[97_207COSRP11_xls]B________312"/>
      <sheetName val="[97_207COSRP11_xls]_97_207CO210"/>
      <sheetName val="[97_207COSRP11_xls]_97_207CO211"/>
      <sheetName val="[97_207COSRP11_xls]_97_207CO212"/>
      <sheetName val="[97_207COSRP11_xls]_97_207CO213"/>
      <sheetName val="[97_207COSRP11_xls]B________313"/>
      <sheetName val="[97_207COSRP11_xls]B________314"/>
      <sheetName val="[97_207COSRP11_xls]_97_207CO214"/>
      <sheetName val="[97_207COSRP11_xls]_97_207CO215"/>
      <sheetName val="[97_207COSRP11_xls]B________315"/>
      <sheetName val="[97_207COSRP11_xls]B________316"/>
      <sheetName val="[97_207COSRP11_xls]_97_207CO216"/>
      <sheetName val="[97_207COSRP11_xls]_97_207CO217"/>
      <sheetName val="[97_207COSRP11_xls]_97_207CO218"/>
      <sheetName val="[97_207COSRP11_xls]B________317"/>
      <sheetName val="[97_207COSRP11_xls]B________318"/>
      <sheetName val="[97_207COSRP11_xls]_97_207CO219"/>
      <sheetName val="[97_207COSRP11_xls]_97_207CO220"/>
      <sheetName val="[97_207COSRP11_xls]_97_207CO221"/>
      <sheetName val="[97_207COSRP11_xls]B________319"/>
      <sheetName val="[97_207COSRP11_xls]B________320"/>
      <sheetName val="[97_207COSRP11_xls]_97_207CO222"/>
      <sheetName val="[97_207COSRP11_xls]_97_207CO223"/>
      <sheetName val="[97_207COSRP11_xls]_97_207CO224"/>
      <sheetName val="[97_207COSRP11_xls]_97_207CO225"/>
      <sheetName val="[97_207COSRP11_xls]_97_207CO226"/>
      <sheetName val="vb_9&amp;102"/>
      <sheetName val="Schedules_PL2"/>
      <sheetName val="Schedules_BS2"/>
      <sheetName val="[97_207COSRP11_xls]_97_207CO227"/>
      <sheetName val="[97_207COSRP11_xls]B________321"/>
      <sheetName val="[97_207COSRP11_xls]B________322"/>
      <sheetName val="[97_207COSRP11_xls]B________323"/>
      <sheetName val="[97_207COSRP11_xls]B________324"/>
      <sheetName val="[97_207COSRP11_xls]_97_207CO228"/>
      <sheetName val="[97_207COSRP11_xls]_97_207CO229"/>
      <sheetName val="[97_207COSRP11_xls]_97_207CO230"/>
      <sheetName val="[97_207COSRP11_xls]_97_207CO231"/>
      <sheetName val="[97_207COSRP11_xls]B________325"/>
      <sheetName val="[97_207COSRP11_xls]B________326"/>
      <sheetName val="[97_207COSRP11_xls]_97_207CO232"/>
      <sheetName val="[97_207COSRP11_xls]_97_207CO233"/>
      <sheetName val="[97_207COSRP11_xls]_97_207CO234"/>
      <sheetName val="[97_207COSRP11_xls]_97_207CO235"/>
      <sheetName val="[97_207COSRP11_xls]_97_207CO236"/>
      <sheetName val="[97_207COSRP11_xls]_97_207CO237"/>
      <sheetName val="[97_207COSRP11_xls]_97_207CO238"/>
      <sheetName val="[97_207COSRP11_xls]B________327"/>
      <sheetName val="[97_207COSRP11_xls]B________328"/>
      <sheetName val="[97_207COSRP11_xls]_97_207CO239"/>
      <sheetName val="[97_207COSRP11_xls]_97_207CO240"/>
      <sheetName val="[97_207COSRP11_xls]_97_207CO241"/>
      <sheetName val="[97_207COSRP11_xls]_97_207CO242"/>
      <sheetName val="[97_207COSRP11_xls]_97_207CO243"/>
      <sheetName val="[97_207COSRP11_xls]B________329"/>
      <sheetName val="[97_207COSRP11_xls]B________330"/>
      <sheetName val="[97_207COSRP11_xls]_97_207CO244"/>
      <sheetName val="[97_207COSRP11_xls]_97_207CO245"/>
      <sheetName val="[97_207COSRP11_xls]_97_207CO246"/>
      <sheetName val="[97_207COSRP11_xls]_97_207CO247"/>
      <sheetName val="[97_207COSRP11_xls]_97_207CO248"/>
      <sheetName val="[97_207COSRP11_xls]_97_207CO249"/>
      <sheetName val="[97_207COSRP11_xls]B________331"/>
      <sheetName val="[97_207COSRP11_xls]B________332"/>
      <sheetName val="[97_207COSRP11_xls]_97_207CO250"/>
      <sheetName val="[97_207COSRP11_xls]_97_207CO251"/>
      <sheetName val="[97_207COSRP11_xls]_97_207CO252"/>
      <sheetName val="[97_207COSRP11_xls]_97_207CO253"/>
      <sheetName val="[97_207COSRP11_xls]_97_207CO254"/>
      <sheetName val="[97_207COSRP11_xls]_97_207CO255"/>
      <sheetName val="[97_207COSRP11_xls]B________333"/>
      <sheetName val="[97_207COSRP11_xls]B________334"/>
      <sheetName val="[97_207COSRP11_xls]_97_207CO256"/>
      <sheetName val="[97_207COSRP11_xls]_97_207CO257"/>
      <sheetName val="[97_207COSRP11_xls]_97_207CO258"/>
      <sheetName val="[97_207COSRP11_xls]_97_207CO259"/>
      <sheetName val="[97_207COSRP11_xls]B________335"/>
      <sheetName val="[97_207COSRP11_xls]B________336"/>
      <sheetName val="[97_207COSRP11_xls]_97_207CO260"/>
      <sheetName val="[97_207COSRP11_xls]_97_207CO261"/>
      <sheetName val="[97_207COSRP11_xls]B________337"/>
      <sheetName val="[97_207COSRP11_xls]B________338"/>
      <sheetName val="[97_207COSRP11_xls]_97_207CO262"/>
      <sheetName val="[97_207COSRP11_xls]_97_207CO263"/>
      <sheetName val="[97_207COSRP11_xls]_97_207CO264"/>
      <sheetName val="[97_207COSRP11_xls]_97_207CO265"/>
      <sheetName val="[97_207COSRP11_xls]B________339"/>
      <sheetName val="[97_207COSRP11_xls]B________340"/>
      <sheetName val="[97_207COSRP11_xls]B________341"/>
      <sheetName val="[97_207COSRP11_xls]B________342"/>
      <sheetName val="[97_207COSRP11_xls]B________343"/>
      <sheetName val="[97_207COSRP11_xls]B________344"/>
      <sheetName val="[97_207COSRP11_xls]_97_207CO266"/>
      <sheetName val="[97_207COSRP11_xls]B________345"/>
      <sheetName val="[97_207COSRP11_xls]B________346"/>
      <sheetName val="[97_207COSRP11_xls]_97_207CO267"/>
      <sheetName val="[97_207COSRP11_xls]_97_207CO268"/>
      <sheetName val="[97_207COSRP11_xls]_97_207CO269"/>
      <sheetName val="[97_207COSRP11_xls]B________347"/>
      <sheetName val="[97_207COSRP11_xls]B________348"/>
      <sheetName val="[97_207COSRP11_xls]_97_207CO270"/>
      <sheetName val="[97_207COSRP11_xls]_97_207CO271"/>
      <sheetName val="[97_207COSRP11_xls]_97_207CO272"/>
      <sheetName val="[97_207COSRP11_xls]B________349"/>
      <sheetName val="[97_207COSRP11_xls]B________350"/>
      <sheetName val="[97_207COSRP11_xls]_97_207CO273"/>
      <sheetName val="[97_207COSRP11_xls]_97_207CO274"/>
      <sheetName val="[97_207COSRP11_xls]_97_207CO275"/>
      <sheetName val="[97_207COSRP11_xls]B________351"/>
      <sheetName val="[97_207COSRP11_xls]B________352"/>
      <sheetName val="[97_207COSRP11_xls]_97_207CO276"/>
      <sheetName val="[97_207COSRP11_xls]_97_207CO277"/>
      <sheetName val="[97_207COSRP11_xls]B________353"/>
      <sheetName val="[97_207COSRP11_xls]B________354"/>
      <sheetName val="[97_207COSRP11_xls]_97_207CO278"/>
      <sheetName val="[97_207COSRP11_xls]_97_207CO279"/>
      <sheetName val="[97_207COSRP11_xls]B________355"/>
      <sheetName val="[97_207COSRP11_xls]B________356"/>
      <sheetName val="[97_207COSRP11_xls]B________357"/>
      <sheetName val="[97_207COSRP11_xls]B________358"/>
      <sheetName val="[97_207COSRP11_xls]B________359"/>
      <sheetName val="[97_207COSRP11_xls]B________360"/>
      <sheetName val="[97_207COSRP11_xls]B________361"/>
      <sheetName val="[97_207COSRP11_xls]B________362"/>
      <sheetName val="P-Ins_&amp;_Bonds2"/>
      <sheetName val="P-Site_fac2"/>
      <sheetName val="P-Clients_fac2"/>
      <sheetName val="[97_207COSRP11_xls]B________363"/>
      <sheetName val="[97_207COSRP11_xls]B________364"/>
      <sheetName val="[97_207COSRP11_xls]B________365"/>
      <sheetName val="[97_207COSRP11_xls]B________366"/>
      <sheetName val="[97_207COSRP11_xls]B________367"/>
      <sheetName val="[97_207COSRP11_xls]B________368"/>
      <sheetName val="[97_207COSRP11_xls]B________369"/>
      <sheetName val="[97_207COSRP11_xls]B________370"/>
      <sheetName val="[97_207COSRP11_xls]B________371"/>
      <sheetName val="[97_207COSRP11_xls]B________372"/>
      <sheetName val="[97_207COSRP11_xls]B________373"/>
      <sheetName val="[97_207COSRP11_xls]B________374"/>
      <sheetName val="[97_207COSRP11_xls]B________375"/>
      <sheetName val="[97_207COSRP11_xls]B________376"/>
      <sheetName val="[97_207COSRP11_xls]B________377"/>
      <sheetName val="[97_207COSRP11_xls]B________378"/>
      <sheetName val="[97_207COSRP11_xls]B________379"/>
      <sheetName val="[97_207COSRP11_xls]B________380"/>
      <sheetName val="[97_207COSRP11_xls]B________381"/>
      <sheetName val="[97_207COSRP11_xls]B________382"/>
      <sheetName val="[97_207COSRP11_xls]B________383"/>
      <sheetName val="[97_207COSRP11_xls]B________384"/>
      <sheetName val="[97_207COSRP11_xls]_97_207C_542"/>
      <sheetName val="[97_207COSRP11_xls]_97_207C_543"/>
      <sheetName val="[97_207COSRP11_xls]_97_207C_544"/>
      <sheetName val="[97_207COSRP11_xls]B________385"/>
      <sheetName val="[97_207COSRP11_xls]B________386"/>
      <sheetName val="[97_207COSRP11_xls]_97_207C_545"/>
      <sheetName val="[97_207COSRP11_xls]_97_207C_546"/>
      <sheetName val="[97_207COSRP11_xls]_97_207C_547"/>
      <sheetName val="[97_207COSRP11_xls]B________387"/>
      <sheetName val="[97_207COSRP11_xls]B________388"/>
      <sheetName val="[97_207COSRP11_xls]_97_207C_548"/>
      <sheetName val="[97_207COSRP11_xls]_97_207C_549"/>
      <sheetName val="[97_207COSRP11_xls]_97_207C_550"/>
      <sheetName val="[97_207COSRP11_xls]_97_207C_551"/>
      <sheetName val="[97_207COSRP11_xls]B________389"/>
      <sheetName val="[97_207COSRP11_xls]B________390"/>
      <sheetName val="[97_207COSRP11_xls]_97_207C_552"/>
      <sheetName val="[97_207COSRP11_xls]_97_207C_553"/>
      <sheetName val="[97_207COSRP11_xls]_97_207C_554"/>
      <sheetName val="[97_207COSRP11_xls]B________391"/>
      <sheetName val="[97_207COSRP11_xls]B________392"/>
      <sheetName val="[97_207COSRP11_xls]_97_207C_555"/>
      <sheetName val="[97_207COSRP11_xls]_97_207C_556"/>
      <sheetName val="[97_207COSRP11_xls]_97_207C_557"/>
      <sheetName val="[97_207COSRP11_xls]B________393"/>
      <sheetName val="[97_207COSRP11_xls]B________394"/>
      <sheetName val="[97_207COSRP11_xls]_97_207C_558"/>
      <sheetName val="[97_207COSRP11_xls]_97_207C_559"/>
      <sheetName val="[97_207COSRP11_xls]_97_207C_560"/>
      <sheetName val="[97_207COSRP11_xls]_97_207C_561"/>
      <sheetName val="[97_207COSRP11_xls]_97_207C_562"/>
      <sheetName val="[97_207COSRP11_xls]_97_207C_563"/>
      <sheetName val="[97_207COSRP11_xls]_97_207C_564"/>
      <sheetName val="[97_207COSRP11_xls]B________395"/>
      <sheetName val="[97_207COSRP11_xls]B________396"/>
      <sheetName val="[97_207COSRP11_xls]_97_207C_565"/>
      <sheetName val="[97_207COSRP11_xls]_97_207C_566"/>
      <sheetName val="[97_207COSRP11_xls]_97_207C_567"/>
      <sheetName val="[97_207COSRP11_xls]_97_207C_568"/>
      <sheetName val="[97_207COSRP11_xls]_97_207C_569"/>
      <sheetName val="[97_207COSRP11_xls]_97_207C_570"/>
      <sheetName val="[97_207COSRP11_xls]_97_207C_571"/>
      <sheetName val="[97_207COSRP11_xls]_97_207C_572"/>
      <sheetName val="[97_207COSRP11_xls]B________397"/>
      <sheetName val="[97_207COSRP11_xls]B________398"/>
      <sheetName val="[97_207COSRP11_xls]_97_207C_573"/>
      <sheetName val="[97_207COSRP11_xls]_97_207C_574"/>
      <sheetName val="[97_207COSRP11_xls]B________399"/>
      <sheetName val="[97_207COSRP11_xls]B________400"/>
      <sheetName val="[97_207COSRP11_xls]_97_207C_575"/>
      <sheetName val="[97_207COSRP11_xls]_97_207C_576"/>
      <sheetName val="[97_207COSRP11_xls]_97_207C_577"/>
      <sheetName val="[97_207COSRP11_xls]B________401"/>
      <sheetName val="[97_207COSRP11_xls]B________402"/>
      <sheetName val="[97_207COSRP11_xls]_97_207C_578"/>
      <sheetName val="[97_207COSRP11_xls]_97_207C_579"/>
      <sheetName val="[97_207COSRP11_xls]_97_207C_580"/>
      <sheetName val="[97_207COSRP11_xls]B________403"/>
      <sheetName val="[97_207COSRP11_xls]B________404"/>
      <sheetName val="[97_207COSRP11_xls]_97_207C_581"/>
      <sheetName val="[97_207COSRP11_xls]_97_207C_582"/>
      <sheetName val="[97_207COSRP11_xls]_97_207C_583"/>
      <sheetName val="[97_207COSRP11_xls]B________405"/>
      <sheetName val="[97_207COSRP11_xls]B________406"/>
      <sheetName val="[97_207COSRP11_xls]_97_207C_584"/>
      <sheetName val="[97_207COSRP11_xls]_97_207C_585"/>
      <sheetName val="[97_207COSRP11_xls]B________407"/>
      <sheetName val="[97_207COSRP11_xls]B________408"/>
      <sheetName val="[97_207COSRP11_xls]_97_207C_586"/>
      <sheetName val="[97_207COSRP11_xls]_97_207C_587"/>
      <sheetName val="[97_207COSRP11_xls]_97_207C_588"/>
      <sheetName val="[97_207COSRP11_xls]_97_207C_589"/>
      <sheetName val="[97_207COSRP11_xls]_97_207C_590"/>
      <sheetName val="[97_207COSRP11_xls]_97_207C_591"/>
      <sheetName val="[97_207COSRP11_xls]_97_207C_592"/>
      <sheetName val="[97_207COSRP11_xls]_97_207C_593"/>
      <sheetName val="[97_207COSRP11_xls]_97_207C_594"/>
      <sheetName val="[97_207COSRP11_xls]_97_207C_595"/>
      <sheetName val="[97_207COSRP11_xls]_97_207C_596"/>
      <sheetName val="[97_207COSRP11_xls]_97_207C_597"/>
      <sheetName val="[97_207COSRP11_xls]B________409"/>
      <sheetName val="[97_207COSRP11_xls]B________410"/>
      <sheetName val="[97_207COSRP11_xls]_97_207C_598"/>
      <sheetName val="[97_207COSRP11_xls]_97_207C_599"/>
      <sheetName val="[97_207COSRP11_xls]_97_207C_600"/>
      <sheetName val="[97_207COSRP11_xls]_97_207C_601"/>
      <sheetName val="[97_207COSRP11_xls]B________411"/>
      <sheetName val="[97_207COSRP11_xls]B________412"/>
      <sheetName val="[97_207COSRP11_xls]_97_207C_602"/>
      <sheetName val="[97_207COSRP11_xls]_97_207C_603"/>
      <sheetName val="[97_207COSRP11_xls]_97_207C_604"/>
      <sheetName val="[97_207COSRP11_xls]B________413"/>
      <sheetName val="[97_207COSRP11_xls]B________414"/>
      <sheetName val="[97_207COSRP11_xls]_97_207C_605"/>
      <sheetName val="[97_207COSRP11_xls]_97_207C_606"/>
      <sheetName val="[97_207COSRP11_xls]_97_207C_607"/>
      <sheetName val="[97_207COSRP11_xls]B________415"/>
      <sheetName val="[97_207COSRP11_xls]B________416"/>
      <sheetName val="[97_207COSRP11_xls]_97_207C_608"/>
      <sheetName val="[97_207COSRP11_xls]_97_207C_609"/>
      <sheetName val="[97_207COSRP11_xls]_97_207C_610"/>
      <sheetName val="[97_207COSRP11_xls]_97_207C_611"/>
      <sheetName val="[97_207COSRP11_xls]_97_207C_612"/>
      <sheetName val="[97_207COSRP11_xls]_97_207C_613"/>
      <sheetName val="[97_207COSRP11_xls]_97_207C_614"/>
      <sheetName val="[97_207COSRP11_xls]_97_207C_615"/>
      <sheetName val="[97_207COSRP11_xls]_97_207C_616"/>
      <sheetName val="[97_207COSRP11_xls]_97_207C_617"/>
      <sheetName val="[97_207COSRP11_xls]_97_207C_618"/>
      <sheetName val="[97_207COSRP11_xls]_97_207C_619"/>
      <sheetName val="[97_207COSRP11_xls]_97_207C_620"/>
      <sheetName val="[97_207COSRP11_xls]_97_207C_621"/>
      <sheetName val="[97_207COSRP11_xls]_97_207C_622"/>
      <sheetName val="[97_207COSRP11_xls]_97_207C_623"/>
      <sheetName val="[97_207COSRP11_xls]B________417"/>
      <sheetName val="[97_207COSRP11_xls]B________418"/>
      <sheetName val="[97_207COSRP11_xls]_97_207C_624"/>
      <sheetName val="[97_207COSRP11_xls]_97_207C_625"/>
      <sheetName val="[97_207COSRP11_xls]_97_207C_626"/>
      <sheetName val="[97_207COSRP11_xls]_97_207C_627"/>
      <sheetName val="[97_207COSRP11_xls]_97_207C_628"/>
      <sheetName val="[97_207COSRP11_xls]_97_207C_629"/>
      <sheetName val="[97_207COSRP11_xls]B________419"/>
      <sheetName val="[97_207COSRP11_xls]B________420"/>
      <sheetName val="[97_207COSRP11_xls]B________421"/>
      <sheetName val="[97_207COSRP11_xls]B________422"/>
      <sheetName val="[97_207COSRP11_xls]_97_207C_630"/>
      <sheetName val="[97_207COSRP11_xls]_97_207C_631"/>
      <sheetName val="[97_207COSRP11_xls]_97_207C_632"/>
      <sheetName val="[97_207COSRP11_xls]_97_207C_633"/>
      <sheetName val="[97_207COSRP11_xls]B________423"/>
      <sheetName val="[97_207COSRP11_xls]B________424"/>
      <sheetName val="[97_207COSRP11_xls]_97_207C_634"/>
      <sheetName val="[97_207COSRP11_xls]_97_207C_635"/>
      <sheetName val="[97_207COSRP11_xls]_97_207C_636"/>
      <sheetName val="[97_207COSRP11_xls]_97_207C_637"/>
      <sheetName val="[97_207COSRP11_xls]B________425"/>
      <sheetName val="[97_207COSRP11_xls]B________426"/>
      <sheetName val="[97_207COSRP11_xls]_97_207C_638"/>
      <sheetName val="[97_207COSRP11_xls]_97_207C_639"/>
      <sheetName val="[97_207COSRP11_xls]_97_207C_640"/>
      <sheetName val="[97_207COSRP11_xls]_97_207C_641"/>
      <sheetName val="[97_207COSRP11_xls]B________427"/>
      <sheetName val="[97_207COSRP11_xls]B________428"/>
      <sheetName val="[97_207COSRP11_xls]_97_207C_642"/>
      <sheetName val="[97_207COSRP11_xls]_97_207C_643"/>
      <sheetName val="[97_207COSRP11_xls]_97_207C_644"/>
      <sheetName val="[97_207COSRP11_xls]_97_207C_645"/>
      <sheetName val="[97_207COSRP11_xls]_97_207C_646"/>
      <sheetName val="[97_207COSRP11_xls]_97_207C_647"/>
      <sheetName val="[97_207COSRP11_xls]B________429"/>
      <sheetName val="[97_207COSRP11_xls]B________430"/>
      <sheetName val="[97_207COSRP11_xls]_97_207C_648"/>
      <sheetName val="[97_207COSRP11_xls]_97_207C_649"/>
      <sheetName val="[97_207COSRP11_xls]_97_207C_650"/>
      <sheetName val="[97_207COSRP11_xls]B________431"/>
      <sheetName val="[97_207COSRP11_xls]B________432"/>
      <sheetName val="[97_207COSRP11_xls]_97_207C_651"/>
      <sheetName val="[97_207COSRP11_xls]_97_207C_652"/>
      <sheetName val="[97_207COSRP11_xls]_97_207C_653"/>
      <sheetName val="[97_207COSRP11_xls]_97_207C_654"/>
      <sheetName val="[97_207COSRP11_xls]B________433"/>
      <sheetName val="[97_207COSRP11_xls]B________434"/>
      <sheetName val="[97_207COSRP11_xls]_97_207C_655"/>
      <sheetName val="[97_207COSRP11_xls]_97_207C_656"/>
      <sheetName val="[97_207COSRP11_xls]_97_207C_657"/>
      <sheetName val="[97_207COSRP11_xls]_97_207C_658"/>
      <sheetName val="[97_207COSRP11_xls]B________435"/>
      <sheetName val="[97_207COSRP11_xls]B________436"/>
      <sheetName val="[97_207COSRP11_xls]_97_207C_659"/>
      <sheetName val="[97_207COSRP11_xls]_97_207C_660"/>
      <sheetName val="[97_207COSRP11_xls]_97_207C_661"/>
      <sheetName val="[97_207COSRP11_xls]_97_207C_662"/>
      <sheetName val="[97_207COSRP11_xls]_97_207C_663"/>
      <sheetName val="[97_207COSRP11_xls]_97_207C_664"/>
      <sheetName val="[97_207COSRP11_xls]_97_207C_665"/>
      <sheetName val="[97_207COSRP11_xls]_97_207C_666"/>
      <sheetName val="[97_207COSRP11_xls]_97_207C_667"/>
      <sheetName val="[97_207COSRP11_xls]_97_207C_668"/>
      <sheetName val="[97_207COSRP11_xls]B________437"/>
      <sheetName val="[97_207COSRP11_xls]B________438"/>
      <sheetName val="[97_207COSRP11_xls]_97_207C_669"/>
      <sheetName val="[97_207COSRP11_xls]_97_207C_670"/>
      <sheetName val="[97_207COSRP11_xls]_97_207C_671"/>
      <sheetName val="[97_207COSRP11_xls]_97_207C_672"/>
      <sheetName val="[97_207COSRP11_xls]_97_207C_673"/>
      <sheetName val="[97_207COSRP11_xls]_97_207C_674"/>
      <sheetName val="[97_207COSRP11_xls]B________439"/>
      <sheetName val="[97_207COSRP11_xls]B________440"/>
      <sheetName val="[97_207COSRP11_xls]_97_207C_675"/>
      <sheetName val="[97_207COSRP11_xls]_97_207C_676"/>
      <sheetName val="[97_207COSRP11_xls]_97_207C_677"/>
      <sheetName val="[97_207COSRP11_xls]B________441"/>
      <sheetName val="[97_207COSRP11_xls]B________442"/>
      <sheetName val="[97_207COSRP11_xls]_97_207C_678"/>
      <sheetName val="[97_207COSRP11_xls]_97_207C_679"/>
      <sheetName val="[97_207COSRP11_xls]_97_207C_680"/>
      <sheetName val="[97_207COSRP11_xls]_97_207C_681"/>
      <sheetName val="[97_207COSRP11_xls]B________443"/>
      <sheetName val="[97_207COSRP11_xls]B________444"/>
      <sheetName val="[97_207COSRP11_xls]_97_207C_682"/>
      <sheetName val="[97_207COSRP11_xls]_97_207C_683"/>
      <sheetName val="[97_207COSRP11_xls]_97_207C_684"/>
      <sheetName val="[97_207COSRP11_xls]B________445"/>
      <sheetName val="[97_207COSRP11_xls]B________446"/>
      <sheetName val="[97_207COSRP11_xls]_97_207C_685"/>
      <sheetName val="[97_207COSRP11_xls]_97_207C_686"/>
      <sheetName val="[97_207COSRP11_xls]_97_207C_687"/>
      <sheetName val="[97_207COSRP11_xls]B________447"/>
      <sheetName val="[97_207COSRP11_xls]B________448"/>
      <sheetName val="[97_207COSRP11_xls]_97_207C_688"/>
      <sheetName val="[97_207COSRP11_xls]_97_207C_689"/>
      <sheetName val="[97_207COSRP11_xls]_97_207C_690"/>
      <sheetName val="[97_207COSRP11_xls]B________449"/>
      <sheetName val="[97_207COSRP11_xls]B________450"/>
      <sheetName val="[97_207COSRP11_xls]_97_207C_691"/>
      <sheetName val="[97_207COSRP11_xls]_97_207C_692"/>
      <sheetName val="[97_207COSRP11_xls]_97_207C_693"/>
      <sheetName val="GM_&amp;_TA1"/>
      <sheetName val="[97_207COSRP11_xls]_97_207C_694"/>
      <sheetName val="[97_207COSRP11_xls]_97_207C_695"/>
      <sheetName val="[97_207COSRP11_xls]B________451"/>
      <sheetName val="[97_207COSRP11_xls]B________452"/>
      <sheetName val="[97_207COSRP11_xls]B________453"/>
      <sheetName val="[97_207COSRP11_xls]B________454"/>
      <sheetName val="[97_207COSRP11_xls]_97_207C_696"/>
      <sheetName val="[97_207COSRP11_xls]B________455"/>
      <sheetName val="[97_207COSRP11_xls]B________456"/>
      <sheetName val="[97_207COSRP11_xls]_97_207C_697"/>
      <sheetName val="[97_207COSRP11_xls]_97_207C_698"/>
      <sheetName val="[97_207COSRP11_xls]_97_207C_699"/>
      <sheetName val="[97_207COSRP11_xls]_97_207C_700"/>
      <sheetName val="[97_207COSRP11_xls]B________457"/>
      <sheetName val="[97_207COSRP11_xls]B________458"/>
      <sheetName val="[97_207COSRP11_xls]_97_207C_701"/>
      <sheetName val="[97_207COSRP11_xls]_97_207C_702"/>
      <sheetName val="[97_207COSRP11_xls]_97_207C_703"/>
      <sheetName val="[97_207COSRP11_xls]_97_207C_704"/>
      <sheetName val="[97_207COSRP11_xls]_97_207C_705"/>
      <sheetName val="[97_207COSRP11_xls]_97_207C_706"/>
      <sheetName val="[97_207COSRP11_xls]_97_207C_707"/>
      <sheetName val="[97_207COSRP11_xls]B________459"/>
      <sheetName val="[97_207COSRP11_xls]B________460"/>
      <sheetName val="[97_207COSRP11_xls]_97_207C_708"/>
      <sheetName val="[97_207COSRP11_xls]_97_207C_709"/>
      <sheetName val="[97_207COSRP11_xls]_97_207C_710"/>
      <sheetName val="[97_207COSRP11_xls]_97_207C_711"/>
      <sheetName val="[97_207COSRP11_xls]_97_207C_712"/>
      <sheetName val="[97_207COSRP11_xls]_97_207C_713"/>
      <sheetName val="[97_207COSRP11_xls]B________461"/>
      <sheetName val="[97_207COSRP11_xls]B________462"/>
      <sheetName val="[97_207COSRP11_xls]_97_207C_714"/>
      <sheetName val="[97_207COSRP11_xls]_97_207C_715"/>
      <sheetName val="[97_207COSRP11_xls]_97_207C_716"/>
      <sheetName val="[97_207COSRP11_xls]_97_207C_717"/>
      <sheetName val="[97_207COSRP11_xls]_97_207C_718"/>
      <sheetName val="[97_207COSRP11_xls]_97_207C_719"/>
      <sheetName val="[97_207COSRP11_xls]B________463"/>
      <sheetName val="[97_207COSRP11_xls]B________464"/>
      <sheetName val="[97_207COSRP11_xls]_97_207C_720"/>
      <sheetName val="[97_207COSRP11_xls]_97_207C_721"/>
      <sheetName val="[97_207COSRP11_xls]_97_207C_722"/>
      <sheetName val="[97_207COSRP11_xls]_97_207C_723"/>
      <sheetName val="[97_207COSRP11_xls]B________465"/>
      <sheetName val="[97_207COSRP11_xls]B________466"/>
      <sheetName val="[97_207COSRP11_xls]_97_207C_724"/>
      <sheetName val="[97_207COSRP11_xls]_97_207C_725"/>
      <sheetName val="[97_207COSRP11_xls]_97_207C_726"/>
      <sheetName val="[97_207COSRP11_xls]_97_207C_727"/>
      <sheetName val="[97_207COSRP11_xls]_97_207C_728"/>
      <sheetName val="[97_207COSRP11_xls]_97_207C_729"/>
      <sheetName val="[97_207COSRP11_xls]B________467"/>
      <sheetName val="[97_207COSRP11_xls]B________468"/>
      <sheetName val="[97_207COSRP11_xls]_97_207C_730"/>
      <sheetName val="[97_207COSRP11_xls]_97_207C_731"/>
      <sheetName val="[97_207COSRP11_xls]_97_207C_732"/>
      <sheetName val="[97_207COSRP11_xls]_97_207C_733"/>
      <sheetName val="[97_207COSRP11_xls]_97_207C_734"/>
      <sheetName val="[97_207COSRP11_xls]_97_207C_735"/>
      <sheetName val="[97_207COSRP11_xls]_97_207C_736"/>
      <sheetName val="[97_207COSRP11_xls]_97_207C_737"/>
      <sheetName val="[97_207COSRP11_xls]_97_207C_738"/>
      <sheetName val="[97_207COSRP11_xls]B________469"/>
      <sheetName val="[97_207COSRP11_xls]B________470"/>
      <sheetName val="[97_207COSRP11_xls]B________471"/>
      <sheetName val="[97_207COSRP11_xls]B________472"/>
      <sheetName val="[97_207COSRP11_xls]_97_207C_739"/>
      <sheetName val="[97_207COSRP11_xls]_97_207C_740"/>
      <sheetName val="[97_207COSRP11_xls]_97_207C_741"/>
      <sheetName val="[97_207COSRP11_xls]_97_207C_742"/>
      <sheetName val="[97_207COSRP11_xls]_97_207C_743"/>
      <sheetName val="[97_207COSRP11_xls]_97_207C_744"/>
      <sheetName val="[97_207COSRP11_xls]_97_207C_745"/>
      <sheetName val="[97_207COSRP11_xls]_97_207C_746"/>
      <sheetName val="[97_207COSRP11_xls]B________473"/>
      <sheetName val="[97_207COSRP11_xls]B________474"/>
      <sheetName val="[97_207COSRP11_xls]_97_207C_747"/>
      <sheetName val="[97_207COSRP11_xls]_97_207C_748"/>
      <sheetName val="[97_207COSRP11_xls]_97_207C_749"/>
      <sheetName val="[97_207COSRP11_xls]_97_207C_750"/>
      <sheetName val="[97_207COSRP11.xls]_97_207C_940"/>
      <sheetName val="[97_207COSRP11.xls]_97_207C_941"/>
      <sheetName val="[97_207COSRP11.xls]_97_207C_942"/>
      <sheetName val="HDPE"/>
      <sheetName val="DI"/>
      <sheetName val="pvc"/>
      <sheetName val="[97_207COSRP11.xls]_97_207C_920"/>
      <sheetName val="[97_207COSRP11.xls]_97_207C_921"/>
      <sheetName val="[97_207COSRP11.xls]_97_207C_922"/>
      <sheetName val="[97_207COSRP11.xls]_97_207C_905"/>
      <sheetName val="[97_207COSRP11.xls]_97_207C_906"/>
      <sheetName val="[97_207COSRP11.xls]_97_207C_907"/>
      <sheetName val="[97_207COSRP11.xls]_97_207C_898"/>
      <sheetName val="[97_207COSRP11.xls]_97_207C_899"/>
      <sheetName val="[97_207COSRP11.xls]_97_207C_900"/>
      <sheetName val="[97_207COSRP11.xls]_97_207C_901"/>
      <sheetName val="[97_207COSRP11.xls]_97_207C_902"/>
      <sheetName val="[97_207COSRP11.xls]_97_207C_903"/>
      <sheetName val="[97_207COSRP11.xls]_97_207C_904"/>
      <sheetName val="[97_207COSRP11.xls]_97_207C_888"/>
      <sheetName val="[97_207COSRP11.xls]_97_207C_889"/>
      <sheetName val="[97_207COSRP11.xls]_97_207C_890"/>
      <sheetName val="[97_207COSRP11.xls]_97_207C_836"/>
      <sheetName val="[97_207COSRP11.xls]_97_207C_837"/>
      <sheetName val="[97_207COSRP11.xls]_97_207C_838"/>
      <sheetName val="[97_207COSRP11.xls]_97_207C_832"/>
      <sheetName val="[97_207COSRP11.xls]_97_207C_833"/>
      <sheetName val="[97_207COSRP11.xls]_97_207C_834"/>
      <sheetName val="[97_207COSRP11.xls]_97_207C_835"/>
      <sheetName val="[97_207COSRP11.xls]_97_207C_845"/>
      <sheetName val="[97_207COSRP11.xls]_97_207C_846"/>
      <sheetName val="[97_207COSRP11.xls]_97_207C_847"/>
      <sheetName val="[97_207COSRP11.xls]_97_207C_839"/>
      <sheetName val="[97_207COSRP11.xls]_97_207C_840"/>
      <sheetName val="[97_207COSRP11.xls]_97_207C_841"/>
      <sheetName val="[97_207COSRP11.xls]_97_207C_842"/>
      <sheetName val="[97_207COSRP11.xls]_97_207C_843"/>
      <sheetName val="[97_207COSRP11.xls]_97_207C_844"/>
      <sheetName val="[97_207COSRP11.xls]_97_207C_861"/>
      <sheetName val="[97_207COSRP11.xls]_97_207C_848"/>
      <sheetName val="[97_207COSRP11.xls]_97_207C_849"/>
      <sheetName val="[97_207COSRP11.xls]_97_207C_850"/>
      <sheetName val="[97_207COSRP11.xls]_97_207C_862"/>
      <sheetName val="[97_207COSRP11.xls]_97_207C_851"/>
      <sheetName val="[97_207COSRP11.xls]_97_207C_852"/>
      <sheetName val="[97_207COSRP11.xls]_97_207C_853"/>
      <sheetName val="[97_207COSRP11.xls]_97_207C_863"/>
      <sheetName val="[97_207COSRP11.xls]_97_207C_854"/>
      <sheetName val="[97_207COSRP11.xls]_97_207C_855"/>
      <sheetName val="[97_207COSRP11.xls]_97_207C_856"/>
      <sheetName val="[97_207COSRP11.xls]_97_207C_857"/>
      <sheetName val="[97_207COSRP11.xls]_97_207C_858"/>
      <sheetName val="[97_207COSRP11.xls]_97_207C_859"/>
      <sheetName val="[97_207COSRP11.xls]_97_207C_860"/>
      <sheetName val="[97_207COSRP11.xls]_97_207C_881"/>
      <sheetName val="[97_207COSRP11.xls]_97_207C_864"/>
      <sheetName val="[97_207COSRP11.xls]_97_207C_865"/>
      <sheetName val="[97_207COSRP11.xls]_97_207C_866"/>
      <sheetName val="[97_207COSRP11.xls]_97_207C_882"/>
      <sheetName val="[97_207COSRP11.xls]_97_207C_867"/>
      <sheetName val="[97_207COSRP11.xls]_97_207C_868"/>
      <sheetName val="[97_207COSRP11.xls]_97_207C_869"/>
      <sheetName val="[97_207COSRP11.xls]_97_207C_883"/>
      <sheetName val="[97_207COSRP11.xls]_97_207C_870"/>
      <sheetName val="[97_207COSRP11.xls]_97_207C_884"/>
      <sheetName val="[97_207COSRP11.xls]_97_207C_885"/>
      <sheetName val="[97_207COSRP11.xls]_97_207C_886"/>
      <sheetName val="[97_207COSRP11.xls]_97_207C_887"/>
      <sheetName val="[97_207COSRP11.xls]_97_207C_871"/>
      <sheetName val="[97_207COSRP11.xls]_97_207C_872"/>
      <sheetName val="[97_207COSRP11.xls]_97_207C_873"/>
      <sheetName val="[97_207COSRP11.xls]_97_207C_874"/>
      <sheetName val="[97_207COSRP11.xls]_97_207C_875"/>
      <sheetName val="[97_207COSRP11.xls]_97_207C_876"/>
      <sheetName val="[97_207COSRP11.xls]_97_207C_877"/>
      <sheetName val="[97_207COSRP11.xls]_97_207C_878"/>
      <sheetName val="[97_207COSRP11.xls]_97_207C_879"/>
      <sheetName val="[97_207COSRP11.xls]_97_207C_880"/>
      <sheetName val="[97_207COSRP11.xls]_97_207C_891"/>
      <sheetName val="[97_207COSRP11.xls]_97_207C_892"/>
      <sheetName val="[97_207COSRP11.xls]_97_207C_893"/>
      <sheetName val="[97_207COSRP11.xls]_97_207C_894"/>
      <sheetName val="[97_207COSRP11.xls]_97_207C_895"/>
      <sheetName val="[97_207COSRP11.xls]_97_207C_896"/>
      <sheetName val="[97_207COSRP11.xls]_97_207C_897"/>
      <sheetName val="[97_207COSRP11.xls]_97_207C_908"/>
      <sheetName val="[97_207COSRP11.xls]_97_207C_909"/>
      <sheetName val="[97_207COSRP11.xls]_97_207C_910"/>
      <sheetName val="[97_207COSRP11.xls]_97_207C_911"/>
      <sheetName val="[97_207COSRP11.xls]_97_207C_912"/>
      <sheetName val="[97_207COSRP11.xls]_97_207C_913"/>
      <sheetName val="[97_207COSRP11.xls]_97_207C_914"/>
      <sheetName val="[97_207COSRP11.xls]_97_207C_915"/>
      <sheetName val="[97_207COSRP11.xls]_97_207C_916"/>
      <sheetName val="[97_207COSRP11.xls]_97_207C_917"/>
      <sheetName val="[97_207COSRP11.xls]_97_207C_918"/>
      <sheetName val="[97_207COSRP11.xls]_97_207C_919"/>
      <sheetName val="[97_207COSRP11.xls]_97_207C_933"/>
      <sheetName val="[97_207COSRP11.xls]_97_207C_934"/>
      <sheetName val="[97_207COSRP11.xls]_97_207C_935"/>
      <sheetName val="[97_207COSRP11.xls]_97_207C_936"/>
      <sheetName val="[97_207COSRP11.xls]_97_207C_937"/>
      <sheetName val="[97_207COSRP11.xls]_97_207C_938"/>
      <sheetName val="[97_207COSRP11.xls]_97_207C_939"/>
      <sheetName val="[97_207COSRP11.xls]_97_207C_923"/>
      <sheetName val="[97_207COSRP11.xls]_97_207C_924"/>
      <sheetName val="[97_207COSRP11.xls]_97_207C_925"/>
      <sheetName val="[97_207COSRP11.xls]_97_207C_930"/>
      <sheetName val="[97_207COSRP11.xls]_97_207C_926"/>
      <sheetName val="[97_207COSRP11.xls]_97_207C_927"/>
      <sheetName val="[97_207COSRP11.xls]_97_207C_931"/>
      <sheetName val="[97_207COSRP11.xls]_97_207C_928"/>
      <sheetName val="[97_207COSRP11.xls]_97_207C_929"/>
      <sheetName val="[97_207COSRP11.xls]_97_207C_932"/>
      <sheetName val="[97_207COSRP11.xls]_97_207C_946"/>
      <sheetName val="[97_207COSRP11.xls]_97_207C_947"/>
      <sheetName val="[97_207COSRP11.xls]_97_207C_948"/>
      <sheetName val="[97_207COSRP11.xls]_97_207C_943"/>
      <sheetName val="[97_207COSRP11.xls]_97_207C_944"/>
      <sheetName val="[97_207COSRP11.xls]_97_207C_945"/>
      <sheetName val="[97_207COSRP11.xls]_97_207C_991"/>
      <sheetName val="[97_207COSRP11.xls]_97_207C_992"/>
      <sheetName val="[97_207COSRP11.xls]_97_207C_993"/>
      <sheetName val="[97_207COSRP11.xls]_97_207C_971"/>
      <sheetName val="[97_207COSRP11.xls]_97_207C_972"/>
      <sheetName val="[97_207COSRP11.xls]_97_207C_973"/>
      <sheetName val="[97_207COSRP11.xls]_97_207C_974"/>
      <sheetName val="[97_207COSRP11.xls]_97_207C_975"/>
      <sheetName val="[97_207COSRP11.xls]_97_207C_988"/>
      <sheetName val="[97_207COSRP11.xls]_97_207C_989"/>
      <sheetName val="[97_207COSRP11.xls]_97_207C_990"/>
      <sheetName val="[97_207COSRP11.xls]_97_207C_976"/>
      <sheetName val="[97_207COSRP11.xls]_97_207C_977"/>
      <sheetName val="[97_207COSRP11.xls]_97_207C_949"/>
      <sheetName val="[97_207COSRP11.xls]_97_207C_950"/>
      <sheetName val="[97_207COSRP11.xls]_97_207C_951"/>
      <sheetName val="[97_207COSRP11.xls]_97_207C_952"/>
      <sheetName val="[97_207COSRP11.xls]_97_207C_953"/>
      <sheetName val="[97_207COSRP11.xls]_97_207C_954"/>
      <sheetName val="[97_207COSRP11.xls]_97_207C_955"/>
      <sheetName val="[97_207COSRP11.xls]_97_207C_956"/>
      <sheetName val="[97_207COSRP11.xls]_97_207C_957"/>
      <sheetName val="[97_207COSRP11.xls]_97_207C_958"/>
      <sheetName val="[97_207COSRP11.xls]_97_207C_959"/>
      <sheetName val="[97_207COSRP11.xls]_97_207C_960"/>
      <sheetName val="[97_207COSRP11.xls]_97_207C_961"/>
      <sheetName val="[97_207COSRP11.xls]_97_207C_962"/>
      <sheetName val="[97_207COSRP11.xls]_97_207C_963"/>
      <sheetName val="[97_207COSRP11.xls]_97_207C_964"/>
      <sheetName val="[97_207COSRP11.xls]_97_207C_965"/>
      <sheetName val="[97_207COSRP11.xls]_97_207C_966"/>
      <sheetName val="[97_207COSRP11.xls]_97_207C_967"/>
      <sheetName val="[97_207COSRP11.xls]_97_207C_968"/>
      <sheetName val="[97_207COSRP11.xls]_97_207C_969"/>
      <sheetName val="[97_207COSRP11.xls]_97_207C_970"/>
      <sheetName val="[97_207COSRP11.xls]_97_207C_978"/>
      <sheetName val="[97_207COSRP11.xls]_97_207C_979"/>
      <sheetName val="[97_207COSRP11.xls]_97_207C_980"/>
      <sheetName val="[97_207COSRP11.xls]_97_207C_981"/>
      <sheetName val="[97_207COSRP11.xls]_97_207C_982"/>
      <sheetName val="[97_207COSRP11.xls]_97_207C_983"/>
      <sheetName val="[97_207COSRP11.xls]_97_207C_984"/>
      <sheetName val="[97_207COSRP11.xls]_97_207C_985"/>
      <sheetName val="[97_207COSRP11.xls]_97_207C_986"/>
      <sheetName val="[97_207COSRP11.xls]_97_207C_987"/>
      <sheetName val="[97_207COSRP11.xls]_97_207C_996"/>
      <sheetName val="[97_207COSRP11.xls]_97_207C_997"/>
      <sheetName val="[97_207COSRP11.xls]_97_207C_998"/>
      <sheetName val="[97_207COSRP11.xls]_97_207_1003"/>
      <sheetName val="[97_207COSRP11.xls]_97_207C_999"/>
      <sheetName val="[97_207COSRP11.xls]_97_207_1000"/>
      <sheetName val="[97_207COSRP11.xls]_97_207_1004"/>
      <sheetName val="[97_207COSRP11.xls]_97_207_1001"/>
      <sheetName val="[97_207COSRP11.xls]_97_207_1002"/>
      <sheetName val="[97_207COSRP11.xls]_97_207_1005"/>
      <sheetName val="[97_207COSRP11.xls]_97_207C_994"/>
      <sheetName val="[97_207COSRP11.xls]_97_207C_995"/>
      <sheetName val="[97_207COSRP11.xls]_97_207_1006"/>
      <sheetName val="[97_207COSRP11.xls]_97_207_1007"/>
      <sheetName val="[97_207COSRP11.xls]_97_207_1008"/>
      <sheetName val="[97_207COSRP11.xls]_97_207_1009"/>
      <sheetName val="[97_207COSRP11.xls]_97_207_1010"/>
      <sheetName val="[97_207COSRP11.xls]_97_207_1011"/>
      <sheetName val="[97_207COSRP11.xls]_97_207_1012"/>
      <sheetName val="[97_207COSRP11.xls]_97_207_1013"/>
      <sheetName val="[97_207COSRP11.xls]_97_207_1014"/>
      <sheetName val="[97_207COSRP11.xls]_97_207_1015"/>
      <sheetName val="[97_207COSRP11.xls]_97_207_1016"/>
      <sheetName val="[97_207COSRP11.xls]_97_207_1017"/>
      <sheetName val="[97_207COSRP11.xls]_97_207_1018"/>
      <sheetName val="[97_207COSRP11.xls]_97_207_1019"/>
      <sheetName val="[97_207COSRP11.xls]_97_207_1020"/>
      <sheetName val="[97_207COSRP11.xls]_97_207_1021"/>
      <sheetName val="[97_207COSRP11.xls]_97_207_1022"/>
      <sheetName val="[97_207COSRP11.xls]_97_207_1023"/>
      <sheetName val="[97_207COSRP11.xls]_97_207_1024"/>
      <sheetName val="[97_207COSRP11.xls]_97_207_1025"/>
      <sheetName val="[97_207COSRP11.xls]_97_207_1026"/>
      <sheetName val="[97_207COSRP11.xls]_97_207_1027"/>
      <sheetName val="[97_207COSRP11.xls]_97_207_1028"/>
      <sheetName val="[97_207COSRP11.xls]_97_207_1029"/>
      <sheetName val="[97_207COSRP11.xls]_97_207_1030"/>
      <sheetName val="[97_207COSRP11.xls]_97_207_1031"/>
      <sheetName val="[97_207COSRP11.xls]_97_207_1194"/>
      <sheetName val="[97_207COSRP11.xls]_97_207_1187"/>
      <sheetName val="[97_207COSRP11.xls]_97_207_1188"/>
      <sheetName val="[97_207COSRP11.xls]_97_207_1189"/>
      <sheetName val="[97_207COSRP11.xls]_97_207_1190"/>
      <sheetName val="[97_207COSRP11.xls]_97_207_1195"/>
      <sheetName val="[97_207COSRP11.xls]_97_207_1196"/>
      <sheetName val="[97_207COSRP11.xls]_97_207_1191"/>
      <sheetName val="[97_207COSRP11.xls]_97_207_1192"/>
      <sheetName val="[97_207COSRP11.xls]_97_207_1193"/>
      <sheetName val="[97_207COSRP11.xls]_97_207_1044"/>
      <sheetName val="[97_207COSRP11.xls]_97_207_1045"/>
      <sheetName val="[97_207COSRP11.xls]_97_207_1046"/>
      <sheetName val="[97_207COSRP11.xls]_97_207_1047"/>
      <sheetName val="[97_207COSRP11.xls]_97_207_1048"/>
      <sheetName val="[97_207COSRP11.xls]_97_207_1051"/>
      <sheetName val="[97_207COSRP11.xls]_97_207_1052"/>
      <sheetName val="[97_207COSRP11.xls]_97_207_1053"/>
      <sheetName val="[97_207COSRP11.xls]_97_207_1049"/>
      <sheetName val="[97_207COSRP11.xls]_97_207_1050"/>
      <sheetName val="[97_207COSRP11.xls]_97_207_1032"/>
      <sheetName val="[97_207COSRP11.xls]_97_207_1033"/>
      <sheetName val="[97_207COSRP11.xls]_97_207_1034"/>
      <sheetName val="[97_207COSRP11.xls]_97_207_1035"/>
      <sheetName val="[97_207COSRP11.xls]_97_207_1036"/>
      <sheetName val="[97_207COSRP11.xls]_97_207_1037"/>
      <sheetName val="[97_207COSRP11.xls]_97_207_1038"/>
      <sheetName val="[97_207COSRP11.xls]_97_207_1039"/>
      <sheetName val="[97_207COSRP11.xls]_97_207_1040"/>
      <sheetName val="[97_207COSRP11.xls]_97_207_1041"/>
      <sheetName val="[97_207COSRP11.xls]_97_207_1042"/>
      <sheetName val="[97_207COSRP11.xls]_97_207_1043"/>
      <sheetName val="[97_207COSRP11.xls]_97_207_1065"/>
      <sheetName val="[97_207COSRP11.xls]_97_207_1066"/>
      <sheetName val="[97_207COSRP11.xls]_97_207_1067"/>
      <sheetName val="[97_207COSRP11.xls]_97_207_1058"/>
      <sheetName val="[97_207COSRP11.xls]_97_207_1059"/>
      <sheetName val="[97_207COSRP11.xls]_97_207_1060"/>
      <sheetName val="[97_207COSRP11.xls]_97_207_1061"/>
      <sheetName val="[97_207COSRP11.xls]_97_207_1062"/>
      <sheetName val="[97_207COSRP11.xls]_97_207_1063"/>
      <sheetName val="[97_207COSRP11.xls]_97_207_1064"/>
      <sheetName val="[97_207COSRP11.xls]_97_207_1054"/>
      <sheetName val="[97_207COSRP11.xls]_97_207_1055"/>
      <sheetName val="[97_207COSRP11.xls]_97_207_1056"/>
      <sheetName val="[97_207COSRP11.xls]_97_207_1057"/>
      <sheetName val="[97_207COSRP11.xls]_97_207_1154"/>
      <sheetName val="[97_207COSRP11.xls]_97_207_1155"/>
      <sheetName val="[97_207COSRP11.xls]_97_207_1156"/>
      <sheetName val="[97_207COSRP11.xls]_97_207_1184"/>
      <sheetName val="[97_207COSRP11.xls]_97_207_1157"/>
      <sheetName val="[97_207COSRP11.xls]_97_207_1158"/>
      <sheetName val="[97_207COSRP11.xls]_97_207_1185"/>
      <sheetName val="[97_207COSRP11.xls]_97_207_1186"/>
      <sheetName val="[97_207COSRP11.xls]_97_207_1159"/>
      <sheetName val="[97_207COSRP11.xls]_97_207_1160"/>
      <sheetName val="[97_207COSRP11.xls]_97_207_1068"/>
      <sheetName val="[97_207COSRP11.xls]_97_207_1069"/>
      <sheetName val="[97_207COSRP11.xls]_97_207_1070"/>
      <sheetName val="[97_207COSRP11.xls]_97_207_1075"/>
      <sheetName val="[97_207COSRP11.xls]_97_207_1071"/>
      <sheetName val="[97_207COSRP11.xls]_97_207_1072"/>
      <sheetName val="[97_207COSRP11.xls]_97_207_1076"/>
      <sheetName val="[97_207COSRP11.xls]_97_207_1077"/>
      <sheetName val="[97_207COSRP11.xls]_97_207_1073"/>
      <sheetName val="[97_207COSRP11.xls]_97_207_1074"/>
      <sheetName val="[97_207COSRP11.xls]_97_207_1078"/>
      <sheetName val="[97_207COSRP11.xls]_97_207_1079"/>
      <sheetName val="[97_207COSRP11.xls]_97_207_1080"/>
      <sheetName val="[97_207COSRP11.xls]_97_207_1085"/>
      <sheetName val="[97_207COSRP11.xls]_97_207_1081"/>
      <sheetName val="[97_207COSRP11.xls]_97_207_1082"/>
      <sheetName val="[97_207COSRP11.xls]_97_207_1086"/>
      <sheetName val="[97_207COSRP11.xls]_97_207_1087"/>
      <sheetName val="[97_207COSRP11.xls]_97_207_1083"/>
      <sheetName val="[97_207COSRP11.xls]_97_207_1084"/>
      <sheetName val="[97_207COSRP11.xls]_97_207_1088"/>
      <sheetName val="[97_207COSRP11.xls]_97_207_1089"/>
      <sheetName val="[97_207COSRP11.xls]_97_207_1090"/>
      <sheetName val="[97_207COSRP11.xls]_97_207_1091"/>
      <sheetName val="[97_207COSRP11.xls]_97_207_1092"/>
      <sheetName val="[97_207COSRP11.xls]_97_207_1093"/>
      <sheetName val="[97_207COSRP11.xls]_97_207_1094"/>
      <sheetName val="[97_207COSRP11.xls]_97_207_1095"/>
      <sheetName val="[97_207COSRP11.xls]_97_207_1096"/>
      <sheetName val="[97_207COSRP11.xls]_97_207_1097"/>
      <sheetName val="[97_207COSRP11.xls]_97_207_1098"/>
      <sheetName val="[97_207COSRP11.xls]_97_207_1099"/>
      <sheetName val="[97_207COSRP11.xls]_97_207_1100"/>
      <sheetName val="[97_207COSRP11.xls]_97_207_1101"/>
      <sheetName val="[97_207COSRP11.xls]_97_207_1102"/>
      <sheetName val="[97_207COSRP11.xls]_97_207_1103"/>
      <sheetName val="[97_207COSRP11.xls]_97_207_1104"/>
      <sheetName val="[97_207COSRP11.xls]_97_207_1105"/>
      <sheetName val="[97_207COSRP11.xls]_97_207_1106"/>
      <sheetName val="[97_207COSRP11.xls]_97_207_1107"/>
      <sheetName val="[97_207COSRP11.xls]_97_207_1108"/>
      <sheetName val="[97_207COSRP11.xls]_97_207_1109"/>
      <sheetName val="[97_207COSRP11.xls]_97_207_1110"/>
      <sheetName val="[97_207COSRP11.xls]_97_207_1111"/>
      <sheetName val="[97_207COSRP11.xls]_97_207_1116"/>
      <sheetName val="[97_207COSRP11.xls]_97_207_1112"/>
      <sheetName val="[97_207COSRP11.xls]_97_207_1113"/>
      <sheetName val="[97_207COSRP11.xls]_97_207_1117"/>
      <sheetName val="[97_207COSRP11.xls]_97_207_1118"/>
      <sheetName val="[97_207COSRP11.xls]_97_207_1114"/>
      <sheetName val="[97_207COSRP11.xls]_97_207_1115"/>
      <sheetName val="[97_207COSRP11.xls]_97_207_1119"/>
      <sheetName val="[97_207COSRP11.xls]_97_207_1120"/>
      <sheetName val="[97_207COSRP11.xls]_97_207_1121"/>
      <sheetName val="[97_207COSRP11.xls]_97_207_1122"/>
      <sheetName val="[97_207COSRP11.xls]_97_207_1123"/>
      <sheetName val="[97_207COSRP11.xls]_97_207_1124"/>
      <sheetName val="[97_207COSRP11.xls]_97_207_1125"/>
      <sheetName val="[97_207COSRP11.xls]_97_207_1126"/>
      <sheetName val="[97_207COSRP11.xls]_97_207_1127"/>
      <sheetName val="[97_207COSRP11.xls]_97_207_1128"/>
      <sheetName val="[97_207COSRP11.xls]_97_207_1129"/>
      <sheetName val="[97_207COSRP11.xls]_97_207_1130"/>
      <sheetName val="[97_207COSRP11.xls]_97_207_1131"/>
      <sheetName val="[97_207COSRP11.xls]_97_207_1132"/>
      <sheetName val="[97_207COSRP11.xls]_97_207_1133"/>
      <sheetName val="[97_207COSRP11.xls]_97_207_1134"/>
      <sheetName val="[97_207COSRP11.xls]_97_207_1135"/>
      <sheetName val="[97_207COSRP11.xls]_97_207_1136"/>
      <sheetName val="[97_207COSRP11.xls]_97_207_1137"/>
      <sheetName val="[97_207COSRP11.xls]_97_207_1138"/>
      <sheetName val="[97_207COSRP11.xls]_97_207_1139"/>
      <sheetName val="[97_207COSRP11.xls]_97_207_1140"/>
      <sheetName val="[97_207COSRP11.xls]_97_207_1141"/>
      <sheetName val="[97_207COSRP11.xls]_97_207_1142"/>
      <sheetName val="[97_207COSRP11.xls]_97_207_1143"/>
      <sheetName val="[97_207COSRP11.xls]_97_207_1144"/>
      <sheetName val="[97_207COSRP11.xls]_97_207_1145"/>
      <sheetName val="[97_207COSRP11.xls]_97_207_1146"/>
      <sheetName val="[97_207COSRP11.xls]_97_207_1147"/>
      <sheetName val="[97_207COSRP11.xls]_97_207_1148"/>
      <sheetName val="[97_207COSRP11.xls]_97_207_1149"/>
      <sheetName val="[97_207COSRP11.xls]_97_207_1150"/>
      <sheetName val="[97_207COSRP11.xls]_97_207_1151"/>
      <sheetName val="[97_207COSRP11.xls]_97_207_1152"/>
      <sheetName val="[97_207COSRP11.xls]_97_207_1153"/>
      <sheetName val="[97_207COSRP11.xls]_97_207_1178"/>
      <sheetName val="[97_207COSRP11.xls]_97_207_1179"/>
      <sheetName val="[97_207COSRP11.xls]_97_207_1180"/>
      <sheetName val="[97_207COSRP11.xls]_97_207_1168"/>
      <sheetName val="[97_207COSRP11.xls]_97_207_1169"/>
      <sheetName val="[97_207COSRP11.xls]_97_207_1170"/>
      <sheetName val="[97_207COSRP11.xls]_97_207_1171"/>
      <sheetName val="[97_207COSRP11.xls]_97_207_1172"/>
      <sheetName val="[97_207COSRP11.xls]_97_207_1173"/>
      <sheetName val="[97_207COSRP11.xls]_97_207_1174"/>
      <sheetName val="[97_207COSRP11.xls]_97_207_1161"/>
      <sheetName val="[97_207COSRP11.xls]_97_207_1162"/>
      <sheetName val="[97_207COSRP11.xls]_97_207_1163"/>
      <sheetName val="[97_207COSRP11.xls]_97_207_1164"/>
      <sheetName val="[97_207COSRP11.xls]_97_207_1165"/>
      <sheetName val="[97_207COSRP11.xls]_97_207_1166"/>
      <sheetName val="[97_207COSRP11.xls]_97_207_1167"/>
      <sheetName val="[97_207COSRP11.xls]_97_207_1175"/>
      <sheetName val="[97_207COSRP11.xls]_97_207_1176"/>
      <sheetName val="[97_207COSRP11.xls]_97_207_1177"/>
      <sheetName val="[97_207COSRP11.xls]_97_207_1181"/>
      <sheetName val="[97_207COSRP11.xls]_97_207_1182"/>
      <sheetName val="[97_207COSRP11.xls]_97_207_1183"/>
      <sheetName val="[97_207COSRP11.xls]B________394"/>
      <sheetName val="[97_207COSRP11.xls]B________395"/>
      <sheetName val="[97_207COSRP11.xls]_97_207_1209"/>
      <sheetName val="[97_207COSRP11.xls]_97_207_1205"/>
      <sheetName val="[97_207COSRP11.xls]_97_207_1206"/>
      <sheetName val="[97_207COSRP11.xls]_97_207_1207"/>
      <sheetName val="[97_207COSRP11.xls]_97_207_1210"/>
      <sheetName val="[97_207COSRP11.xls]_97_207_1208"/>
      <sheetName val="[97_207COSRP11.xls]_97_207_1199"/>
      <sheetName val="[97_207COSRP11.xls]_97_207_1200"/>
      <sheetName val="[97_207COSRP11.xls]_97_207_1197"/>
      <sheetName val="[97_207COSRP11.xls]_97_207_1198"/>
      <sheetName val="[97_207COSRP11.xls]B________393"/>
      <sheetName val="[97_207COSRP11.xls]_97_207_1201"/>
      <sheetName val="[97_207COSRP11.xls]_97_207_1202"/>
      <sheetName val="[97_207COSRP11.xls]_97_207_1203"/>
      <sheetName val="[97_207COSRP11.xls]_97_207_1204"/>
      <sheetName val="[97_207COSRP11.xls]B________396"/>
      <sheetName val="[97_207COSRP11.xls]B________397"/>
      <sheetName val="[97_207COSRP11.xls]_97_207_1215"/>
      <sheetName val="[97_207COSRP11.xls]_97_207_1211"/>
      <sheetName val="[97_207COSRP11.xls]_97_207_1212"/>
      <sheetName val="[97_207COSRP11.xls]_97_207_1213"/>
      <sheetName val="[97_207COSRP11.xls]_97_207_1216"/>
      <sheetName val="[97_207COSRP11.xls]_97_207_1214"/>
      <sheetName val="[97_207COSRP11.xls]_97_207_1218"/>
      <sheetName val="[97_207COSRP11.xls]_97_207_1217"/>
      <sheetName val="[97_207COSRP11.xls]_97_207_1219"/>
      <sheetName val="[97_207COSRP11.xls]B________398"/>
      <sheetName val="[97_207COSRP11.xls]B________399"/>
      <sheetName val="[97_207COSRP11.xls]_97_207_1233"/>
      <sheetName val="[97_207COSRP11.xls]_97_207_1234"/>
      <sheetName val="[97_207COSRP11.xls]_97_207_1220"/>
      <sheetName val="[97_207COSRP11.xls]_97_207_1225"/>
      <sheetName val="[97_207COSRP11.xls]_97_207_1226"/>
      <sheetName val="[97_207COSRP11.xls]B________400"/>
      <sheetName val="[97_207COSRP11.xls]B________401"/>
      <sheetName val="[97_207COSRP11.xls]_97_207_1229"/>
      <sheetName val="[97_207COSRP11.xls]_97_207_1227"/>
      <sheetName val="[97_207COSRP11.xls]_97_207_1228"/>
      <sheetName val="[97_207COSRP11.xls]_97_207_1230"/>
      <sheetName val="[97_207COSRP11.xls]_97_207_1223"/>
      <sheetName val="[97_207COSRP11.xls]_97_207_1224"/>
      <sheetName val="[97_207COSRP11.xls]_97_207_1221"/>
      <sheetName val="[97_207COSRP11.xls]_97_207_1222"/>
      <sheetName val="[97_207COSRP11.xls]_97_207_1231"/>
      <sheetName val="[97_207COSRP11.xls]_97_207_1232"/>
      <sheetName val="[97_207COSRP11.xls]_97_207_1235"/>
      <sheetName val="[97_207COSRP11.xls]B________402"/>
      <sheetName val="[97_207COSRP11.xls]B________403"/>
      <sheetName val="[97_207COSRP11.xls]_97_207_1236"/>
      <sheetName val="[97_207COSRP11.xls]B________406"/>
      <sheetName val="[97_207COSRP11.xls]B________407"/>
      <sheetName val="[97_207COSRP11.xls]_97_207_1241"/>
      <sheetName val="[97_207COSRP11.xls]_97_207_1238"/>
      <sheetName val="[97_207COSRP11.xls]_97_207_1240"/>
      <sheetName val="[97_207COSRP11.xls]_97_207_1242"/>
      <sheetName val="[97_207COSRP11.xls]B________408"/>
      <sheetName val="[97_207COSRP11.xls]B________409"/>
      <sheetName val="[97_207COSRP11.xls]_97_207_1243"/>
      <sheetName val="[97_207COSRP11.xls]_97_207_1244"/>
      <sheetName val="[97_207COSRP11.xls]B________410"/>
      <sheetName val="[97_207COSRP11.xls]B________411"/>
      <sheetName val="[97_207COSRP11.xls]_97_207_1245"/>
      <sheetName val="[97_207COSRP11.xls]_97_207_1246"/>
      <sheetName val="[97_207COSRP11.xls]_97_207_1247"/>
      <sheetName val="[97_207COSRP11.xls]_97_207_1248"/>
      <sheetName val="[97_207COSRP11.xls]B________580"/>
      <sheetName val="[97_207COSRP11.xls]B________581"/>
      <sheetName val="[97_207COSRP11.xls]_97_207_1745"/>
      <sheetName val="[97_207COSRP11.xls]_97_207_1746"/>
      <sheetName val="[97_207COSRP11.xls]_97_207_1747"/>
      <sheetName val="[97_207COSRP11.xls]B________414"/>
      <sheetName val="[97_207COSRP11.xls]B________415"/>
      <sheetName val="[97_207COSRP11.xls]_97_207_1690"/>
      <sheetName val="[97_207COSRP11.xls]B________546"/>
      <sheetName val="[97_207COSRP11.xls]B________547"/>
      <sheetName val="[97_207COSRP11.xls]_97_207_1705"/>
      <sheetName val="[97_207COSRP11.xls]_97_207_1686"/>
      <sheetName val="[97_207COSRP11.xls]B________538"/>
      <sheetName val="[97_207COSRP11.xls]B________539"/>
      <sheetName val="[97_207COSRP11.xls]_97_207_1275"/>
      <sheetName val="[97_207COSRP11.xls]_97_207_1276"/>
      <sheetName val="[97_207COSRP11.xls]_97_207_1277"/>
      <sheetName val="[97_207COSRP11.xls]_97_207_1282"/>
      <sheetName val="[97_207COSRP11.xls]_97_207_1278"/>
      <sheetName val="[97_207COSRP11.xls]_97_207_1279"/>
      <sheetName val="[97_207COSRP11.xls]_97_207_1283"/>
      <sheetName val="[97_207COSRP11.xls]_97_207_1280"/>
      <sheetName val="[97_207COSRP11.xls]_97_207_1281"/>
      <sheetName val="[97_207COSRP11.xls]_97_207_1284"/>
      <sheetName val="[97_207COSRP11.xls]_97_207_1265"/>
      <sheetName val="[97_207COSRP11.xls]_97_207_1266"/>
      <sheetName val="[97_207COSRP11.xls]_97_207_1267"/>
      <sheetName val="[97_207COSRP11.xls]_97_207_1272"/>
      <sheetName val="[97_207COSRP11.xls]_97_207_1268"/>
      <sheetName val="[97_207COSRP11.xls]_97_207_1269"/>
      <sheetName val="[97_207COSRP11.xls]_97_207_1273"/>
      <sheetName val="[97_207COSRP11.xls]_97_207_1270"/>
      <sheetName val="[97_207COSRP11.xls]_97_207_1271"/>
      <sheetName val="[97_207COSRP11.xls]_97_207_1274"/>
      <sheetName val="[97_207COSRP11.xls]_97_207_1253"/>
      <sheetName val="[97_207COSRP11.xls]_97_207_1254"/>
      <sheetName val="[97_207COSRP11.xls]_97_207_1255"/>
      <sheetName val="[97_207COSRP11.xls]_97_207_1256"/>
      <sheetName val="[97_207COSRP11.xls]_97_207_1257"/>
      <sheetName val="[97_207COSRP11.xls]_97_207_1258"/>
      <sheetName val="[97_207COSRP11.xls]_97_207_1259"/>
      <sheetName val="[97_207COSRP11.xls]_97_207_1260"/>
      <sheetName val="[97_207COSRP11.xls]_97_207_1261"/>
      <sheetName val="[97_207COSRP11.xls]_97_207_1262"/>
      <sheetName val="[97_207COSRP11.xls]_97_207_1263"/>
      <sheetName val="[97_207COSRP11.xls]_97_207_1264"/>
      <sheetName val="[97_207COSRP11.xls]_97_207_1292"/>
      <sheetName val="[97_207COSRP11.xls]_97_207_1285"/>
      <sheetName val="[97_207COSRP11.xls]_97_207_1286"/>
      <sheetName val="[97_207COSRP11.xls]_97_207_1293"/>
      <sheetName val="[97_207COSRP11.xls]_97_207_1287"/>
      <sheetName val="[97_207COSRP11.xls]_97_207_1288"/>
      <sheetName val="[97_207COSRP11.xls]_97_207_1294"/>
      <sheetName val="[97_207COSRP11.xls]_97_207_1289"/>
      <sheetName val="[97_207COSRP11.xls]_97_207_1290"/>
      <sheetName val="[97_207COSRP11.xls]_97_207_1291"/>
      <sheetName val="[97_207COSRP11.xls]_97_207_1295"/>
      <sheetName val="[97_207COSRP11.xls]_97_207_1296"/>
      <sheetName val="[97_207COSRP11.xls]_97_207_1297"/>
      <sheetName val="[97_207COSRP11.xls]_97_207_1298"/>
      <sheetName val="[97_207COSRP11.xls]_97_207_1299"/>
      <sheetName val="[97_207COSRP11.xls]B________416"/>
      <sheetName val="[97_207COSRP11.xls]B________417"/>
      <sheetName val="[97_207COSRP11.xls]_97_207_1305"/>
      <sheetName val="[97_207COSRP11.xls]_97_207_1300"/>
      <sheetName val="[97_207COSRP11.xls]_97_207_1301"/>
      <sheetName val="[97_207COSRP11.xls]_97_207_1306"/>
      <sheetName val="[97_207COSRP11.xls]B________418"/>
      <sheetName val="[97_207COSRP11.xls]_97_207_1302"/>
      <sheetName val="[97_207COSRP11.xls]_97_207_1303"/>
      <sheetName val="[97_207COSRP11.xls]_97_207_1307"/>
      <sheetName val="[97_207COSRP11.xls]_97_207_1304"/>
      <sheetName val="[97_207COSRP11.xls]_97_207_1308"/>
      <sheetName val="[97_207COSRP11.xls]_97_207_1309"/>
      <sheetName val="[97_207COSRP11.xls]_97_207_1310"/>
      <sheetName val="[97_207COSRP11.xls]_97_207_1364"/>
      <sheetName val="[97_207COSRP11.xls]_97_207_1365"/>
      <sheetName val="[97_207COSRP11.xls]_97_207_1366"/>
      <sheetName val="[97_207COSRP11.xls]_97_207_1323"/>
      <sheetName val="[97_207COSRP11.xls]_97_207_1324"/>
      <sheetName val="[97_207COSRP11.xls]_97_207_1325"/>
      <sheetName val="[97_207COSRP11.xls]B________428"/>
      <sheetName val="[97_207COSRP11.xls]B________429"/>
      <sheetName val="[97_207COSRP11.xls]_97_207_1330"/>
      <sheetName val="[97_207COSRP11.xls]_97_207_1326"/>
      <sheetName val="[97_207COSRP11.xls]_97_207_1327"/>
      <sheetName val="[97_207COSRP11.xls]_97_207_1331"/>
      <sheetName val="[97_207COSRP11.xls]_97_207_1332"/>
      <sheetName val="[97_207COSRP11.xls]B________430"/>
      <sheetName val="[97_207COSRP11.xls]_97_207_1328"/>
      <sheetName val="[97_207COSRP11.xls]_97_207_1329"/>
      <sheetName val="[97_207COSRP11.xls]_97_207_1316"/>
      <sheetName val="[97_207COSRP11.xls]_97_207_1317"/>
      <sheetName val="[97_207COSRP11.xls]_97_207_1318"/>
      <sheetName val="[97_207COSRP11.xls]B________425"/>
      <sheetName val="[97_207COSRP11.xls]B________426"/>
      <sheetName val="[97_207COSRP11.xls]_97_207_1319"/>
      <sheetName val="[97_207COSRP11.xls]_97_207_1320"/>
      <sheetName val="[97_207COSRP11.xls]B________427"/>
      <sheetName val="[97_207COSRP11.xls]_97_207_1321"/>
      <sheetName val="[97_207COSRP11.xls]_97_207_1322"/>
      <sheetName val="[97_207COSRP11.xls]B________419"/>
      <sheetName val="[97_207COSRP11.xls]B________420"/>
      <sheetName val="[97_207COSRP11.xls]B________421"/>
      <sheetName val="[97_207COSRP11.xls]_97_207_1311"/>
      <sheetName val="[97_207COSRP11.xls]B________422"/>
      <sheetName val="[97_207COSRP11.xls]B________423"/>
      <sheetName val="[97_207COSRP11.xls]_97_207_1312"/>
      <sheetName val="[97_207COSRP11.xls]_97_207_1313"/>
      <sheetName val="[97_207COSRP11.xls]B________424"/>
      <sheetName val="[97_207COSRP11.xls]_97_207_1314"/>
      <sheetName val="[97_207COSRP11.xls]_97_207_1315"/>
      <sheetName val="[97_207COSRP11.xls]_97_207_1333"/>
      <sheetName val="[97_207COSRP11.xls]_97_207_1334"/>
      <sheetName val="[97_207COSRP11.xls]_97_207_1335"/>
      <sheetName val="[97_207COSRP11.xls]_97_207_1336"/>
      <sheetName val="[97_207COSRP11.xls]_97_207_1337"/>
      <sheetName val="[97_207COSRP11.xls]B________431"/>
      <sheetName val="[97_207COSRP11.xls]B________432"/>
      <sheetName val="[97_207COSRP11.xls]_97_207_1344"/>
      <sheetName val="[97_207COSRP11.xls]_97_207_1338"/>
      <sheetName val="[97_207COSRP11.xls]_97_207_1339"/>
      <sheetName val="[97_207COSRP11.xls]_97_207_1345"/>
      <sheetName val="[97_207COSRP11.xls]B________433"/>
      <sheetName val="[97_207COSRP11.xls]_97_207_1340"/>
      <sheetName val="[97_207COSRP11.xls]_97_207_1341"/>
      <sheetName val="[97_207COSRP11.xls]_97_207_1342"/>
      <sheetName val="[97_207COSRP11.xls]_97_207_1343"/>
      <sheetName val="[97_207COSRP11.xls]_97_207_1353"/>
      <sheetName val="[97_207COSRP11.xls]_97_207_1354"/>
      <sheetName val="[97_207COSRP11.xls]_97_207_1355"/>
      <sheetName val="[97_207COSRP11.xls]B________434"/>
      <sheetName val="[97_207COSRP11.xls]B________435"/>
      <sheetName val="[97_207COSRP11.xls]_97_207_1350"/>
      <sheetName val="[97_207COSRP11.xls]_97_207_1346"/>
      <sheetName val="[97_207COSRP11.xls]_97_207_1347"/>
      <sheetName val="[97_207COSRP11.xls]_97_207_1351"/>
      <sheetName val="[97_207COSRP11.xls]_97_207_1352"/>
      <sheetName val="[97_207COSRP11.xls]B________436"/>
      <sheetName val="[97_207COSRP11.xls]_97_207_1348"/>
      <sheetName val="[97_207COSRP11.xls]_97_207_1349"/>
      <sheetName val="[97_207COSRP11.xls]_97_207_1362"/>
      <sheetName val="[97_207COSRP11.xls]_97_207_1363"/>
      <sheetName val="[97_207COSRP11.xls]_97_207_1356"/>
      <sheetName val="[97_207COSRP11.xls]_97_207_1357"/>
      <sheetName val="[97_207COSRP11.xls]_97_207_1358"/>
      <sheetName val="[97_207COSRP11.xls]_97_207_1359"/>
      <sheetName val="[97_207COSRP11.xls]_97_207_1360"/>
      <sheetName val="[97_207COSRP11.xls]_97_207_1361"/>
      <sheetName val="[97_207COSRP11.xls]B________437"/>
      <sheetName val="[97_207COSRP11.xls]B________438"/>
      <sheetName val="[97_207COSRP11.xls]B________439"/>
      <sheetName val="[97_207COSRP11.xls]_97_207_1369"/>
      <sheetName val="[97_207COSRP11.xls]_97_207_1370"/>
      <sheetName val="[97_207COSRP11.xls]_97_207_1371"/>
      <sheetName val="[97_207COSRP11.xls]B________440"/>
      <sheetName val="[97_207COSRP11.xls]B________441"/>
      <sheetName val="[97_207COSRP11.xls]_97_207_1376"/>
      <sheetName val="[97_207COSRP11.xls]_97_207_1372"/>
      <sheetName val="[97_207COSRP11.xls]_97_207_1373"/>
      <sheetName val="[97_207COSRP11.xls]_97_207_1377"/>
      <sheetName val="[97_207COSRP11.xls]B________442"/>
      <sheetName val="[97_207COSRP11.xls]_97_207_1374"/>
      <sheetName val="[97_207COSRP11.xls]_97_207_1375"/>
      <sheetName val="[97_207COSRP11.xls]_97_207_1378"/>
      <sheetName val="[97_207COSRP11.xls]_97_207_1367"/>
      <sheetName val="[97_207COSRP11.xls]_97_207_1368"/>
      <sheetName val="[97_207COSRP11.xls]_97_207_1379"/>
      <sheetName val="[97_207COSRP11.xls]_97_207_1380"/>
      <sheetName val="[97_207COSRP11.xls]_97_207_1381"/>
      <sheetName val="[97_207COSRP11.xls]B________529"/>
      <sheetName val="[97_207COSRP11.xls]B________530"/>
      <sheetName val="[97_207COSRP11.xls]_97_207_1665"/>
      <sheetName val="[97_207COSRP11.xls]_97_207_1658"/>
      <sheetName val="[97_207COSRP11.xls]_97_207_1659"/>
      <sheetName val="[97_207COSRP11.xls]_97_207_1660"/>
      <sheetName val="[97_207COSRP11.xls]_97_207_1661"/>
      <sheetName val="[97_207COSRP11.xls]_97_207_1666"/>
      <sheetName val="[97_207COSRP11.xls]B________531"/>
      <sheetName val="[97_207COSRP11.xls]_97_207_1662"/>
      <sheetName val="[97_207COSRP11.xls]_97_207_1663"/>
      <sheetName val="[97_207COSRP11.xls]_97_207_1667"/>
      <sheetName val="[97_207COSRP11.xls]_97_207_1664"/>
      <sheetName val="[97_207COSRP11.xls]_97_207_1624"/>
      <sheetName val="[97_207COSRP11.xls]_97_207_1625"/>
      <sheetName val="[97_207COSRP11.xls]_97_207_1626"/>
      <sheetName val="[97_207COSRP11.xls]_97_207_1425"/>
      <sheetName val="[97_207COSRP11.xls]_97_207_1426"/>
      <sheetName val="[97_207COSRP11.xls]_97_207_1427"/>
      <sheetName val="[97_207COSRP11.xls]B________473"/>
      <sheetName val="[97_207COSRP11.xls]B________474"/>
      <sheetName val="[97_207COSRP11.xls]_97_207_1471"/>
      <sheetName val="[97_207COSRP11.xls]_97_207_1428"/>
      <sheetName val="[97_207COSRP11.xls]_97_207_1429"/>
      <sheetName val="[97_207COSRP11.xls]_97_207_1472"/>
      <sheetName val="[97_207COSRP11.xls]_97_207_1473"/>
      <sheetName val="[97_207COSRP11.xls]B________475"/>
      <sheetName val="[97_207COSRP11.xls]_97_207_1430"/>
      <sheetName val="[97_207COSRP11.xls]_97_207_1431"/>
      <sheetName val="[97_207COSRP11.xls]_97_207_1411"/>
      <sheetName val="[97_207COSRP11.xls]_97_207_1412"/>
      <sheetName val="[97_207COSRP11.xls]B________467"/>
      <sheetName val="[97_207COSRP11.xls]B________468"/>
      <sheetName val="[97_207COSRP11.xls]_97_207_1418"/>
      <sheetName val="[97_207COSRP11.xls]_97_207_1413"/>
      <sheetName val="[97_207COSRP11.xls]_97_207_1414"/>
      <sheetName val="[97_207COSRP11.xls]_97_207_1419"/>
      <sheetName val="[97_207COSRP11.xls]B________469"/>
      <sheetName val="[97_207COSRP11.xls]_97_207_1415"/>
      <sheetName val="[97_207COSRP11.xls]_97_207_1416"/>
      <sheetName val="[97_207COSRP11.xls]_97_207_1420"/>
      <sheetName val="[97_207COSRP11.xls]_97_207_1417"/>
      <sheetName val="[97_207COSRP11.xls]B________452"/>
      <sheetName val="[97_207COSRP11.xls]B________453"/>
      <sheetName val="[97_207COSRP11.xls]B________454"/>
      <sheetName val="[97_207COSRP11.xls]_97_207_1382"/>
      <sheetName val="[97_207COSRP11.xls]B________443"/>
      <sheetName val="[97_207COSRP11.xls]B________444"/>
      <sheetName val="[97_207COSRP11.xls]B________445"/>
      <sheetName val="[97_207COSRP11.xls]B________446"/>
      <sheetName val="[97_207COSRP11.xls]B________447"/>
      <sheetName val="[97_207COSRP11.xls]B________448"/>
      <sheetName val="[97_207COSRP11.xls]B________449"/>
      <sheetName val="[97_207COSRP11.xls]B________450"/>
      <sheetName val="[97_207COSRP11.xls]B________451"/>
      <sheetName val="[97_207COSRP11.xls]_97_207_1383"/>
      <sheetName val="[97_207COSRP11.xls]_97_207_1384"/>
      <sheetName val="[97_207COSRP11.xls]_97_207_1385"/>
      <sheetName val="[97_207COSRP11.xls]B________455"/>
      <sheetName val="[97_207COSRP11.xls]B________456"/>
      <sheetName val="[97_207COSRP11.xls]_97_207_1386"/>
      <sheetName val="[97_207COSRP11.xls]_97_207_1387"/>
      <sheetName val="[97_207COSRP11.xls]B________457"/>
      <sheetName val="[97_207COSRP11.xls]_97_207_1388"/>
      <sheetName val="[97_207COSRP11.xls]_97_207_1389"/>
      <sheetName val="[97_207COSRP11.xls]_97_207_1390"/>
      <sheetName val="[97_207COSRP11.xls]_97_207_1391"/>
      <sheetName val="[97_207COSRP11.xls]_97_207_1392"/>
      <sheetName val="[97_207COSRP11.xls]B________458"/>
      <sheetName val="[97_207COSRP11.xls]B________459"/>
      <sheetName val="[97_207COSRP11.xls]_97_207_1393"/>
      <sheetName val="[97_207COSRP11.xls]_97_207_1394"/>
      <sheetName val="[97_207COSRP11.xls]B________460"/>
      <sheetName val="[97_207COSRP11.xls]_97_207_1395"/>
      <sheetName val="[97_207COSRP11.xls]_97_207_1396"/>
      <sheetName val="[97_207COSRP11.xls]_97_207_1397"/>
      <sheetName val="[97_207COSRP11.xls]_97_207_1398"/>
      <sheetName val="[97_207COSRP11.xls]_97_207_1399"/>
      <sheetName val="[97_207COSRP11.xls]B________461"/>
      <sheetName val="[97_207COSRP11.xls]B________462"/>
      <sheetName val="[97_207COSRP11.xls]_97_207_1400"/>
      <sheetName val="[97_207COSRP11.xls]_97_207_1401"/>
      <sheetName val="[97_207COSRP11.xls]B________463"/>
      <sheetName val="[97_207COSRP11.xls]_97_207_1402"/>
      <sheetName val="[97_207COSRP11.xls]_97_207_1403"/>
      <sheetName val="[97_207COSRP11.xls]_97_207_1404"/>
      <sheetName val="[97_207COSRP11.xls]_97_207_1405"/>
      <sheetName val="[97_207COSRP11.xls]B________464"/>
      <sheetName val="[97_207COSRP11.xls]B________465"/>
      <sheetName val="[97_207COSRP11.xls]_97_207_1406"/>
      <sheetName val="[97_207COSRP11.xls]_97_207_1407"/>
      <sheetName val="[97_207COSRP11.xls]B________466"/>
      <sheetName val="[97_207COSRP11.xls]_97_207_1408"/>
      <sheetName val="[97_207COSRP11.xls]_97_207_1409"/>
      <sheetName val="[97_207COSRP11.xls]_97_207_1410"/>
      <sheetName val="[97_207COSRP11.xls]B________470"/>
      <sheetName val="[97_207COSRP11.xls]B________471"/>
      <sheetName val="[97_207COSRP11.xls]_97_207_1421"/>
      <sheetName val="[97_207COSRP11.xls]_97_207_1422"/>
      <sheetName val="[97_207COSRP11.xls]B________472"/>
      <sheetName val="[97_207COSRP11.xls]_97_207_1423"/>
      <sheetName val="[97_207COSRP11.xls]_97_207_1424"/>
      <sheetName val="[97_207COSRP11.xls]_97_207_1432"/>
      <sheetName val="[97_207COSRP11.xls]_97_207_1433"/>
      <sheetName val="[97_207COSRP11.xls]_97_207_1434"/>
      <sheetName val="[97_207COSRP11.xls]B________476"/>
      <sheetName val="[97_207COSRP11.xls]B________477"/>
      <sheetName val="[97_207COSRP11.xls]_97_207_1435"/>
      <sheetName val="[97_207COSRP11.xls]_97_207_1436"/>
      <sheetName val="[97_207COSRP11.xls]B________478"/>
      <sheetName val="[97_207COSRP11.xls]_97_207_1437"/>
      <sheetName val="[97_207COSRP11.xls]_97_207_1438"/>
      <sheetName val="[97_207COSRP11.xls]B________482"/>
      <sheetName val="[97_207COSRP11.xls]B________483"/>
      <sheetName val="[97_207COSRP11.xls]_97_207_1621"/>
      <sheetName val="[97_207COSRP11.xls]_97_207_1474"/>
      <sheetName val="[97_207COSRP11.xls]_97_207_1475"/>
      <sheetName val="[97_207COSRP11.xls]_97_207_1622"/>
      <sheetName val="[97_207COSRP11.xls]_97_207_1623"/>
      <sheetName val="[97_207COSRP11.xls]B________484"/>
      <sheetName val="[97_207COSRP11.xls]_97_207_1476"/>
      <sheetName val="[97_207COSRP11.xls]_97_207_1477"/>
      <sheetName val="[97_207COSRP11.xls]_97_207_1439"/>
      <sheetName val="[97_207COSRP11.xls]_97_207_1440"/>
      <sheetName val="[97_207COSRP11.xls]_97_207_1441"/>
      <sheetName val="[97_207COSRP11.xls]_97_207_1442"/>
      <sheetName val="[97_207COSRP11.xls]_97_207_1449"/>
      <sheetName val="[97_207COSRP11.xls]_97_207_1443"/>
      <sheetName val="[97_207COSRP11.xls]_97_207_1444"/>
      <sheetName val="[97_207COSRP11.xls]_97_207_1450"/>
      <sheetName val="[97_207COSRP11.xls]_97_207_1445"/>
      <sheetName val="[97_207COSRP11.xls]_97_207_1446"/>
      <sheetName val="[97_207COSRP11.xls]_97_207_1447"/>
      <sheetName val="[97_207COSRP11.xls]_97_207_1451"/>
      <sheetName val="[97_207COSRP11.xls]_97_207_1448"/>
      <sheetName val="[97_207COSRP11.xls]_97_207_1452"/>
      <sheetName val="[97_207COSRP11.xls]_97_207_1453"/>
      <sheetName val="[97_207COSRP11.xls]_97_207_1454"/>
      <sheetName val="[97_207COSRP11.xls]_97_207_1455"/>
      <sheetName val="[97_207COSRP11.xls]_97_207_1456"/>
      <sheetName val="[97_207COSRP11.xls]_97_207_1457"/>
      <sheetName val="[97_207COSRP11.xls]B________479"/>
      <sheetName val="[97_207COSRP11.xls]B________480"/>
      <sheetName val="[97_207COSRP11.xls]_97_207_1462"/>
      <sheetName val="[97_207COSRP11.xls]_97_207_1458"/>
      <sheetName val="[97_207COSRP11.xls]_97_207_1459"/>
      <sheetName val="[97_207COSRP11.xls]_97_207_1463"/>
      <sheetName val="[97_207COSRP11.xls]B________481"/>
      <sheetName val="[97_207COSRP11.xls]_97_207_1460"/>
      <sheetName val="[97_207COSRP11.xls]_97_207_1461"/>
      <sheetName val="[97_207COSRP11.xls]_97_207_1464"/>
      <sheetName val="[97_207COSRP11.xls]_97_207_1465"/>
      <sheetName val="[97_207COSRP11.xls]_97_207_1466"/>
      <sheetName val="[97_207COSRP11.xls]_97_207_1467"/>
      <sheetName val="[97_207COSRP11.xls]_97_207_1468"/>
      <sheetName val="[97_207COSRP11.xls]_97_207_1469"/>
      <sheetName val="[97_207COSRP11.xls]_97_207_1470"/>
      <sheetName val="[97_207COSRP11.xls]_97_207_1615"/>
      <sheetName val="[97_207COSRP11.xls]_97_207_1616"/>
      <sheetName val="[97_207COSRP11.xls]_97_207_1617"/>
      <sheetName val="[97_207COSRP11.xls]_97_207_1518"/>
      <sheetName val="[97_207COSRP11.xls]B________488"/>
      <sheetName val="[97_207COSRP11.xls]B________489"/>
      <sheetName val="[97_207COSRP11.xls]_97_207_1519"/>
      <sheetName val="[97_207COSRP11.xls]_97_207_1520"/>
      <sheetName val="[97_207COSRP11.xls]B________490"/>
      <sheetName val="[97_207COSRP11.xls]_97_207_1521"/>
      <sheetName val="[97_207COSRP11.xls]_97_207_1522"/>
      <sheetName val="[97_207COSRP11.xls]_97_207_1523"/>
      <sheetName val="[97_207COSRP11.xls]_97_207_1524"/>
      <sheetName val="[97_207COSRP11.xls]_97_207_1490"/>
      <sheetName val="[97_207COSRP11.xls]_97_207_1491"/>
      <sheetName val="[97_207COSRP11.xls]_97_207_1492"/>
      <sheetName val="[97_207COSRP11.xls]_97_207_1497"/>
      <sheetName val="[97_207COSRP11.xls]_97_207_1493"/>
      <sheetName val="[97_207COSRP11.xls]_97_207_1494"/>
      <sheetName val="[97_207COSRP11.xls]_97_207_1498"/>
      <sheetName val="[97_207COSRP11.xls]_97_207_1495"/>
      <sheetName val="[97_207COSRP11.xls]_97_207_1496"/>
      <sheetName val="[97_207COSRP11.xls]_97_207_1499"/>
      <sheetName val="[97_207COSRP11.xls]_97_207_1478"/>
      <sheetName val="[97_207COSRP11.xls]_97_207_1479"/>
      <sheetName val="[97_207COSRP11.xls]_97_207_1480"/>
      <sheetName val="[97_207COSRP11.xls]_97_207_1481"/>
      <sheetName val="[97_207COSRP11.xls]_97_207_1482"/>
      <sheetName val="[97_207COSRP11.xls]_97_207_1483"/>
      <sheetName val="[97_207COSRP11.xls]_97_207_1484"/>
      <sheetName val="[97_207COSRP11.xls]_97_207_1485"/>
      <sheetName val="[97_207COSRP11.xls]_97_207_1486"/>
      <sheetName val="[97_207COSRP11.xls]_97_207_1487"/>
      <sheetName val="[97_207COSRP11.xls]_97_207_1488"/>
      <sheetName val="[97_207COSRP11.xls]_97_207_1489"/>
      <sheetName val="[97_207COSRP11.xls]_97_207_1500"/>
      <sheetName val="[97_207COSRP11.xls]_97_207_1501"/>
      <sheetName val="[97_207COSRP11.xls]_97_207_1502"/>
      <sheetName val="[97_207COSRP11.xls]_97_207_1507"/>
      <sheetName val="[97_207COSRP11.xls]_97_207_1503"/>
      <sheetName val="[97_207COSRP11.xls]_97_207_1504"/>
      <sheetName val="[97_207COSRP11.xls]_97_207_1508"/>
      <sheetName val="[97_207COSRP11.xls]_97_207_1505"/>
      <sheetName val="[97_207COSRP11.xls]_97_207_1506"/>
      <sheetName val="[97_207COSRP11.xls]_97_207_1509"/>
      <sheetName val="[97_207COSRP11.xls]B________485"/>
      <sheetName val="[97_207COSRP11.xls]B________486"/>
      <sheetName val="[97_207COSRP11.xls]_97_207_1516"/>
      <sheetName val="[97_207COSRP11.xls]_97_207_1510"/>
      <sheetName val="[97_207COSRP11.xls]_97_207_1511"/>
      <sheetName val="[97_207COSRP11.xls]_97_207_1512"/>
      <sheetName val="[97_207COSRP11.xls]_97_207_1517"/>
      <sheetName val="[97_207COSRP11.xls]B________487"/>
      <sheetName val="[97_207COSRP11.xls]_97_207_1513"/>
      <sheetName val="[97_207COSRP11.xls]_97_207_1514"/>
      <sheetName val="[97_207COSRP11.xls]_97_207_1515"/>
      <sheetName val="[97_207COSRP11.xls]_97_207_1531"/>
      <sheetName val="[97_207COSRP11.xls]_97_207_1525"/>
      <sheetName val="[97_207COSRP11.xls]_97_207_1532"/>
      <sheetName val="[97_207COSRP11.xls]_97_207_1526"/>
      <sheetName val="[97_207COSRP11.xls]_97_207_1527"/>
      <sheetName val="[97_207COSRP11.xls]_97_207_1533"/>
      <sheetName val="[97_207COSRP11.xls]B________491"/>
      <sheetName val="[97_207COSRP11.xls]_97_207_1534"/>
      <sheetName val="[97_207COSRP11.xls]_97_207_1537"/>
      <sheetName val="[97_207COSRP11.xls]B________492"/>
      <sheetName val="[97_207COSRP11.xls]_97_207_1535"/>
      <sheetName val="[97_207COSRP11.xls]_97_207_1536"/>
      <sheetName val="[97_207COSRP11.xls]_97_207_1538"/>
      <sheetName val="[97_207COSRP11.xls]_97_207_1528"/>
      <sheetName val="[97_207COSRP11.xls]_97_207_1529"/>
      <sheetName val="[97_207COSRP11.xls]_97_207_1530"/>
      <sheetName val="[97_207COSRP11.xls]_97_207_1539"/>
      <sheetName val="[97_207COSRP11.xls]B________493"/>
      <sheetName val="[97_207COSRP11.xls]B________494"/>
      <sheetName val="[97_207COSRP11.xls]_97_207_1544"/>
      <sheetName val="[97_207COSRP11.xls]_97_207_1540"/>
      <sheetName val="[97_207COSRP11.xls]_97_207_1541"/>
      <sheetName val="[97_207COSRP11.xls]_97_207_1545"/>
      <sheetName val="[97_207COSRP11.xls]B________495"/>
      <sheetName val="[97_207COSRP11.xls]_97_207_1542"/>
      <sheetName val="[97_207COSRP11.xls]_97_207_1543"/>
      <sheetName val="[97_207COSRP11.xls]_97_207_1546"/>
      <sheetName val="[97_207COSRP11.xls]_97_207_1554"/>
      <sheetName val="[97_207COSRP11.xls]_97_207_1555"/>
      <sheetName val="[97_207COSRP11.xls]_97_207_1556"/>
      <sheetName val="[97_207COSRP11.xls]B________499"/>
      <sheetName val="[97_207COSRP11.xls]B________500"/>
      <sheetName val="[97_207COSRP11.xls]_97_207_1568"/>
      <sheetName val="[97_207COSRP11.xls]_97_207_1557"/>
      <sheetName val="[97_207COSRP11.xls]_97_207_1558"/>
      <sheetName val="[97_207COSRP11.xls]_97_207_1569"/>
      <sheetName val="[97_207COSRP11.xls]B________501"/>
      <sheetName val="[97_207COSRP11.xls]_97_207_1559"/>
      <sheetName val="[97_207COSRP11.xls]_97_207_1560"/>
      <sheetName val="[97_207COSRP11.xls]_97_207_1570"/>
      <sheetName val="[97_207COSRP11.xls]_97_207_1547"/>
      <sheetName val="[97_207COSRP11.xls]_97_207_1548"/>
      <sheetName val="[97_207COSRP11.xls]_97_207_1549"/>
      <sheetName val="[97_207COSRP11.xls]B________496"/>
      <sheetName val="[97_207COSRP11.xls]B________497"/>
      <sheetName val="[97_207COSRP11.xls]_97_207_1550"/>
      <sheetName val="[97_207COSRP11.xls]_97_207_1551"/>
      <sheetName val="[97_207COSRP11.xls]B________498"/>
      <sheetName val="[97_207COSRP11.xls]_97_207_1552"/>
      <sheetName val="[97_207COSRP11.xls]_97_207_1553"/>
      <sheetName val="[97_207COSRP11.xls]B________505"/>
      <sheetName val="[97_207COSRP11.xls]B________506"/>
      <sheetName val="[97_207COSRP11.xls]_97_207_1575"/>
      <sheetName val="[97_207COSRP11.xls]_97_207_1571"/>
      <sheetName val="[97_207COSRP11.xls]_97_207_1572"/>
      <sheetName val="[97_207COSRP11.xls]_97_207_1576"/>
      <sheetName val="[97_207COSRP11.xls]_97_207_1577"/>
      <sheetName val="[97_207COSRP11.xls]B________507"/>
      <sheetName val="[97_207COSRP11.xls]_97_207_1573"/>
      <sheetName val="[97_207COSRP11.xls]_97_207_1574"/>
      <sheetName val="[97_207COSRP11.xls]_97_207_1561"/>
      <sheetName val="[97_207COSRP11.xls]_97_207_1562"/>
      <sheetName val="[97_207COSRP11.xls]_97_207_1563"/>
      <sheetName val="[97_207COSRP11.xls]B________502"/>
      <sheetName val="[97_207COSRP11.xls]B________503"/>
      <sheetName val="[97_207COSRP11.xls]_97_207_1564"/>
      <sheetName val="[97_207COSRP11.xls]_97_207_1565"/>
      <sheetName val="[97_207COSRP11.xls]B________504"/>
      <sheetName val="[97_207COSRP11.xls]_97_207_1566"/>
      <sheetName val="[97_207COSRP11.xls]_97_207_1567"/>
      <sheetName val="[97_207COSRP11.xls]_97_207_1578"/>
      <sheetName val="[97_207COSRP11.xls]_97_207_1579"/>
      <sheetName val="[97_207COSRP11.xls]B________508"/>
      <sheetName val="[97_207COSRP11.xls]B________509"/>
      <sheetName val="[97_207COSRP11.xls]_97_207_1588"/>
      <sheetName val="[97_207COSRP11.xls]_97_207_1580"/>
      <sheetName val="[97_207COSRP11.xls]_97_207_1581"/>
      <sheetName val="[97_207COSRP11.xls]_97_207_1589"/>
      <sheetName val="[97_207COSRP11.xls]B________510"/>
      <sheetName val="[97_207COSRP11.xls]_97_207_1582"/>
      <sheetName val="[97_207COSRP11.xls]_97_207_1583"/>
      <sheetName val="[97_207COSRP11.xls]_97_207_1584"/>
      <sheetName val="[97_207COSRP11.xls]_97_207_1590"/>
      <sheetName val="[97_207COSRP11.xls]_97_207_1585"/>
      <sheetName val="[97_207COSRP11.xls]_97_207_1586"/>
      <sheetName val="[97_207COSRP11.xls]_97_207_1587"/>
      <sheetName val="[97_207COSRP11.xls]B________511"/>
      <sheetName val="[97_207COSRP11.xls]B________512"/>
      <sheetName val="[97_207COSRP11.xls]_97_207_1592"/>
      <sheetName val="[97_207COSRP11.xls]_97_207_1593"/>
      <sheetName val="[97_207COSRP11.xls]B________513"/>
      <sheetName val="[97_207COSRP11.xls]_97_207_1591"/>
      <sheetName val="[97_207COSRP11.xls]_97_207_1594"/>
      <sheetName val="[97_207COSRP11.xls]_97_207_1598"/>
      <sheetName val="[97_207COSRP11.xls]_97_207_1595"/>
      <sheetName val="[97_207COSRP11.xls]_97_207_1599"/>
      <sheetName val="[97_207COSRP11.xls]_97_207_1596"/>
      <sheetName val="[97_207COSRP11.xls]_97_207_1597"/>
      <sheetName val="[97_207COSRP11.xls]_97_207_1600"/>
      <sheetName val="[97_207COSRP11.xls]B________514"/>
      <sheetName val="[97_207COSRP11.xls]B________515"/>
      <sheetName val="[97_207COSRP11.xls]_97_207_1605"/>
      <sheetName val="[97_207COSRP11.xls]_97_207_1601"/>
      <sheetName val="[97_207COSRP11.xls]_97_207_1602"/>
      <sheetName val="[97_207COSRP11.xls]_97_207_1606"/>
      <sheetName val="[97_207COSRP11.xls]B________516"/>
      <sheetName val="[97_207COSRP11.xls]_97_207_1603"/>
      <sheetName val="[97_207COSRP11.xls]_97_207_1604"/>
      <sheetName val="[97_207COSRP11.xls]_97_207_1607"/>
      <sheetName val="[97_207COSRP11.xls]_97_207_1609"/>
      <sheetName val="[97_207COSRP11.xls]_97_207_1610"/>
      <sheetName val="[97_207COSRP11.xls]_97_207_1611"/>
      <sheetName val="[97_207COSRP11.xls]_97_207_1608"/>
      <sheetName val="[97_207COSRP11.xls]_97_207_1612"/>
      <sheetName val="[97_207COSRP11.xls]_97_207_1613"/>
      <sheetName val="[97_207COSRP11.xls]_97_207_1614"/>
      <sheetName val="[97_207COSRP11.xls]_97_207_1618"/>
      <sheetName val="[97_207COSRP11.xls]_97_207_1619"/>
      <sheetName val="[97_207COSRP11.xls]_97_207_1620"/>
      <sheetName val="[97_207COSRP11.xls]B________517"/>
      <sheetName val="[97_207COSRP11.xls]B________518"/>
      <sheetName val="[97_207COSRP11.xls]_97_207_1627"/>
      <sheetName val="[97_207COSRP11.xls]B________519"/>
      <sheetName val="[97_207COSRP11.xls]B________520"/>
      <sheetName val="[97_207COSRP11.xls]_97_207_1635"/>
      <sheetName val="[97_207COSRP11.xls]_97_207_1628"/>
      <sheetName val="[97_207COSRP11.xls]_97_207_1629"/>
      <sheetName val="[97_207COSRP11.xls]_97_207_1630"/>
      <sheetName val="[97_207COSRP11.xls]_97_207_1631"/>
      <sheetName val="[97_207COSRP11.xls]_97_207_1636"/>
      <sheetName val="[97_207COSRP11.xls]B________521"/>
      <sheetName val="[97_207COSRP11.xls]_97_207_1632"/>
      <sheetName val="[97_207COSRP11.xls]_97_207_1633"/>
      <sheetName val="[97_207COSRP11.xls]_97_207_1637"/>
      <sheetName val="[97_207COSRP11.xls]_97_207_1634"/>
      <sheetName val="[97_207COSRP11.xls]_97_207_1638"/>
      <sheetName val="[97_207COSRP11.xls]_97_207_1639"/>
      <sheetName val="[97_207COSRP11.xls]_97_207_1640"/>
      <sheetName val="[97_207COSRP11.xls]B________522"/>
      <sheetName val="[97_207COSRP11.xls]_97_207_1651"/>
      <sheetName val="[97_207COSRP11.xls]_97_207_1652"/>
      <sheetName val="[97_207COSRP11.xls]_97_207_1653"/>
      <sheetName val="[97_207COSRP11.xls]B________526"/>
      <sheetName val="[97_207COSRP11.xls]B________527"/>
      <sheetName val="[97_207COSRP11.xls]_97_207_1654"/>
      <sheetName val="[97_207COSRP11.xls]_97_207_1655"/>
      <sheetName val="[97_207COSRP11.xls]B________528"/>
      <sheetName val="[97_207COSRP11.xls]_97_207_1656"/>
      <sheetName val="[97_207COSRP11.xls]_97_207_1657"/>
      <sheetName val="[97_207COSRP11.xls]B________523"/>
      <sheetName val="[97_207COSRP11.xls]B________524"/>
      <sheetName val="[97_207COSRP11.xls]_97_207_1648"/>
      <sheetName val="[97_207COSRP11.xls]_97_207_1641"/>
      <sheetName val="[97_207COSRP11.xls]_97_207_1642"/>
      <sheetName val="[97_207COSRP11.xls]_97_207_1643"/>
      <sheetName val="[97_207COSRP11.xls]_97_207_1644"/>
      <sheetName val="[97_207COSRP11.xls]_97_207_1649"/>
      <sheetName val="[97_207COSRP11.xls]B________525"/>
      <sheetName val="[97_207COSRP11.xls]_97_207_1645"/>
      <sheetName val="[97_207COSRP11.xls]_97_207_1646"/>
      <sheetName val="[97_207COSRP11.xls]_97_207_1650"/>
      <sheetName val="[97_207COSRP11.xls]_97_207_1647"/>
      <sheetName val="Name Lists"/>
      <sheetName val="est"/>
      <sheetName val="[97_207COSRP11.xls]_97_207_1668"/>
      <sheetName val="[97_207COSRP11.xls]_97_207_1669"/>
      <sheetName val="[97_207COSRP11.xls]_97_207_1670"/>
      <sheetName val="[97_207COSRP11.xls]B________532"/>
      <sheetName val="[97_207COSRP11.xls]B________533"/>
      <sheetName val="[97_207COSRP11.xls]_97_207_1675"/>
      <sheetName val="[97_207COSRP11.xls]_97_207_1671"/>
      <sheetName val="[97_207COSRP11.xls]_97_207_1672"/>
      <sheetName val="[97_207COSRP11.xls]_97_207_1673"/>
      <sheetName val="[97_207COSRP11.xls]_97_207_1676"/>
      <sheetName val="[97_207COSRP11.xls]_97_207_1674"/>
      <sheetName val="[97_207COSRP11.xls]B________534"/>
      <sheetName val="[97_207COSRP11.xls]B________535"/>
      <sheetName val="[97_207COSRP11.xls]_97_207_1681"/>
      <sheetName val="[97_207COSRP11.xls]_97_207_1677"/>
      <sheetName val="[97_207COSRP11.xls]_97_207_1678"/>
      <sheetName val="[97_207COSRP11.xls]_97_207_1682"/>
      <sheetName val="[97_207COSRP11.xls]_97_207_1679"/>
      <sheetName val="[97_207COSRP11.xls]_97_207_1680"/>
      <sheetName val="[97_207COSRP11.xls]_97_207_1683"/>
      <sheetName val="[97_207COSRP11.xls]_97_207_1684"/>
      <sheetName val="[97_207COSRP11.xls]_97_207_1685"/>
      <sheetName val="[97_207COSRP11.xls]B________536"/>
      <sheetName val="[97_207COSRP11.xls]B________537"/>
      <sheetName val="[97_207COSRP11.xls]_97_207_1687"/>
      <sheetName val="[97_207COSRP11.xls]B________540"/>
      <sheetName val="[97_207COSRP11.xls]B________541"/>
      <sheetName val="[97_207COSRP11.xls]_97_207_1688"/>
      <sheetName val="[97_207COSRP11.xls]B________542"/>
      <sheetName val="[97_207COSRP11.xls]B________543"/>
      <sheetName val="[97_207COSRP11.xls]_97_207_1689"/>
      <sheetName val="[97_207COSRP11.xls]B________544"/>
      <sheetName val="[97_207COSRP11.xls]B________545"/>
      <sheetName val="[97_207COSRP11.xls]B________552"/>
      <sheetName val="[97_207COSRP11.xls]B________553"/>
      <sheetName val="[97_207COSRP11.xls]_97_207_1691"/>
      <sheetName val="[97_207COSRP11.xls]_97_207_1692"/>
      <sheetName val="[97_207COSRP11.xls]B________548"/>
      <sheetName val="[97_207COSRP11.xls]B________549"/>
      <sheetName val="[97_207COSRP11.xls]_97_207_1693"/>
      <sheetName val="[97_207COSRP11.xls]B________550"/>
      <sheetName val="[97_207COSRP11.xls]B________551"/>
      <sheetName val="[97_207COSRP11.xls]_97_207_1701"/>
      <sheetName val="[97_207COSRP11.xls]_97_207_1697"/>
      <sheetName val="[97_207COSRP11.xls]_97_207_1698"/>
      <sheetName val="[97_207COSRP11.xls]_97_207_1699"/>
      <sheetName val="[97_207COSRP11.xls]_97_207_1702"/>
      <sheetName val="[97_207COSRP11.xls]_97_207_1700"/>
      <sheetName val="[97_207COSRP11.xls]_97_207_1695"/>
      <sheetName val="[97_207COSRP11.xls]_97_207_1696"/>
      <sheetName val="[97_207COSRP11.xls]_97_207_1694"/>
      <sheetName val="[97_207COSRP11.xls]_97_207_1703"/>
      <sheetName val="[97_207COSRP11.xls]_97_207_1704"/>
      <sheetName val="[97_207COSRP11.xls]_97_207_1706"/>
      <sheetName val="[97_207COSRP11.xls]B________554"/>
      <sheetName val="[97_207COSRP11.xls]B________555"/>
      <sheetName val="[97_207COSRP11.xls]_97_207_1707"/>
      <sheetName val="[97_207COSRP11.xls]B________568"/>
      <sheetName val="[97_207COSRP11.xls]B________569"/>
      <sheetName val="[97_207COSRP11.xls]_97_207_1730"/>
      <sheetName val="[97_207COSRP11.xls]_97_207_1724"/>
      <sheetName val="[97_207COSRP11.xls]_97_207_1708"/>
      <sheetName val="[97_207COSRP11.xls]B________558"/>
      <sheetName val="[97_207COSRP11.xls]B________559"/>
      <sheetName val="[97_207COSRP11.xls]B________556"/>
      <sheetName val="[97_207COSRP11.xls]B________557"/>
      <sheetName val="[97_207COSRP11.xls]_97_207_1725"/>
      <sheetName val="[97_207COSRP11.xls]_97_207_1726"/>
      <sheetName val="[97_207COSRP11.xls]B________560"/>
      <sheetName val="[97_207COSRP11.xls]B________561"/>
      <sheetName val="[97_207COSRP11.xls]_97_207_1709"/>
      <sheetName val="[97_207COSRP11.xls]_97_207_1710"/>
      <sheetName val="[97_207COSRP11.xls]_97_207_1711"/>
      <sheetName val="[97_207COSRP11.xls]_97_207_1731"/>
      <sheetName val="[97_207COSRP11.xls]_97_207_1727"/>
      <sheetName val="[97_207COSRP11.xls]B________562"/>
      <sheetName val="[97_207COSRP11.xls]B________563"/>
      <sheetName val="[97_207COSRP11.xls]_97_207_1712"/>
      <sheetName val="[97_207COSRP11.xls]_97_207_1713"/>
      <sheetName val="[97_207COSRP11.xls]_97_207_1714"/>
      <sheetName val="[97_207COSRP11.xls]_97_207_1715"/>
      <sheetName val="[97_207COSRP11.xls]B________564"/>
      <sheetName val="[97_207COSRP11.xls]B________565"/>
      <sheetName val="[97_207COSRP11.xls]_97_207_1716"/>
      <sheetName val="[97_207COSRP11.xls]_97_207_1717"/>
      <sheetName val="[97_207COSRP11.xls]_97_207_1718"/>
      <sheetName val="[97_207COSRP11.xls]_97_207_1719"/>
      <sheetName val="[97_207COSRP11.xls]B________566"/>
      <sheetName val="[97_207COSRP11.xls]B________567"/>
      <sheetName val="[97_207COSRP11.xls]_97_207_1720"/>
      <sheetName val="[97_207COSRP11.xls]_97_207_1721"/>
      <sheetName val="[97_207COSRP11.xls]_97_207_1722"/>
      <sheetName val="[97_207COSRP11.xls]_97_207_1723"/>
      <sheetName val="[97_207COSRP11.xls]B________572"/>
      <sheetName val="[97_207COSRP11.xls]B________573"/>
      <sheetName val="[97_207COSRP11.xls]_97_207_1736"/>
      <sheetName val="[97_207COSRP11.xls]_97_207_1728"/>
      <sheetName val="[97_207COSRP11.xls]_97_207_1729"/>
      <sheetName val="[97_207COSRP11.xls]B________570"/>
      <sheetName val="[97_207COSRP11.xls]B________571"/>
      <sheetName val="[97_207COSRP11.xls]_97_207_1737"/>
      <sheetName val="[97_207COSRP11.xls]_97_207_1732"/>
      <sheetName val="[97_207COSRP11.xls]_97_207_1733"/>
      <sheetName val="[97_207COSRP11.xls]_97_207_1734"/>
      <sheetName val="[97_207COSRP11.xls]_97_207_1735"/>
      <sheetName val="[97_207COSRP11.xls]B________574"/>
      <sheetName val="[97_207COSRP11.xls]B________575"/>
      <sheetName val="[97_207COSRP11.xls]_97_207_1740"/>
      <sheetName val="[97_207COSRP11.xls]_97_207_1738"/>
      <sheetName val="[97_207COSRP11.xls]B________578"/>
      <sheetName val="[97_207COSRP11.xls]B________579"/>
      <sheetName val="[97_207COSRP11.xls]_97_207_1743"/>
      <sheetName val="[97_207COSRP11.xls]_97_207_1741"/>
      <sheetName val="[97_207COSRP11.xls]_97_207_1742"/>
      <sheetName val="[97_207COSRP11.xls]_97_207_1739"/>
      <sheetName val="[97_207COSRP11.xls]B________576"/>
      <sheetName val="[97_207COSRP11.xls]B________577"/>
      <sheetName val="[97_207COSRP11.xls]_97_207_1750"/>
      <sheetName val="[97_207COSRP11.xls]B________582"/>
      <sheetName val="[97_207COSRP11.xls]B________583"/>
      <sheetName val="[97_207COSRP11.xls]_97_207_1749"/>
      <sheetName val="[97_207COSRP11.xls]B________584"/>
      <sheetName val="[97_207COSRP11.xls]_97_207_1751"/>
      <sheetName val="[97_207COSRP11.xls]B________585"/>
      <sheetName val="[97_207COSRP11.xls]_97_207_1752"/>
      <sheetName val="[97_207COSRP11.xls]B________586"/>
      <sheetName val="[97_207COSRP11.xls]_97_207_1753"/>
      <sheetName val="[97_207COSRP11.xls]B________587"/>
      <sheetName val="[97_207COSRP11.xls]_97_207_1754"/>
      <sheetName val="[97_207COSRP11.xls]_97_207_1755"/>
      <sheetName val="[97_207COSRP11.xls]B________588"/>
      <sheetName val="[97_207COSRP11.xls]B________589"/>
      <sheetName val="[97_207COSRP11.xls]_97_207_1756"/>
      <sheetName val="[97_207COSRP11.xls]B________590"/>
      <sheetName val="[97_207COSRP11.xls]B________591"/>
      <sheetName val="[97_207COSRP11.xls]_97_207_1758"/>
      <sheetName val="[97_207COSRP11.xls]_97_207_1757"/>
      <sheetName val="[97_207COSRP11.xls]B________592"/>
      <sheetName val="[97_207COSRP11.xls]B________593"/>
      <sheetName val="[97_207COSRP11.xls]_97_207_1759"/>
      <sheetName val="[97_207COSRP11.xls]_97_207_1760"/>
      <sheetName val="[97_207COSRP11.xls]_97_207_1765"/>
      <sheetName val="[97_207COSRP11.xls]B________594"/>
      <sheetName val="[97_207COSRP11.xls]B________595"/>
      <sheetName val="[97_207COSRP11.xls]_97_207_1761"/>
      <sheetName val="[97_207COSRP11.xls]B________596"/>
      <sheetName val="[97_207COSRP11.xls]B________597"/>
      <sheetName val="[97_207COSRP11.xls]_97_207_1762"/>
      <sheetName val="[97_207COSRP11.xls]B________598"/>
      <sheetName val="[97_207COSRP11.xls]B________599"/>
      <sheetName val="[97_207COSRP11.xls]_97_207_1763"/>
      <sheetName val="[97_207COSRP11.xls]_97_207_1764"/>
      <sheetName val="[97_207COSRP11.xls]B________600"/>
      <sheetName val="[97_207COSRP11.xls]B________601"/>
      <sheetName val="[97_207COSRP11.xls]_97_207_1766"/>
      <sheetName val="[97_207COSRP11.xls]_97_207_1767"/>
      <sheetName val="[97_207COSRP11.xls]B________602"/>
      <sheetName val="[97_207COSRP11.xls]B________603"/>
      <sheetName val="[97_207COSRP11.xls]_97_207_1769"/>
      <sheetName val="[97_207COSRP11.xls]_97_207_1768"/>
      <sheetName val="[97_207COSRP11.xls]B________604"/>
      <sheetName val="[97_207COSRP11.xls]B________605"/>
      <sheetName val="[97_207COSRP11.xls]_97_207_1770"/>
      <sheetName val="[97_207COSRP11.xls]_97_207_1771"/>
      <sheetName val="[97_207COSRP11.xls]B________606"/>
      <sheetName val="[97_207COSRP11.xls]B________607"/>
      <sheetName val="[97_207COSRP11.xls]_97_207_2499"/>
      <sheetName val="[97_207COSRP11.xls]_97_207_1772"/>
      <sheetName val="[97_207COSRP11.xls]_97_207_1773"/>
      <sheetName val="[97_207COSRP11.xls]_97_207_1774"/>
      <sheetName val="[97_207COSRP11.xls]B________831"/>
      <sheetName val="[97_207COSRP11.xls]B________832"/>
      <sheetName val="[97_207COSRP11.xls]_97_207_2502"/>
      <sheetName val="[97_207COSRP11.xls]_97_207_2500"/>
      <sheetName val="[97_207COSRP11.xls]_97_207_2501"/>
      <sheetName val="Materials Cost"/>
      <sheetName val="Variables_x"/>
      <sheetName val="매크로"/>
      <sheetName val="S1BOQ"/>
      <sheetName val="_97_207COSRP11.xls_B_________20"/>
      <sheetName val="_97_207COSRP11.xls_B_________21"/>
      <sheetName val="_97_207COSRP11.xls__97_207CO_23"/>
      <sheetName val="_97_207COSRP11.xls__97_207CO_24"/>
      <sheetName val="_97_207COSRP11.xls__97_207CO_25"/>
      <sheetName val="_97_207COSRP11.xls__97_207COS_4"/>
      <sheetName val="_97_207COSRP11.xls_B__________2"/>
      <sheetName val="_97_207COSRP11.xls_B__________3"/>
      <sheetName val="_97_207COSRP11.xls__97_207COS_3"/>
      <sheetName val="_97_207COSRP11.xls__97_207COS_2"/>
      <sheetName val="_97_207COSRP11.xls__97_207COS_6"/>
      <sheetName val="_97_207COSRP11.xls__97_207COS_5"/>
      <sheetName val="_97_207COSRP11.xls_B__________4"/>
      <sheetName val="_97_207COSRP11.xls_B__________5"/>
      <sheetName val="_97_207COSRP11.xls__97_207COS_7"/>
      <sheetName val="_97_207COSRP11.xls_B__________6"/>
      <sheetName val="_97_207COSRP11.xls_B__________7"/>
      <sheetName val="_97_207COSRP11.xls__97_207COS_8"/>
      <sheetName val="_97_207COSRP11.xls_B__________8"/>
      <sheetName val="_97_207COSRP11.xls_B__________9"/>
      <sheetName val="_97_207COSRP11.xls__97_207CO_10"/>
      <sheetName val="_97_207COSRP11.xls__97_207COS_9"/>
      <sheetName val="_97_207COSRP11.xls__97_207CO_11"/>
      <sheetName val="_97_207COSRP11.xls_B_________10"/>
      <sheetName val="_97_207COSRP11.xls_B_________11"/>
      <sheetName val="_97_207COSRP11.xls__97_207CO_12"/>
      <sheetName val="_97_207COSRP11.xls_B_________12"/>
      <sheetName val="_97_207COSRP11.xls_B_________13"/>
      <sheetName val="_97_207COSRP11.xls__97_207CO_14"/>
      <sheetName val="_97_207COSRP11.xls__97_207CO_13"/>
      <sheetName val="_97_207COSRP11.xls__97_207CO_15"/>
      <sheetName val="_97_207COSRP11.xls_B_________14"/>
      <sheetName val="_97_207COSRP11.xls_B_________15"/>
      <sheetName val="_97_207COSRP11.xls__97_207CO_17"/>
      <sheetName val="_97_207COSRP11.xls__97_207CO_16"/>
      <sheetName val="_97_207COSRP11.xls_B_________16"/>
      <sheetName val="_97_207COSRP11.xls_B_________17"/>
      <sheetName val="_97_207COSRP11.xls__97_207CO_19"/>
      <sheetName val="_97_207COSRP11.xls__97_207CO_18"/>
      <sheetName val="_97_207COSRP11.xls__97_207CO_20"/>
      <sheetName val="_97_207COSRP11.xls_B_________18"/>
      <sheetName val="_97_207COSRP11.xls_B_________19"/>
      <sheetName val="_97_207COSRP11.xls__97_207CO_22"/>
      <sheetName val="_97_207COSRP11.xls__97_207CO_21"/>
      <sheetName val="[97_207COSRP11.xls]B________792"/>
      <sheetName val="[97_207COSRP11.xls]B________793"/>
      <sheetName val="[97_207COSRP11.xls]_97_207_2376"/>
      <sheetName val="[97_207COSRP11.xls]_97_207_2369"/>
      <sheetName val="[97_207COSRP11.xls]_97_207_2370"/>
      <sheetName val="[97_207COSRP11.xls]_97_207_2371"/>
      <sheetName val="[97_207COSRP11.xls]_97_207_2377"/>
      <sheetName val="[97_207COSRP11.xls]_97_207_2372"/>
      <sheetName val="[97_207COSRP11.xls]_97_207_2373"/>
      <sheetName val="[97_207COSRP11.xls]_97_207_2378"/>
      <sheetName val="[97_207COSRP11.xls]B________794"/>
      <sheetName val="[97_207COSRP11.xls]_97_207_2374"/>
      <sheetName val="[97_207COSRP11.xls]_97_207_2375"/>
      <sheetName val="CivilOld"/>
      <sheetName val="balance"/>
      <sheetName val="[97_207COSRP11.xls]_97_207_1848"/>
      <sheetName val="[97_207COSRP11.xls]_97_207_1849"/>
      <sheetName val="[97_207COSRP11.xls]_97_207_1850"/>
      <sheetName val="[97_207COSRP11.xls]_97_207_1806"/>
      <sheetName val="[97_207COSRP11.xls]_97_207_1799"/>
      <sheetName val="[97_207COSRP11.xls]_97_207_1800"/>
      <sheetName val="[97_207COSRP11.xls]_97_207_1801"/>
      <sheetName val="[97_207COSRP11.xls]_97_207_1802"/>
      <sheetName val="[97_207COSRP11.xls]_97_207_1803"/>
      <sheetName val="[97_207COSRP11.xls]_97_207_1807"/>
      <sheetName val="[97_207COSRP11.xls]_97_207_1804"/>
      <sheetName val="[97_207COSRP11.xls]_97_207_1805"/>
      <sheetName val="[97_207COSRP11.xls]_97_207_1808"/>
      <sheetName val="[97_207COSRP11.xls]_97_207_1776"/>
      <sheetName val="[97_207COSRP11.xls]_97_207_1777"/>
      <sheetName val="[97_207COSRP11.xls]_97_207_1775"/>
      <sheetName val="[97_207COSRP11.xls]_97_207_1778"/>
      <sheetName val="[97_207COSRP11.xls]_97_207_1779"/>
      <sheetName val="[97_207COSRP11.xls]_97_207_1780"/>
      <sheetName val="[97_207COSRP11.xls]_97_207_1781"/>
      <sheetName val="[97_207COSRP11.xls]_97_207_1786"/>
      <sheetName val="[97_207COSRP11.xls]_97_207_1782"/>
      <sheetName val="[97_207COSRP11.xls]_97_207_1783"/>
      <sheetName val="[97_207COSRP11.xls]_97_207_1787"/>
      <sheetName val="[97_207COSRP11.xls]_97_207_1784"/>
      <sheetName val="[97_207COSRP11.xls]_97_207_1785"/>
      <sheetName val="[97_207COSRP11.xls]_97_207_1788"/>
      <sheetName val="[97_207COSRP11.xls]_97_207_1796"/>
      <sheetName val="[97_207COSRP11.xls]_97_207_1789"/>
      <sheetName val="[97_207COSRP11.xls]_97_207_1790"/>
      <sheetName val="[97_207COSRP11.xls]_97_207_1797"/>
      <sheetName val="[97_207COSRP11.xls]_97_207_1791"/>
      <sheetName val="[97_207COSRP11.xls]_97_207_1792"/>
      <sheetName val="[97_207COSRP11.xls]_97_207_1798"/>
      <sheetName val="[97_207COSRP11.xls]_97_207_1793"/>
      <sheetName val="[97_207COSRP11.xls]_97_207_1794"/>
      <sheetName val="[97_207COSRP11.xls]_97_207_1795"/>
      <sheetName val="[97_207COSRP11.xls]_97_207_1828"/>
      <sheetName val="[97_207COSRP11.xls]_97_207_1829"/>
      <sheetName val="[97_207COSRP11.xls]_97_207_1830"/>
      <sheetName val="[97_207COSRP11.xls]B________617"/>
      <sheetName val="[97_207COSRP11.xls]B________618"/>
      <sheetName val="[97_207COSRP11.xls]_97_207_1835"/>
      <sheetName val="[97_207COSRP11.xls]_97_207_1831"/>
      <sheetName val="[97_207COSRP11.xls]_97_207_1832"/>
      <sheetName val="[97_207COSRP11.xls]_97_207_1836"/>
      <sheetName val="[97_207COSRP11.xls]B________619"/>
      <sheetName val="[97_207COSRP11.xls]_97_207_1833"/>
      <sheetName val="[97_207COSRP11.xls]_97_207_1834"/>
      <sheetName val="[97_207COSRP11.xls]_97_207_1837"/>
      <sheetName val="[97_207COSRP11.xls]_97_207_1821"/>
      <sheetName val="[97_207COSRP11.xls]_97_207_1822"/>
      <sheetName val="[97_207COSRP11.xls]_97_207_1823"/>
      <sheetName val="[97_207COSRP11.xls]B________614"/>
      <sheetName val="[97_207COSRP11.xls]B________615"/>
      <sheetName val="[97_207COSRP11.xls]_97_207_1824"/>
      <sheetName val="[97_207COSRP11.xls]_97_207_1825"/>
      <sheetName val="[97_207COSRP11.xls]B________616"/>
      <sheetName val="[97_207COSRP11.xls]_97_207_1826"/>
      <sheetName val="[97_207COSRP11.xls]_97_207_1827"/>
      <sheetName val="[97_207COSRP11.xls]_97_207_1809"/>
      <sheetName val="[97_207COSRP11.xls]B________608"/>
      <sheetName val="[97_207COSRP11.xls]B________609"/>
      <sheetName val="[97_207COSRP11.xls]_97_207_1810"/>
      <sheetName val="[97_207COSRP11.xls]_97_207_1811"/>
      <sheetName val="[97_207COSRP11.xls]B________610"/>
      <sheetName val="[97_207COSRP11.xls]_97_207_1812"/>
      <sheetName val="[97_207COSRP11.xls]_97_207_1813"/>
      <sheetName val="[97_207COSRP11.xls]_97_207_1814"/>
      <sheetName val="[97_207COSRP11.xls]_97_207_1815"/>
      <sheetName val="[97_207COSRP11.xls]_97_207_1816"/>
      <sheetName val="[97_207COSRP11.xls]B________611"/>
      <sheetName val="[97_207COSRP11.xls]B________612"/>
      <sheetName val="[97_207COSRP11.xls]_97_207_1817"/>
      <sheetName val="[97_207COSRP11.xls]_97_207_1818"/>
      <sheetName val="[97_207COSRP11.xls]B________613"/>
      <sheetName val="[97_207COSRP11.xls]_97_207_1819"/>
      <sheetName val="[97_207COSRP11.xls]_97_207_1820"/>
      <sheetName val="[97_207COSRP11.xls]_97_207_1838"/>
      <sheetName val="[97_207COSRP11.xls]_97_207_1839"/>
      <sheetName val="[97_207COSRP11.xls]_97_207_1840"/>
      <sheetName val="[97_207COSRP11.xls]B________620"/>
      <sheetName val="[97_207COSRP11.xls]B________621"/>
      <sheetName val="[97_207COSRP11.xls]_97_207_1841"/>
      <sheetName val="[97_207COSRP11.xls]_97_207_1842"/>
      <sheetName val="[97_207COSRP11.xls]B________622"/>
      <sheetName val="[97_207COSRP11.xls]_97_207_1843"/>
      <sheetName val="[97_207COSRP11.xls]_97_207_1844"/>
      <sheetName val="[97_207COSRP11.xls]_97_207_1845"/>
      <sheetName val="[97_207COSRP11.xls]_97_207_1846"/>
      <sheetName val="[97_207COSRP11.xls]_97_207_1847"/>
      <sheetName val="[97_207COSRP11.xls]B________623"/>
      <sheetName val="[97_207COSRP11.xls]B________624"/>
      <sheetName val="[97_207COSRP11.xls]_97_207_1855"/>
      <sheetName val="[97_207COSRP11.xls]_97_207_1851"/>
      <sheetName val="[97_207COSRP11.xls]_97_207_1852"/>
      <sheetName val="[97_207COSRP11.xls]_97_207_1856"/>
      <sheetName val="[97_207COSRP11.xls]B________625"/>
      <sheetName val="[97_207COSRP11.xls]_97_207_1853"/>
      <sheetName val="[97_207COSRP11.xls]_97_207_1854"/>
      <sheetName val="[97_207COSRP11.xls]_97_207_1857"/>
      <sheetName val="[97_207COSRP11.xls]B________626"/>
      <sheetName val="[97_207COSRP11.xls]B________627"/>
      <sheetName val="[97_207COSRP11.xls]_97_207_1956"/>
      <sheetName val="[97_207COSRP11.xls]_97_207_1858"/>
      <sheetName val="[97_207COSRP11.xls]_97_207_1859"/>
      <sheetName val="[97_207COSRP11.xls]_97_207_1860"/>
      <sheetName val="[97_207COSRP11.xls]_97_207_1957"/>
      <sheetName val="[97_207COSRP11.xls]_97_207_1861"/>
      <sheetName val="[97_207COSRP11.xls]_97_207_1873"/>
      <sheetName val="[97_207COSRP11.xls]_97_207_1874"/>
      <sheetName val="[97_207COSRP11.xls]_97_207_1875"/>
      <sheetName val="[97_207COSRP11.xls]B________635"/>
      <sheetName val="[97_207COSRP11.xls]B________636"/>
      <sheetName val="[97_207COSRP11.xls]_97_207_1880"/>
      <sheetName val="[97_207COSRP11.xls]_97_207_1876"/>
      <sheetName val="[97_207COSRP11.xls]_97_207_1877"/>
      <sheetName val="[97_207COSRP11.xls]_97_207_1881"/>
      <sheetName val="[97_207COSRP11.xls]B________637"/>
      <sheetName val="[97_207COSRP11.xls]_97_207_1878"/>
      <sheetName val="[97_207COSRP11.xls]_97_207_1879"/>
      <sheetName val="[97_207COSRP11.xls]_97_207_1882"/>
      <sheetName val="[97_207COSRP11.xls]_97_207_1866"/>
      <sheetName val="[97_207COSRP11.xls]_97_207_1867"/>
      <sheetName val="[97_207COSRP11.xls]B________628"/>
      <sheetName val="[97_207COSRP11.xls]_97_207_1868"/>
      <sheetName val="[97_207COSRP11.xls]B________632"/>
      <sheetName val="[97_207COSRP11.xls]B________633"/>
      <sheetName val="[97_207COSRP11.xls]_97_207_1869"/>
      <sheetName val="[97_207COSRP11.xls]_97_207_1870"/>
      <sheetName val="[97_207COSRP11.xls]B________634"/>
      <sheetName val="[97_207COSRP11.xls]_97_207_1871"/>
      <sheetName val="[97_207COSRP11.xls]_97_207_1872"/>
      <sheetName val="[97_207COSRP11.xls]B________629"/>
      <sheetName val="[97_207COSRP11.xls]B________630"/>
      <sheetName val="[97_207COSRP11.xls]_97_207_1862"/>
      <sheetName val="[97_207COSRP11.xls]_97_207_1863"/>
      <sheetName val="[97_207COSRP11.xls]B________631"/>
      <sheetName val="[97_207COSRP11.xls]_97_207_1864"/>
      <sheetName val="[97_207COSRP11.xls]_97_207_1865"/>
      <sheetName val="[97_207COSRP11.xls]B________638"/>
      <sheetName val="[97_207COSRP11.xls]B________639"/>
      <sheetName val="[97_207COSRP11.xls]_97_207_1887"/>
      <sheetName val="[97_207COSRP11.xls]_97_207_1883"/>
      <sheetName val="[97_207COSRP11.xls]_97_207_1884"/>
      <sheetName val="[97_207COSRP11.xls]_97_207_1888"/>
      <sheetName val="[97_207COSRP11.xls]B________640"/>
      <sheetName val="[97_207COSRP11.xls]_97_207_1885"/>
      <sheetName val="[97_207COSRP11.xls]_97_207_1886"/>
      <sheetName val="[97_207COSRP11.xls]_97_207_1889"/>
      <sheetName val="[97_207COSRP11.xls]B________641"/>
      <sheetName val="[97_207COSRP11.xls]B________642"/>
      <sheetName val="[97_207COSRP11.xls]_97_207_1894"/>
      <sheetName val="[97_207COSRP11.xls]_97_207_1890"/>
      <sheetName val="[97_207COSRP11.xls]_97_207_1891"/>
      <sheetName val="[97_207COSRP11.xls]_97_207_1895"/>
      <sheetName val="[97_207COSRP11.xls]B________643"/>
      <sheetName val="[97_207COSRP11.xls]_97_207_1892"/>
      <sheetName val="[97_207COSRP11.xls]_97_207_1893"/>
      <sheetName val="[97_207COSRP11.xls]_97_207_1896"/>
      <sheetName val="[97_207COSRP11.xls]B________644"/>
      <sheetName val="[97_207COSRP11.xls]B________645"/>
      <sheetName val="[97_207COSRP11.xls]_97_207_1901"/>
      <sheetName val="[97_207COSRP11.xls]_97_207_1897"/>
      <sheetName val="[97_207COSRP11.xls]_97_207_1898"/>
      <sheetName val="[97_207COSRP11.xls]_97_207_1902"/>
      <sheetName val="[97_207COSRP11.xls]B________646"/>
      <sheetName val="[97_207COSRP11.xls]_97_207_1899"/>
      <sheetName val="[97_207COSRP11.xls]_97_207_1900"/>
      <sheetName val="[97_207COSRP11.xls]_97_207_1903"/>
      <sheetName val="[97_207COSRP11.xls]_97_207_1904"/>
      <sheetName val="[97_207COSRP11.xls]_97_207_1905"/>
      <sheetName val="[97_207COSRP11.xls]_97_207_1906"/>
      <sheetName val="[97_207COSRP11.xls]B________647"/>
      <sheetName val="[97_207COSRP11.xls]B________648"/>
      <sheetName val="[97_207COSRP11.xls]_97_207_1911"/>
      <sheetName val="[97_207COSRP11.xls]_97_207_1907"/>
      <sheetName val="[97_207COSRP11.xls]_97_207_1908"/>
      <sheetName val="[97_207COSRP11.xls]_97_207_1912"/>
      <sheetName val="[97_207COSRP11.xls]_97_207_1913"/>
      <sheetName val="[97_207COSRP11.xls]B________649"/>
      <sheetName val="[97_207COSRP11.xls]_97_207_1909"/>
      <sheetName val="[97_207COSRP11.xls]_97_207_1910"/>
      <sheetName val="[97_207COSRP11.xls]_97_207_1914"/>
      <sheetName val="[97_207COSRP11.xls]_97_207_1915"/>
      <sheetName val="[97_207COSRP11.xls]_97_207_1916"/>
      <sheetName val="[97_207COSRP11.xls]B________650"/>
      <sheetName val="[97_207COSRP11.xls]B________651"/>
      <sheetName val="[97_207COSRP11.xls]_97_207_1921"/>
      <sheetName val="[97_207COSRP11.xls]_97_207_1917"/>
      <sheetName val="[97_207COSRP11.xls]_97_207_1922"/>
      <sheetName val="[97_207COSRP11.xls]B________652"/>
      <sheetName val="[97_207COSRP11.xls]_97_207_1918"/>
      <sheetName val="[97_207COSRP11.xls]_97_207_1919"/>
      <sheetName val="[97_207COSRP11.xls]_97_207_1920"/>
      <sheetName val="[97_207COSRP11.xls]_97_207_1923"/>
      <sheetName val="[97_207COSRP11.xls]B________653"/>
      <sheetName val="[97_207COSRP11.xls]B________654"/>
      <sheetName val="[97_207COSRP11.xls]_97_207_1946"/>
      <sheetName val="[97_207COSRP11.xls]_97_207_1924"/>
      <sheetName val="[97_207COSRP11.xls]_97_207_1925"/>
      <sheetName val="[97_207COSRP11.xls]_97_207_1947"/>
      <sheetName val="[97_207COSRP11.xls]_97_207_1948"/>
      <sheetName val="[97_207COSRP11.xls]B________662"/>
      <sheetName val="[97_207COSRP11.xls]B________663"/>
      <sheetName val="[97_207COSRP11.xls]_97_207_1953"/>
      <sheetName val="[97_207COSRP11.xls]_97_207_1949"/>
      <sheetName val="[97_207COSRP11.xls]_97_207_1954"/>
      <sheetName val="[97_207COSRP11.xls]B________664"/>
      <sheetName val="[97_207COSRP11.xls]_97_207_1950"/>
      <sheetName val="[97_207COSRP11.xls]_97_207_1951"/>
      <sheetName val="[97_207COSRP11.xls]_97_207_1952"/>
      <sheetName val="[97_207COSRP11.xls]_97_207_1955"/>
      <sheetName val="[97_207COSRP11.xls]_97_207_1926"/>
      <sheetName val="[97_207COSRP11.xls]_97_207_1927"/>
      <sheetName val="[97_207COSRP11.xls]_97_207_1928"/>
      <sheetName val="[97_207COSRP11.xls]_97_207_1929"/>
      <sheetName val="[97_207COSRP11.xls]_97_207_1930"/>
      <sheetName val="[97_207COSRP11.xls]_97_207_1931"/>
      <sheetName val="[97_207COSRP11.xls]B________655"/>
      <sheetName val="[97_207COSRP11.xls]B________656"/>
      <sheetName val="[97_207COSRP11.xls]_97_207_1932"/>
      <sheetName val="[97_207COSRP11.xls]B________657"/>
      <sheetName val="[97_207COSRP11.xls]_97_207_1933"/>
      <sheetName val="[97_207COSRP11.xls]_97_207_1934"/>
      <sheetName val="[97_207COSRP11.xls]_97_207_1935"/>
      <sheetName val="[97_207COSRP11.xls]_97_207_1936"/>
      <sheetName val="[97_207COSRP11.xls]_97_207_1937"/>
      <sheetName val="[97_207COSRP11.xls]_97_207_1938"/>
      <sheetName val="[97_207COSRP11.xls]B________659"/>
      <sheetName val="[97_207COSRP11.xls]B________660"/>
      <sheetName val="[97_207COSRP11.xls]_97_207_1943"/>
      <sheetName val="[97_207COSRP11.xls]_97_207_1939"/>
      <sheetName val="[97_207COSRP11.xls]_97_207_1944"/>
      <sheetName val="[97_207COSRP11.xls]B________661"/>
      <sheetName val="[97_207COSRP11.xls]_97_207_1940"/>
      <sheetName val="[97_207COSRP11.xls]_97_207_1941"/>
      <sheetName val="[97_207COSRP11.xls]_97_207_1942"/>
      <sheetName val="[97_207COSRP11.xls]_97_207_1945"/>
      <sheetName val="[97_207COSRP11.xls]B________658"/>
      <sheetName val="[97_207COSRP11.xls]_97_207_1958"/>
      <sheetName val="[97_207COSRP11.xls]_97_207_1959"/>
      <sheetName val="[97_207COSRP11.xls]_97_207_1960"/>
      <sheetName val="[97_207COSRP11.xls]_97_207_1961"/>
      <sheetName val="[97_207COSRP11.xls]B________665"/>
      <sheetName val="[97_207COSRP11.xls]B________666"/>
      <sheetName val="[97_207COSRP11.xls]_97_207_1966"/>
      <sheetName val="[97_207COSRP11.xls]_97_207_1962"/>
      <sheetName val="[97_207COSRP11.xls]_97_207_1967"/>
      <sheetName val="[97_207COSRP11.xls]B________667"/>
      <sheetName val="[97_207COSRP11.xls]_97_207_1963"/>
      <sheetName val="[97_207COSRP11.xls]_97_207_1964"/>
      <sheetName val="[97_207COSRP11.xls]_97_207_1965"/>
      <sheetName val="[97_207COSRP11.xls]_97_207_1968"/>
      <sheetName val="[97_207COSRP11.xls]B________668"/>
      <sheetName val="[97_207COSRP11.xls]B________669"/>
      <sheetName val="[97_207COSRP11.xls]_97_207_1975"/>
      <sheetName val="[97_207COSRP11.xls]_97_207_1969"/>
      <sheetName val="[97_207COSRP11.xls]_97_207_1970"/>
      <sheetName val="[97_207COSRP11.xls]_97_207_1971"/>
      <sheetName val="[97_207COSRP11.xls]_97_207_1976"/>
      <sheetName val="[97_207COSRP11.xls]_97_207_1972"/>
      <sheetName val="[97_207COSRP11.xls]_97_207_1973"/>
      <sheetName val="[97_207COSRP11.xls]_97_207_1974"/>
      <sheetName val="[97_207COSRP11.xls]B________678"/>
      <sheetName val="[97_207COSRP11.xls]B________679"/>
      <sheetName val="[97_207COSRP11.xls]_97_207_1998"/>
      <sheetName val="[97_207COSRP11.xls]_97_207_1994"/>
      <sheetName val="[97_207COSRP11.xls]_97_207_1995"/>
      <sheetName val="[97_207COSRP11.xls]_97_207_1996"/>
      <sheetName val="[97_207COSRP11.xls]_97_207_1997"/>
      <sheetName val="[97_207COSRP11.xls]_97_207_1986"/>
      <sheetName val="[97_207COSRP11.xls]B________674"/>
      <sheetName val="[97_207COSRP11.xls]B________675"/>
      <sheetName val="[97_207COSRP11.xls]_97_207_1990"/>
      <sheetName val="[97_207COSRP11.xls]_97_207_1987"/>
      <sheetName val="[97_207COSRP11.xls]_97_207_1988"/>
      <sheetName val="[97_207COSRP11.xls]_97_207_1989"/>
      <sheetName val="[97_207COSRP11.xls]_97_207_1977"/>
      <sheetName val="[97_207COSRP11.xls]B________670"/>
      <sheetName val="[97_207COSRP11.xls]B________671"/>
      <sheetName val="[97_207COSRP11.xls]_97_207_1981"/>
      <sheetName val="[97_207COSRP11.xls]_97_207_1978"/>
      <sheetName val="[97_207COSRP11.xls]_97_207_1979"/>
      <sheetName val="[97_207COSRP11.xls]_97_207_1980"/>
      <sheetName val="[97_207COSRP11.xls]_97_207_1982"/>
      <sheetName val="[97_207COSRP11.xls]B________672"/>
      <sheetName val="[97_207COSRP11.xls]B________673"/>
      <sheetName val="[97_207COSRP11.xls]_97_207_1983"/>
      <sheetName val="[97_207COSRP11.xls]_97_207_1984"/>
      <sheetName val="[97_207COSRP11.xls]_97_207_1985"/>
      <sheetName val="[97_207COSRP11.xls]B________676"/>
      <sheetName val="[97_207COSRP11.xls]B________677"/>
      <sheetName val="[97_207COSRP11.xls]_97_207_1991"/>
      <sheetName val="[97_207COSRP11.xls]_97_207_1992"/>
      <sheetName val="[97_207COSRP11.xls]_97_207_1993"/>
      <sheetName val="[97_207COSRP11.xls]_97_207_1999"/>
      <sheetName val="[97_207COSRP11.xls]B________680"/>
      <sheetName val="[97_207COSRP11.xls]B________681"/>
      <sheetName val="[97_207COSRP11.xls]_97_207_2285"/>
      <sheetName val="[97_207COSRP11.xls]_97_207_2000"/>
      <sheetName val="[97_207COSRP11.xls]_97_207_2001"/>
      <sheetName val="[97_207COSRP11.xls]_97_207_2002"/>
      <sheetName val="[97_207COSRP11.xls]_97_207_2003"/>
      <sheetName val="[97_207COSRP11.xls]_97_207_2015"/>
      <sheetName val="[97_207COSRP11.xls]_97_207_2016"/>
      <sheetName val="[97_207COSRP11.xls]_97_207_2017"/>
      <sheetName val="[97_207COSRP11.xls]B________683"/>
      <sheetName val="[97_207COSRP11.xls]B________684"/>
      <sheetName val="[97_207COSRP11.xls]_97_207_2028"/>
      <sheetName val="[97_207COSRP11.xls]_97_207_2018"/>
      <sheetName val="[97_207COSRP11.xls]_97_207_2029"/>
      <sheetName val="[97_207COSRP11.xls]B________685"/>
      <sheetName val="[97_207COSRP11.xls]_97_207_2019"/>
      <sheetName val="[97_207COSRP11.xls]_97_207_2020"/>
      <sheetName val="[97_207COSRP11.xls]_97_207_2021"/>
      <sheetName val="[97_207COSRP11.xls]_97_207_2030"/>
      <sheetName val="[97_207COSRP11.xls]_97_207_2005"/>
      <sheetName val="[97_207COSRP11.xls]_97_207_2006"/>
      <sheetName val="[97_207COSRP11.xls]_97_207_2004"/>
      <sheetName val="[97_207COSRP11.xls]_97_207_2007"/>
      <sheetName val="[97_207COSRP11.xls]_97_207_2008"/>
      <sheetName val="[97_207COSRP11.xls]_97_207_2009"/>
      <sheetName val="[97_207COSRP11.xls]_97_207_2010"/>
      <sheetName val="[97_207COSRP11.xls]_97_207_2011"/>
      <sheetName val="[97_207COSRP11.xls]B________682"/>
      <sheetName val="[97_207COSRP11.xls]_97_207_2012"/>
      <sheetName val="[97_207COSRP11.xls]_97_207_2013"/>
      <sheetName val="[97_207COSRP11.xls]_97_207_2014"/>
      <sheetName val="[97_207COSRP11.xls]_97_207_2022"/>
      <sheetName val="[97_207COSRP11.xls]_97_207_2023"/>
      <sheetName val="[97_207COSRP11.xls]_97_207_2024"/>
      <sheetName val="[97_207COSRP11.xls]_97_207_2025"/>
      <sheetName val="[97_207COSRP11.xls]_97_207_2026"/>
      <sheetName val="[97_207COSRP11.xls]_97_207_2027"/>
      <sheetName val="[97_207COSRP11.xls]_97_207_2052"/>
      <sheetName val="[97_207COSRP11.xls]_97_207_2053"/>
      <sheetName val="[97_207COSRP11.xls]_97_207_2054"/>
      <sheetName val="[97_207COSRP11.xls]B________695"/>
      <sheetName val="[97_207COSRP11.xls]B________696"/>
      <sheetName val="[97_207COSRP11.xls]_97_207_2059"/>
      <sheetName val="[97_207COSRP11.xls]_97_207_2055"/>
      <sheetName val="[97_207COSRP11.xls]_97_207_2060"/>
      <sheetName val="[97_207COSRP11.xls]B________697"/>
      <sheetName val="[97_207COSRP11.xls]_97_207_2056"/>
      <sheetName val="[97_207COSRP11.xls]_97_207_2057"/>
      <sheetName val="[97_207COSRP11.xls]_97_207_2058"/>
      <sheetName val="[97_207COSRP11.xls]_97_207_2061"/>
      <sheetName val="[97_207COSRP11.xls]_97_207_2031"/>
      <sheetName val="[97_207COSRP11.xls]_97_207_2032"/>
      <sheetName val="[97_207COSRP11.xls]_97_207_2033"/>
      <sheetName val="[97_207COSRP11.xls]B________686"/>
      <sheetName val="[97_207COSRP11.xls]B________687"/>
      <sheetName val="[97_207COSRP11.xls]_97_207_2034"/>
      <sheetName val="[97_207COSRP11.xls]B________688"/>
      <sheetName val="[97_207COSRP11.xls]_97_207_2035"/>
      <sheetName val="[97_207COSRP11.xls]_97_207_2036"/>
      <sheetName val="[97_207COSRP11.xls]_97_207_2037"/>
      <sheetName val="[97_207COSRP11.xls]_97_207_2038"/>
      <sheetName val="[97_207COSRP11.xls]_97_207_2039"/>
      <sheetName val="[97_207COSRP11.xls]_97_207_2040"/>
      <sheetName val="[97_207COSRP11.xls]B________689"/>
      <sheetName val="[97_207COSRP11.xls]B________690"/>
      <sheetName val="[97_207COSRP11.xls]_97_207_2041"/>
      <sheetName val="[97_207COSRP11.xls]B________691"/>
      <sheetName val="[97_207COSRP11.xls]_97_207_2042"/>
      <sheetName val="[97_207COSRP11.xls]_97_207_2043"/>
      <sheetName val="[97_207COSRP11.xls]_97_207_2044"/>
      <sheetName val="[97_207COSRP11.xls]_97_207_2045"/>
      <sheetName val="[97_207COSRP11.xls]_97_207_2046"/>
      <sheetName val="[97_207COSRP11.xls]_97_207_2047"/>
      <sheetName val="[97_207COSRP11.xls]B________692"/>
      <sheetName val="[97_207COSRP11.xls]B________693"/>
      <sheetName val="[97_207COSRP11.xls]_97_207_2048"/>
      <sheetName val="[97_207COSRP11.xls]B________694"/>
      <sheetName val="[97_207COSRP11.xls]_97_207_2049"/>
      <sheetName val="[97_207COSRP11.xls]_97_207_2050"/>
      <sheetName val="[97_207COSRP11.xls]_97_207_2051"/>
      <sheetName val="[97_207COSRP11.xls]_97_207_2062"/>
      <sheetName val="[97_207COSRP11.xls]_97_207_2063"/>
      <sheetName val="[97_207COSRP11.xls]_97_207_2064"/>
      <sheetName val="[97_207COSRP11.xls]_97_207_2065"/>
      <sheetName val="[97_207COSRP11.xls]_97_207_2066"/>
      <sheetName val="[97_207COSRP11.xls]_97_207_2067"/>
      <sheetName val="[97_207COSRP11.xls]_97_207_2068"/>
      <sheetName val="[97_207COSRP11.xls]B________698"/>
      <sheetName val="[97_207COSRP11.xls]B________699"/>
      <sheetName val="[97_207COSRP11.xls]B________700"/>
      <sheetName val="[97_207COSRP11.xls]B________701"/>
      <sheetName val="[97_207COSRP11.xls]B________702"/>
      <sheetName val="[97_207COSRP11.xls]_97_207_2073"/>
      <sheetName val="[97_207COSRP11.xls]_97_207_2074"/>
      <sheetName val="[97_207COSRP11.xls]B________703"/>
      <sheetName val="[97_207COSRP11.xls]_97_207_2069"/>
      <sheetName val="[97_207COSRP11.xls]_97_207_2075"/>
      <sheetName val="[97_207COSRP11.xls]_97_207_2070"/>
      <sheetName val="[97_207COSRP11.xls]_97_207_2071"/>
      <sheetName val="[97_207COSRP11.xls]_97_207_2072"/>
      <sheetName val="[97_207COSRP11.xls]_97_207_2115"/>
      <sheetName val="[97_207COSRP11.xls]_97_207_2116"/>
      <sheetName val="[97_207COSRP11.xls]_97_207_2117"/>
      <sheetName val="[97_207COSRP11.xls]B________716"/>
      <sheetName val="[97_207COSRP11.xls]B________717"/>
      <sheetName val="[97_207COSRP11.xls]_97_207_2122"/>
      <sheetName val="[97_207COSRP11.xls]_97_207_2118"/>
      <sheetName val="[97_207COSRP11.xls]_97_207_2123"/>
      <sheetName val="[97_207COSRP11.xls]B________718"/>
      <sheetName val="[97_207COSRP11.xls]_97_207_2119"/>
      <sheetName val="[97_207COSRP11.xls]_97_207_2120"/>
      <sheetName val="[97_207COSRP11.xls]_97_207_2121"/>
      <sheetName val="[97_207COSRP11.xls]_97_207_2124"/>
      <sheetName val="[97_207COSRP11.xls]_97_207_2082"/>
      <sheetName val="[97_207COSRP11.xls]_97_207_2083"/>
      <sheetName val="[97_207COSRP11.xls]_97_207_2084"/>
      <sheetName val="[97_207COSRP11.xls]B________704"/>
      <sheetName val="[97_207COSRP11.xls]B________705"/>
      <sheetName val="[97_207COSRP11.xls]_97_207_2105"/>
      <sheetName val="[97_207COSRP11.xls]_97_207_2085"/>
      <sheetName val="[97_207COSRP11.xls]_97_207_2106"/>
      <sheetName val="[97_207COSRP11.xls]B________706"/>
      <sheetName val="[97_207COSRP11.xls]_97_207_2086"/>
      <sheetName val="[97_207COSRP11.xls]_97_207_2087"/>
      <sheetName val="[97_207COSRP11.xls]_97_207_2088"/>
      <sheetName val="[97_207COSRP11.xls]_97_207_2107"/>
      <sheetName val="[97_207COSRP11.xls]_97_207_2076"/>
      <sheetName val="[97_207COSRP11.xls]_97_207_2077"/>
      <sheetName val="[97_207COSRP11.xls]_97_207_2078"/>
      <sheetName val="[97_207COSRP11.xls]_97_207_2079"/>
      <sheetName val="[97_207COSRP11.xls]_97_207_2080"/>
      <sheetName val="[97_207COSRP11.xls]_97_207_2081"/>
      <sheetName val="[97_207COSRP11.xls]B________713"/>
      <sheetName val="[97_207COSRP11.xls]B________714"/>
      <sheetName val="[97_207COSRP11.xls]_97_207_2112"/>
      <sheetName val="[97_207COSRP11.xls]_97_207_2108"/>
      <sheetName val="[97_207COSRP11.xls]_97_207_2113"/>
      <sheetName val="[97_207COSRP11.xls]B________715"/>
      <sheetName val="[97_207COSRP11.xls]_97_207_2109"/>
      <sheetName val="[97_207COSRP11.xls]_97_207_2110"/>
      <sheetName val="[97_207COSRP11.xls]_97_207_2111"/>
      <sheetName val="[97_207COSRP11.xls]_97_207_2114"/>
      <sheetName val="[97_207COSRP11.xls]_97_207_2089"/>
      <sheetName val="[97_207COSRP11.xls]_97_207_2090"/>
      <sheetName val="[97_207COSRP11.xls]_97_207_2091"/>
      <sheetName val="[97_207COSRP11.xls]B________707"/>
      <sheetName val="[97_207COSRP11.xls]B________708"/>
      <sheetName val="[97_207COSRP11.xls]_97_207_2092"/>
      <sheetName val="[97_207COSRP11.xls]B________709"/>
      <sheetName val="[97_207COSRP11.xls]_97_207_2093"/>
      <sheetName val="[97_207COSRP11.xls]_97_207_2094"/>
      <sheetName val="[97_207COSRP11.xls]_97_207_2095"/>
      <sheetName val="[97_207COSRP11.xls]_97_207_2096"/>
      <sheetName val="[97_207COSRP11.xls]_97_207_2097"/>
      <sheetName val="[97_207COSRP11.xls]_97_207_2098"/>
      <sheetName val="[97_207COSRP11.xls]_97_207_2099"/>
      <sheetName val="[97_207COSRP11.xls]_97_207_2100"/>
      <sheetName val="[97_207COSRP11.xls]B________710"/>
      <sheetName val="[97_207COSRP11.xls]B________711"/>
      <sheetName val="[97_207COSRP11.xls]_97_207_2101"/>
      <sheetName val="[97_207COSRP11.xls]B________712"/>
      <sheetName val="[97_207COSRP11.xls]_97_207_2102"/>
      <sheetName val="[97_207COSRP11.xls]_97_207_2103"/>
      <sheetName val="[97_207COSRP11.xls]_97_207_2104"/>
      <sheetName val="[97_207COSRP11.xls]_97_207_2125"/>
      <sheetName val="[97_207COSRP11.xls]_97_207_2126"/>
      <sheetName val="[97_207COSRP11.xls]_97_207_2127"/>
      <sheetName val="[97_207COSRP11.xls]B________719"/>
      <sheetName val="[97_207COSRP11.xls]B________720"/>
      <sheetName val="[97_207COSRP11.xls]_97_207_2132"/>
      <sheetName val="[97_207COSRP11.xls]_97_207_2128"/>
      <sheetName val="[97_207COSRP11.xls]_97_207_2133"/>
      <sheetName val="[97_207COSRP11.xls]B________721"/>
      <sheetName val="[97_207COSRP11.xls]_97_207_2129"/>
      <sheetName val="[97_207COSRP11.xls]_97_207_2130"/>
      <sheetName val="[97_207COSRP11.xls]_97_207_2131"/>
      <sheetName val="[97_207COSRP11.xls]_97_207_2134"/>
      <sheetName val="[97_207COSRP11.xls]_97_207_2143"/>
      <sheetName val="[97_207COSRP11.xls]_97_207_2144"/>
      <sheetName val="[97_207COSRP11.xls]_97_207_2145"/>
      <sheetName val="[97_207COSRP11.xls]B________728"/>
      <sheetName val="[97_207COSRP11.xls]B________729"/>
      <sheetName val="[97_207COSRP11.xls]_97_207_2156"/>
      <sheetName val="[97_207COSRP11.xls]_97_207_2146"/>
      <sheetName val="[97_207COSRP11.xls]_97_207_2157"/>
      <sheetName val="[97_207COSRP11.xls]B________730"/>
      <sheetName val="[97_207COSRP11.xls]_97_207_2147"/>
      <sheetName val="[97_207COSRP11.xls]_97_207_2148"/>
      <sheetName val="[97_207COSRP11.xls]_97_207_2149"/>
      <sheetName val="[97_207COSRP11.xls]_97_207_2158"/>
      <sheetName val="[97_207COSRP11.xls]B________722"/>
      <sheetName val="[97_207COSRP11.xls]B________723"/>
      <sheetName val="[97_207COSRP11.xls]B________724"/>
      <sheetName val="[97_207COSRP11.xls]_97_207_2135"/>
      <sheetName val="[97_207COSRP11.xls]_97_207_2136"/>
      <sheetName val="[97_207COSRP11.xls]_97_207_2137"/>
      <sheetName val="[97_207COSRP11.xls]_97_207_2138"/>
      <sheetName val="[97_207COSRP11.xls]B________725"/>
      <sheetName val="[97_207COSRP11.xls]B________726"/>
      <sheetName val="[97_207COSRP11.xls]_97_207_2139"/>
      <sheetName val="[97_207COSRP11.xls]B________727"/>
      <sheetName val="[97_207COSRP11.xls]_97_207_2140"/>
      <sheetName val="[97_207COSRP11.xls]_97_207_2141"/>
      <sheetName val="[97_207COSRP11.xls]_97_207_2142"/>
      <sheetName val="[97_207COSRP11.xls]_97_207_2150"/>
      <sheetName val="[97_207COSRP11.xls]_97_207_2151"/>
      <sheetName val="[97_207COSRP11.xls]_97_207_2152"/>
      <sheetName val="[97_207COSRP11.xls]_97_207_2153"/>
      <sheetName val="[97_207COSRP11.xls]_97_207_2154"/>
      <sheetName val="[97_207COSRP11.xls]_97_207_2155"/>
      <sheetName val="[97_207COSRP11.xls]_97_207_2159"/>
      <sheetName val="[97_207COSRP11.xls]_97_207_2160"/>
      <sheetName val="[97_207COSRP11.xls]_97_207_2161"/>
      <sheetName val="[97_207COSRP11.xls]B________731"/>
      <sheetName val="[97_207COSRP11.xls]B________732"/>
      <sheetName val="[97_207COSRP11.xls]_97_207_2180"/>
      <sheetName val="[97_207COSRP11.xls]_97_207_2162"/>
      <sheetName val="[97_207COSRP11.xls]_97_207_2181"/>
      <sheetName val="[97_207COSRP11.xls]B________733"/>
      <sheetName val="[97_207COSRP11.xls]_97_207_2163"/>
      <sheetName val="[97_207COSRP11.xls]_97_207_2164"/>
      <sheetName val="[97_207COSRP11.xls]_97_207_2165"/>
      <sheetName val="[97_207COSRP11.xls]_97_207_2182"/>
      <sheetName val="[97_207COSRP11.xls]B________740"/>
      <sheetName val="[97_207COSRP11.xls]B________741"/>
      <sheetName val="[97_207COSRP11.xls]_97_207_2197"/>
      <sheetName val="[97_207COSRP11.xls]_97_207_2183"/>
      <sheetName val="[97_207COSRP11.xls]_97_207_2198"/>
      <sheetName val="[97_207COSRP11.xls]B________742"/>
      <sheetName val="[97_207COSRP11.xls]_97_207_2184"/>
      <sheetName val="[97_207COSRP11.xls]_97_207_2185"/>
      <sheetName val="[97_207COSRP11.xls]_97_207_2186"/>
      <sheetName val="[97_207COSRP11.xls]_97_207_2199"/>
      <sheetName val="[97_207COSRP11.xls]_97_207_2166"/>
      <sheetName val="[97_207COSRP11.xls]_97_207_2167"/>
      <sheetName val="[97_207COSRP11.xls]_97_207_2168"/>
      <sheetName val="[97_207COSRP11.xls]B________734"/>
      <sheetName val="[97_207COSRP11.xls]B________735"/>
      <sheetName val="[97_207COSRP11.xls]_97_207_2169"/>
      <sheetName val="[97_207COSRP11.xls]B________736"/>
      <sheetName val="[97_207COSRP11.xls]_97_207_2170"/>
      <sheetName val="[97_207COSRP11.xls]_97_207_2171"/>
      <sheetName val="[97_207COSRP11.xls]_97_207_2172"/>
      <sheetName val="[97_207COSRP11.xls]_97_207_2173"/>
      <sheetName val="[97_207COSRP11.xls]_97_207_2174"/>
      <sheetName val="[97_207COSRP11.xls]_97_207_2175"/>
      <sheetName val="[97_207COSRP11.xls]B________737"/>
      <sheetName val="[97_207COSRP11.xls]B________738"/>
      <sheetName val="[97_207COSRP11.xls]_97_207_2176"/>
      <sheetName val="[97_207COSRP11.xls]B________739"/>
      <sheetName val="[97_207COSRP11.xls]_97_207_2177"/>
      <sheetName val="[97_207COSRP11.xls]_97_207_2178"/>
      <sheetName val="[97_207COSRP11.xls]_97_207_2179"/>
      <sheetName val="[97_207COSRP11.xls]_97_207_2187"/>
      <sheetName val="[97_207COSRP11.xls]_97_207_2188"/>
      <sheetName val="[97_207COSRP11.xls]_97_207_2189"/>
      <sheetName val="[97_207COSRP11.xls]B________743"/>
      <sheetName val="[97_207COSRP11.xls]B________744"/>
      <sheetName val="[97_207COSRP11.xls]_97_207_2194"/>
      <sheetName val="[97_207COSRP11.xls]_97_207_2190"/>
      <sheetName val="[97_207COSRP11.xls]_97_207_2195"/>
      <sheetName val="[97_207COSRP11.xls]B________745"/>
      <sheetName val="[97_207COSRP11.xls]_97_207_2191"/>
      <sheetName val="[97_207COSRP11.xls]_97_207_2192"/>
      <sheetName val="[97_207COSRP11.xls]_97_207_2193"/>
      <sheetName val="[97_207COSRP11.xls]_97_207_2196"/>
      <sheetName val="[97_207COSRP11.xls]_97_207_2200"/>
      <sheetName val="[97_207COSRP11.xls]_97_207_2201"/>
      <sheetName val="[97_207COSRP11.xls]_97_207_2202"/>
      <sheetName val="[97_207COSRP11.xls]_97_207_2221"/>
      <sheetName val="[97_207COSRP11.xls]_97_207_2222"/>
      <sheetName val="[97_207COSRP11.xls]_97_207_2223"/>
      <sheetName val="[97_207COSRP11.xls]_97_207_2203"/>
      <sheetName val="[97_207COSRP11.xls]_97_207_2204"/>
      <sheetName val="[97_207COSRP11.xls]_97_207_2205"/>
      <sheetName val="[97_207COSRP11.xls]_97_207_2206"/>
      <sheetName val="[97_207COSRP11.xls]_97_207_2207"/>
      <sheetName val="[97_207COSRP11.xls]_97_207_2208"/>
      <sheetName val="[97_207COSRP11.xls]_97_207_2209"/>
      <sheetName val="[97_207COSRP11.xls]_97_207_2210"/>
      <sheetName val="[97_207COSRP11.xls]_97_207_2211"/>
      <sheetName val="[97_207COSRP11.xls]_97_207_2212"/>
      <sheetName val="[97_207COSRP11.xls]_97_207_2213"/>
      <sheetName val="[97_207COSRP11.xls]_97_207_2214"/>
      <sheetName val="[97_207COSRP11.xls]_97_207_2215"/>
      <sheetName val="[97_207COSRP11.xls]_97_207_2216"/>
      <sheetName val="[97_207COSRP11.xls]_97_207_2217"/>
      <sheetName val="[97_207COSRP11.xls]_97_207_2218"/>
      <sheetName val="[97_207COSRP11.xls]_97_207_2219"/>
      <sheetName val="[97_207COSRP11.xls]_97_207_2220"/>
      <sheetName val="[97_207COSRP11.xls]_97_207_2231"/>
      <sheetName val="[97_207COSRP11.xls]_97_207_2232"/>
      <sheetName val="[97_207COSRP11.xls]_97_207_2233"/>
      <sheetName val="[97_207COSRP11.xls]B________749"/>
      <sheetName val="[97_207COSRP11.xls]B________750"/>
      <sheetName val="[97_207COSRP11.xls]_97_207_2238"/>
      <sheetName val="[97_207COSRP11.xls]_97_207_2234"/>
      <sheetName val="[97_207COSRP11.xls]_97_207_2239"/>
      <sheetName val="[97_207COSRP11.xls]B________751"/>
      <sheetName val="[97_207COSRP11.xls]_97_207_2235"/>
      <sheetName val="[97_207COSRP11.xls]_97_207_2236"/>
      <sheetName val="[97_207COSRP11.xls]_97_207_2237"/>
      <sheetName val="[97_207COSRP11.xls]_97_207_2240"/>
      <sheetName val="[97_207COSRP11.xls]_97_207_2224"/>
      <sheetName val="[97_207COSRP11.xls]_97_207_2225"/>
      <sheetName val="[97_207COSRP11.xls]_97_207_2226"/>
      <sheetName val="[97_207COSRP11.xls]B________746"/>
      <sheetName val="[97_207COSRP11.xls]B________747"/>
      <sheetName val="[97_207COSRP11.xls]_97_207_2227"/>
      <sheetName val="[97_207COSRP11.xls]B________748"/>
      <sheetName val="[97_207COSRP11.xls]_97_207_2228"/>
      <sheetName val="[97_207COSRP11.xls]_97_207_2229"/>
      <sheetName val="[97_207COSRP11.xls]_97_207_2230"/>
      <sheetName val="[97_207COSRP11.xls]_97_207_2241"/>
      <sheetName val="[97_207COSRP11.xls]_97_207_2242"/>
      <sheetName val="[97_207COSRP11.xls]_97_207_2243"/>
      <sheetName val="[97_207COSRP11.xls]_97_207_2244"/>
      <sheetName val="[97_207COSRP11.xls]_97_207_2245"/>
      <sheetName val="[97_207COSRP11.xls]_97_207_2246"/>
      <sheetName val="[97_207COSRP11.xls]B________752"/>
      <sheetName val="[97_207COSRP11.xls]B________753"/>
      <sheetName val="[97_207COSRP11.xls]_97_207_2251"/>
      <sheetName val="[97_207COSRP11.xls]_97_207_2247"/>
      <sheetName val="[97_207COSRP11.xls]_97_207_2252"/>
      <sheetName val="[97_207COSRP11.xls]B________754"/>
      <sheetName val="[97_207COSRP11.xls]_97_207_2248"/>
      <sheetName val="[97_207COSRP11.xls]_97_207_2249"/>
      <sheetName val="[97_207COSRP11.xls]_97_207_2250"/>
      <sheetName val="[97_207COSRP11.xls]_97_207_2253"/>
      <sheetName val="[97_207COSRP11.xls]_97_207_2261"/>
      <sheetName val="[97_207COSRP11.xls]_97_207_2262"/>
      <sheetName val="[97_207COSRP11.xls]_97_207_2263"/>
      <sheetName val="[97_207COSRP11.xls]B________758"/>
      <sheetName val="[97_207COSRP11.xls]B________759"/>
      <sheetName val="[97_207COSRP11.xls]_97_207_2268"/>
      <sheetName val="[97_207COSRP11.xls]_97_207_2264"/>
      <sheetName val="[97_207COSRP11.xls]_97_207_2269"/>
      <sheetName val="[97_207COSRP11.xls]B________760"/>
      <sheetName val="[97_207COSRP11.xls]_97_207_2265"/>
      <sheetName val="[97_207COSRP11.xls]_97_207_2266"/>
      <sheetName val="[97_207COSRP11.xls]_97_207_2267"/>
      <sheetName val="[97_207COSRP11.xls]_97_207_2270"/>
      <sheetName val="[97_207COSRP11.xls]_97_207_2254"/>
      <sheetName val="[97_207COSRP11.xls]_97_207_2255"/>
      <sheetName val="[97_207COSRP11.xls]_97_207_2256"/>
      <sheetName val="[97_207COSRP11.xls]B________755"/>
      <sheetName val="[97_207COSRP11.xls]B________756"/>
      <sheetName val="[97_207COSRP11.xls]_97_207_2257"/>
      <sheetName val="[97_207COSRP11.xls]B________757"/>
      <sheetName val="[97_207COSRP11.xls]_97_207_2258"/>
      <sheetName val="[97_207COSRP11.xls]_97_207_2259"/>
      <sheetName val="[97_207COSRP11.xls]_97_207_2260"/>
      <sheetName val="[97_207COSRP11.xls]B________761"/>
      <sheetName val="[97_207COSRP11.xls]B________762"/>
      <sheetName val="[97_207COSRP11.xls]_97_207_2275"/>
      <sheetName val="[97_207COSRP11.xls]_97_207_2271"/>
      <sheetName val="[97_207COSRP11.xls]_97_207_2276"/>
      <sheetName val="[97_207COSRP11.xls]B________763"/>
      <sheetName val="[97_207COSRP11.xls]_97_207_2272"/>
      <sheetName val="[97_207COSRP11.xls]_97_207_2273"/>
      <sheetName val="[97_207COSRP11.xls]_97_207_2274"/>
      <sheetName val="[97_207COSRP11.xls]_97_207_2277"/>
      <sheetName val="[97_207COSRP11.xls]B________764"/>
      <sheetName val="[97_207COSRP11.xls]B________765"/>
      <sheetName val="[97_207COSRP11.xls]_97_207_2282"/>
      <sheetName val="[97_207COSRP11.xls]_97_207_2278"/>
      <sheetName val="[97_207COSRP11.xls]_97_207_2279"/>
      <sheetName val="[97_207COSRP11.xls]_97_207_2280"/>
      <sheetName val="[97_207COSRP11.xls]_97_207_2281"/>
      <sheetName val="[97_207COSRP11.xls]_97_207_2283"/>
      <sheetName val="[97_207COSRP11.xls]_97_207_2284"/>
      <sheetName val="[97_207COSRP11.xls]_97_207_2286"/>
      <sheetName val="[97_207COSRP11.xls]_97_207_2287"/>
      <sheetName val="[97_207COSRP11.xls]B________766"/>
      <sheetName val="[97_207COSRP11.xls]B________767"/>
      <sheetName val="[97_207COSRP11.xls]_97_207_2292"/>
      <sheetName val="[97_207COSRP11.xls]B________771"/>
      <sheetName val="[97_207COSRP11.xls]B________772"/>
      <sheetName val="[97_207COSRP11.xls]_97_207_2316"/>
      <sheetName val="[97_207COSRP11.xls]_97_207_2293"/>
      <sheetName val="[97_207COSRP11.xls]_97_207_2294"/>
      <sheetName val="[97_207COSRP11.xls]_97_207_2295"/>
      <sheetName val="[97_207COSRP11.xls]_97_207_2317"/>
      <sheetName val="[97_207COSRP11.xls]_97_207_2296"/>
      <sheetName val="[97_207COSRP11.xls]_97_207_2318"/>
      <sheetName val="[97_207COSRP11.xls]B________773"/>
      <sheetName val="[97_207COSRP11.xls]_97_207_2297"/>
      <sheetName val="[97_207COSRP11.xls]_97_207_2298"/>
      <sheetName val="[97_207COSRP11.xls]B________768"/>
      <sheetName val="[97_207COSRP11.xls]B________769"/>
      <sheetName val="[97_207COSRP11.xls]_97_207_2288"/>
      <sheetName val="[97_207COSRP11.xls]_97_207_2289"/>
      <sheetName val="[97_207COSRP11.xls]B________770"/>
      <sheetName val="[97_207COSRP11.xls]_97_207_2290"/>
      <sheetName val="[97_207COSRP11.xls]_97_207_2291"/>
      <sheetName val="[97_207COSRP11.xls]_97_207_2299"/>
      <sheetName val="[97_207COSRP11.xls]_97_207_2300"/>
      <sheetName val="[97_207COSRP11.xls]_97_207_2301"/>
      <sheetName val="[97_207COSRP11.xls]B________780"/>
      <sheetName val="[97_207COSRP11.xls]B________781"/>
      <sheetName val="[97_207COSRP11.xls]_97_207_2326"/>
      <sheetName val="[97_207COSRP11.xls]_97_207_2319"/>
      <sheetName val="[97_207COSRP11.xls]_97_207_2320"/>
      <sheetName val="[97_207COSRP11.xls]_97_207_2327"/>
      <sheetName val="[97_207COSRP11.xls]_97_207_2328"/>
      <sheetName val="[97_207COSRP11.xls]B________782"/>
      <sheetName val="[97_207COSRP11.xls]_97_207_2321"/>
      <sheetName val="[97_207COSRP11.xls]_97_207_2322"/>
      <sheetName val="[97_207COSRP11.xls]_97_207_2302"/>
      <sheetName val="[97_207COSRP11.xls]_97_207_2303"/>
      <sheetName val="[97_207COSRP11.xls]_97_207_2304"/>
      <sheetName val="[97_207COSRP11.xls]B________774"/>
      <sheetName val="[97_207COSRP11.xls]B________775"/>
      <sheetName val="[97_207COSRP11.xls]_97_207_2305"/>
      <sheetName val="[97_207COSRP11.xls]_97_207_2306"/>
      <sheetName val="[97_207COSRP11.xls]B________776"/>
      <sheetName val="[97_207COSRP11.xls]_97_207_2307"/>
      <sheetName val="[97_207COSRP11.xls]_97_207_2308"/>
      <sheetName val="[97_207COSRP11.xls]_97_207_2309"/>
      <sheetName val="[97_207COSRP11.xls]_97_207_2310"/>
      <sheetName val="[97_207COSRP11.xls]_97_207_2311"/>
      <sheetName val="[97_207COSRP11.xls]B________777"/>
      <sheetName val="[97_207COSRP11.xls]B________778"/>
      <sheetName val="[97_207COSRP11.xls]_97_207_2312"/>
      <sheetName val="[97_207COSRP11.xls]_97_207_2313"/>
      <sheetName val="[97_207COSRP11.xls]B________779"/>
      <sheetName val="[97_207COSRP11.xls]_97_207_2314"/>
      <sheetName val="[97_207COSRP11.xls]_97_207_2315"/>
      <sheetName val="[97_207COSRP11.xls]_97_207_2323"/>
      <sheetName val="[97_207COSRP11.xls]_97_207_2324"/>
      <sheetName val="[97_207COSRP11.xls]_97_207_2325"/>
      <sheetName val="[97_207COSRP11.xls]_97_207_2329"/>
      <sheetName val="[97_207COSRP11.xls]_97_207_2330"/>
      <sheetName val="[97_207COSRP11.xls]B________783"/>
      <sheetName val="[97_207COSRP11.xls]B________784"/>
      <sheetName val="[97_207COSRP11.xls]_97_207_2344"/>
      <sheetName val="[97_207COSRP11.xls]_97_207_2331"/>
      <sheetName val="[97_207COSRP11.xls]_97_207_2332"/>
      <sheetName val="[97_207COSRP11.xls]_97_207_2333"/>
      <sheetName val="[97_207COSRP11.xls]_97_207_2334"/>
      <sheetName val="[97_207COSRP11.xls]_97_207_2345"/>
      <sheetName val="[97_207COSRP11.xls]_97_207_2335"/>
      <sheetName val="[97_207COSRP11.xls]_97_207_2346"/>
      <sheetName val="[97_207COSRP11.xls]B________785"/>
      <sheetName val="[97_207COSRP11.xls]_97_207_2336"/>
      <sheetName val="[97_207COSRP11.xls]_97_207_2337"/>
      <sheetName val="[97_207COSRP11.xls]_97_207_2338"/>
      <sheetName val="[97_207COSRP11.xls]_97_207_2339"/>
      <sheetName val="[97_207COSRP11.xls]_97_207_2340"/>
      <sheetName val="[97_207COSRP11.xls]_97_207_2341"/>
      <sheetName val="[97_207COSRP11.xls]_97_207_2342"/>
      <sheetName val="[97_207COSRP11.xls]_97_207_2343"/>
      <sheetName val="Names&amp;Cases"/>
      <sheetName val="[97_207COSRP11.xls]_97_207_2347"/>
      <sheetName val="[97_207COSRP11.xls]_97_207_2348"/>
      <sheetName val="[97_207COSRP11.xls]_97_207_2349"/>
      <sheetName val="[97_207COSRP11.xls]_97_207_2350"/>
      <sheetName val="[97_207COSRP11.xls]_97_207_2351"/>
      <sheetName val="[97_207COSRP11.xls]B________786"/>
      <sheetName val="[97_207COSRP11.xls]B________787"/>
      <sheetName val="[97_207COSRP11.xls]B________788"/>
      <sheetName val="[97_207COSRP11.xls]_97_207_2359"/>
      <sheetName val="[97_207COSRP11.xls]_97_207_2360"/>
      <sheetName val="[97_207COSRP11.xls]_97_207_2361"/>
      <sheetName val="[97_207COSRP11.xls]_97_207_2352"/>
      <sheetName val="[97_207COSRP11.xls]_97_207_2353"/>
      <sheetName val="[97_207COSRP11.xls]_97_207_2354"/>
      <sheetName val="[97_207COSRP11.xls]_97_207_2355"/>
      <sheetName val="[97_207COSRP11.xls]_97_207_2356"/>
      <sheetName val="[97_207COSRP11.xls]_97_207_2357"/>
      <sheetName val="[97_207COSRP11.xls]_97_207_2358"/>
      <sheetName val="[97_207COSRP11.xls]B________789"/>
      <sheetName val="[97_207COSRP11.xls]B________790"/>
      <sheetName val="[97_207COSRP11.xls]_97_207_2366"/>
      <sheetName val="[97_207COSRP11.xls]_97_207_2362"/>
      <sheetName val="[97_207COSRP11.xls]_97_207_2363"/>
      <sheetName val="[97_207COSRP11.xls]_97_207_2367"/>
      <sheetName val="[97_207COSRP11.xls]_97_207_2368"/>
      <sheetName val="[97_207COSRP11.xls]B________791"/>
      <sheetName val="[97_207COSRP11.xls]_97_207_2364"/>
      <sheetName val="[97_207COSRP11.xls]_97_207_2365"/>
      <sheetName val="[97_207COSRP11.xls]_97_207_2379"/>
      <sheetName val="[97_207COSRP11.xls]_97_207_2380"/>
      <sheetName val="[97_207COSRP11.xls]_97_207_2381"/>
      <sheetName val="[97_207COSRP11.xls]_97_207_2382"/>
      <sheetName val="[97_207COSRP11.xls]_97_207_2383"/>
      <sheetName val="[97_207COSRP11.xls]_97_207_2384"/>
      <sheetName val="[97_207COSRP11.xls]B________798"/>
      <sheetName val="[97_207COSRP11.xls]B________799"/>
      <sheetName val="[97_207COSRP11.xls]_97_207_2399"/>
      <sheetName val="[97_207COSRP11.xls]_97_207_2392"/>
      <sheetName val="[97_207COSRP11.xls]_97_207_2393"/>
      <sheetName val="[97_207COSRP11.xls]_97_207_2394"/>
      <sheetName val="[97_207COSRP11.xls]_97_207_2400"/>
      <sheetName val="[97_207COSRP11.xls]_97_207_2395"/>
      <sheetName val="[97_207COSRP11.xls]_97_207_2396"/>
      <sheetName val="[97_207COSRP11.xls]_97_207_2401"/>
      <sheetName val="[97_207COSRP11.xls]B________800"/>
      <sheetName val="[97_207COSRP11.xls]_97_207_2397"/>
      <sheetName val="[97_207COSRP11.xls]_97_207_2398"/>
      <sheetName val="[97_207COSRP11.xls]_97_207_2385"/>
      <sheetName val="[97_207COSRP11.xls]_97_207_2386"/>
      <sheetName val="[97_207COSRP11.xls]_97_207_2387"/>
      <sheetName val="[97_207COSRP11.xls]B________795"/>
      <sheetName val="[97_207COSRP11.xls]B________796"/>
      <sheetName val="[97_207COSRP11.xls]_97_207_2388"/>
      <sheetName val="[97_207COSRP11.xls]_97_207_2389"/>
      <sheetName val="[97_207COSRP11.xls]B________797"/>
      <sheetName val="[97_207COSRP11.xls]_97_207_2390"/>
      <sheetName val="[97_207COSRP11.xls]_97_207_2391"/>
      <sheetName val="[97_207COSRP11.xls]_97_207_2402"/>
      <sheetName val="[97_207COSRP11.xls]_97_207_2403"/>
      <sheetName val="[97_207COSRP11.xls]_97_207_2404"/>
      <sheetName val="[97_207COSRP11.xls]_97_207_2405"/>
      <sheetName val="[97_207COSRP11.xls]_97_207_2406"/>
      <sheetName val="[97_207COSRP11.xls]_97_207_2407"/>
      <sheetName val="[97_207COSRP11.xls]B________801"/>
      <sheetName val="[97_207COSRP11.xls]B________802"/>
      <sheetName val="[97_207COSRP11.xls]_97_207_2412"/>
      <sheetName val="[97_207COSRP11.xls]_97_207_2408"/>
      <sheetName val="[97_207COSRP11.xls]_97_207_2409"/>
      <sheetName val="[97_207COSRP11.xls]_97_207_2413"/>
      <sheetName val="[97_207COSRP11.xls]_97_207_2414"/>
      <sheetName val="[97_207COSRP11.xls]B________803"/>
      <sheetName val="[97_207COSRP11.xls]_97_207_2410"/>
      <sheetName val="[97_207COSRP11.xls]_97_207_2411"/>
      <sheetName val="[97_207COSRP11.xls]_97_207_2422"/>
      <sheetName val="[97_207COSRP11.xls]_97_207_2423"/>
      <sheetName val="[97_207COSRP11.xls]_97_207_2424"/>
      <sheetName val="[97_207COSRP11.xls]B________807"/>
      <sheetName val="[97_207COSRP11.xls]B________808"/>
      <sheetName val="[97_207COSRP11.xls]_97_207_2429"/>
      <sheetName val="[97_207COSRP11.xls]_97_207_2425"/>
      <sheetName val="[97_207COSRP11.xls]_97_207_2426"/>
      <sheetName val="[97_207COSRP11.xls]_97_207_2430"/>
      <sheetName val="[97_207COSRP11.xls]_97_207_2431"/>
      <sheetName val="[97_207COSRP11.xls]B________809"/>
      <sheetName val="[97_207COSRP11.xls]_97_207_2427"/>
      <sheetName val="[97_207COSRP11.xls]_97_207_2428"/>
      <sheetName val="[97_207COSRP11.xls]_97_207_2415"/>
      <sheetName val="[97_207COSRP11.xls]_97_207_2416"/>
      <sheetName val="[97_207COSRP11.xls]_97_207_2417"/>
      <sheetName val="[97_207COSRP11.xls]B________804"/>
      <sheetName val="[97_207COSRP11.xls]B________805"/>
      <sheetName val="[97_207COSRP11.xls]_97_207_2418"/>
      <sheetName val="[97_207COSRP11.xls]_97_207_2419"/>
      <sheetName val="[97_207COSRP11.xls]B________806"/>
      <sheetName val="[97_207COSRP11.xls]_97_207_2420"/>
      <sheetName val="[97_207COSRP11.xls]_97_207_2421"/>
      <sheetName val="[97_207COSRP11.xls]_97_207_2432"/>
      <sheetName val="[97_207COSRP11.xls]_97_207_2433"/>
      <sheetName val="[97_207COSRP11.xls]_97_207_2434"/>
      <sheetName val="[97_207COSRP11.xls]B________810"/>
      <sheetName val="[97_207COSRP11.xls]B________811"/>
      <sheetName val="[97_207COSRP11.xls]_97_207_2438"/>
      <sheetName val="[97_207COSRP11.xls]_97_207_2435"/>
      <sheetName val="[97_207COSRP11.xls]_97_207_2436"/>
      <sheetName val="[97_207COSRP11.xls]_97_207_2437"/>
      <sheetName val="[97_207COSRP11.xls]B________825"/>
      <sheetName val="[97_207COSRP11.xls]B________826"/>
      <sheetName val="[97_207COSRP11.xls]_97_207_2477"/>
      <sheetName val="[97_207COSRP11.xls]_97_207_2470"/>
      <sheetName val="[97_207COSRP11.xls]_97_207_2471"/>
      <sheetName val="[97_207COSRP11.xls]_97_207_2472"/>
      <sheetName val="[97_207COSRP11.xls]_97_207_2478"/>
      <sheetName val="[97_207COSRP11.xls]_97_207_2473"/>
      <sheetName val="[97_207COSRP11.xls]_97_207_2474"/>
      <sheetName val="[97_207COSRP11.xls]_97_207_2479"/>
      <sheetName val="[97_207COSRP11.xls]B________827"/>
      <sheetName val="[97_207COSRP11.xls]_97_207_2475"/>
      <sheetName val="[97_207COSRP11.xls]_97_207_2476"/>
      <sheetName val="[97_207COSRP11.xls]_97_207_2439"/>
      <sheetName val="[97_207COSRP11.xls]B________812"/>
      <sheetName val="[97_207COSRP11.xls]_97_207_2440"/>
      <sheetName val="[97_207COSRP11.xls]_97_207_2441"/>
      <sheetName val="[97_207COSRP11.xls]B________813"/>
      <sheetName val="[97_207COSRP11.xls]B________814"/>
      <sheetName val="[97_207COSRP11.xls]_97_207_2442"/>
      <sheetName val="[97_207COSRP11.xls]_97_207_2443"/>
      <sheetName val="[97_207COSRP11.xls]_97_207_2444"/>
      <sheetName val="[97_207COSRP11.xls]_97_207_2445"/>
      <sheetName val="[97_207COSRP11.xls]_97_207_2446"/>
      <sheetName val="[97_207COSRP11.xls]B________815"/>
      <sheetName val="[97_207COSRP11.xls]_97_207_2447"/>
      <sheetName val="[97_207COSRP11.xls]_97_207_2448"/>
      <sheetName val="[97_207COSRP11.xls]B________816"/>
      <sheetName val="[97_207COSRP11.xls]B________817"/>
      <sheetName val="[97_207COSRP11.xls]_97_207_2449"/>
      <sheetName val="[97_207COSRP11.xls]_97_207_2450"/>
      <sheetName val="[97_207COSRP11.xls]_97_207_2451"/>
      <sheetName val="[97_207COSRP11.xls]_97_207_2452"/>
      <sheetName val="[97_207COSRP11.xls]_97_207_2453"/>
      <sheetName val="[97_207COSRP11.xls]B________818"/>
      <sheetName val="[97_207COSRP11.xls]_97_207_2454"/>
      <sheetName val="[97_207COSRP11.xls]_97_207_2455"/>
      <sheetName val="[97_207COSRP11.xls]B________819"/>
      <sheetName val="[97_207COSRP11.xls]B________820"/>
      <sheetName val="[97_207COSRP11.xls]_97_207_2456"/>
      <sheetName val="[97_207COSRP11.xls]_97_207_2457"/>
      <sheetName val="[97_207COSRP11.xls]_97_207_2458"/>
      <sheetName val="[97_207COSRP11.xls]_97_207_2459"/>
      <sheetName val="[97_207COSRP11.xls]_97_207_2460"/>
      <sheetName val="[97_207COSRP11.xls]B________821"/>
      <sheetName val="[97_207COSRP11.xls]_97_207_2461"/>
      <sheetName val="[97_207COSRP11.xls]_97_207_2462"/>
      <sheetName val="[97_207COSRP11.xls]B________822"/>
      <sheetName val="[97_207COSRP11.xls]B________823"/>
      <sheetName val="[97_207COSRP11.xls]_97_207_2463"/>
      <sheetName val="[97_207COSRP11.xls]_97_207_2464"/>
      <sheetName val="[97_207COSRP11.xls]_97_207_2465"/>
      <sheetName val="[97_207COSRP11.xls]_97_207_2466"/>
      <sheetName val="[97_207COSRP11.xls]_97_207_2467"/>
      <sheetName val="[97_207COSRP11.xls]B________824"/>
      <sheetName val="[97_207COSRP11.xls]_97_207_2468"/>
      <sheetName val="[97_207COSRP11.xls]_97_207_2469"/>
      <sheetName val="[97_207COSRP11.xls]_97_207_2480"/>
      <sheetName val="[97_207COSRP11.xls]_97_207_2481"/>
      <sheetName val="[97_207COSRP11.xls]_97_207_2482"/>
      <sheetName val="[97_207COSRP11.xls]B________828"/>
      <sheetName val="[97_207COSRP11.xls]B________829"/>
      <sheetName val="[97_207COSRP11.xls]_97_207_2496"/>
      <sheetName val="[97_207COSRP11.xls]_97_207_2489"/>
      <sheetName val="[97_207COSRP11.xls]_97_207_2490"/>
      <sheetName val="[97_207COSRP11.xls]_97_207_2491"/>
      <sheetName val="[97_207COSRP11.xls]_97_207_2497"/>
      <sheetName val="[97_207COSRP11.xls]_97_207_2492"/>
      <sheetName val="[97_207COSRP11.xls]_97_207_2493"/>
      <sheetName val="[97_207COSRP11.xls]_97_207_2498"/>
      <sheetName val="[97_207COSRP11.xls]B________830"/>
      <sheetName val="[97_207COSRP11.xls]_97_207_2494"/>
      <sheetName val="[97_207COSRP11.xls]_97_207_2495"/>
      <sheetName val="[97_207COSRP11.xls]_97_207_2486"/>
      <sheetName val="[97_207COSRP11.xls]_97_207_2487"/>
      <sheetName val="[97_207COSRP11.xls]_97_207_2488"/>
      <sheetName val="[97_207COSRP11.xls]_97_207_2483"/>
      <sheetName val="[97_207COSRP11.xls]_97_207_2484"/>
      <sheetName val="[97_207COSRP11.xls]_97_207_2485"/>
      <sheetName val="_97_207COSRP11.xls__97_207C_130"/>
      <sheetName val="_97_207COSRP11.xls_B_________52"/>
      <sheetName val="_97_207COSRP11.xls__97_207C_131"/>
      <sheetName val="_97_207COSRP11.xls__97_207C_127"/>
      <sheetName val="_97_207COSRP11.xls_B_________51"/>
      <sheetName val="_97_207COSRP11.xls__97_207C_128"/>
      <sheetName val="_97_207COSRP11.xls__97_207C_129"/>
      <sheetName val="_97_207COSRP11.xls_B_________32"/>
      <sheetName val="_97_207COSRP11.xls__97_207CO_75"/>
      <sheetName val="_97_207COSRP11.xls__97_207CO_76"/>
      <sheetName val="_97_207COSRP11.xls__97_207C_123"/>
      <sheetName val="_97_207COSRP11.xls__97_207CO_77"/>
      <sheetName val="_97_207COSRP11.xls_B_________33"/>
      <sheetName val="_97_207COSRP11.xls__97_207C_124"/>
      <sheetName val="_97_207COSRP11.xls__97_207CO_78"/>
      <sheetName val="_97_207COSRP11.xls__97_207CO_42"/>
      <sheetName val="_97_207COSRP11.xls__97_207CO_43"/>
      <sheetName val="_97_207COSRP11.xls__97_207CO_65"/>
      <sheetName val="_97_207COSRP11.xls__97_207CO_44"/>
      <sheetName val="_97_207COSRP11.xls__97_207CO_45"/>
      <sheetName val="_97_207COSRP11.xls__97_207CO_66"/>
      <sheetName val="_97_207COSRP11.xls__97_207CO_27"/>
      <sheetName val="_97_207COSRP11.xls__97_207CO_28"/>
      <sheetName val="_97_207COSRP11.xls__97_207CO_34"/>
      <sheetName val="_97_207COSRP11.xls__97_207CO_29"/>
      <sheetName val="_97_207COSRP11.xls__97_207CO_30"/>
      <sheetName val="_97_207COSRP11.xls__97_207CO_35"/>
      <sheetName val="_97_207COSRP11.xls__97_207CO_26"/>
      <sheetName val="_97_207COSRP11.xls__97_207CO_36"/>
      <sheetName val="_97_207COSRP11.xls__97_207CO_38"/>
      <sheetName val="_97_207COSRP11.xls__97_207CO_39"/>
      <sheetName val="_97_207COSRP11.xls__97_207CO_37"/>
      <sheetName val="_97_207COSRP11.xls__97_207CO_31"/>
      <sheetName val="_97_207COSRP11.xls__97_207CO_32"/>
      <sheetName val="_97_207COSRP11.xls__97_207CO_33"/>
      <sheetName val="_97_207COSRP11.xls__97_207CO_40"/>
      <sheetName val="_97_207COSRP11.xls__97_207CO_41"/>
      <sheetName val="_97_207COSRP11.xls__97_207CO_54"/>
      <sheetName val="_97_207COSRP11.xls__97_207CO_55"/>
      <sheetName val="_97_207COSRP11.xls_B_________23"/>
      <sheetName val="_97_207COSRP11.xls_B_________24"/>
      <sheetName val="_97_207COSRP11.xls__97_207CO_56"/>
      <sheetName val="_97_207COSRP11.xls__97_207CO_57"/>
      <sheetName val="_97_207COSRP11.xls__97_207CO_46"/>
      <sheetName val="_97_207COSRP11.xls__97_207CO_47"/>
      <sheetName val="_97_207COSRP11.xls__97_207CO_48"/>
      <sheetName val="_97_207COSRP11.xls__97_207CO_49"/>
      <sheetName val="_97_207COSRP11.xls__97_207CO_50"/>
      <sheetName val="_97_207COSRP11.xls__97_207CO_51"/>
      <sheetName val="_97_207COSRP11.xls_B_________22"/>
      <sheetName val="_97_207COSRP11.xls__97_207CO_52"/>
      <sheetName val="_97_207COSRP11.xls__97_207CO_53"/>
      <sheetName val="_97_207COSRP11.xls_B_________28"/>
      <sheetName val="_97_207COSRP11.xls__97_207CO_67"/>
      <sheetName val="_97_207COSRP11.xls__97_207CO_69"/>
      <sheetName val="_97_207COSRP11.xls__97_207CO_58"/>
      <sheetName val="_97_207COSRP11.xls__97_207CO_59"/>
      <sheetName val="_97_207COSRP11.xls_B_________25"/>
      <sheetName val="_97_207COSRP11.xls__97_207CO_60"/>
      <sheetName val="_97_207COSRP11.xls_B_________29"/>
      <sheetName val="_97_207COSRP11.xls__97_207CO_70"/>
      <sheetName val="_97_207COSRP11.xls__97_207CO_68"/>
      <sheetName val="_97_207COSRP11.xls__97_207CO_61"/>
      <sheetName val="_97_207COSRP11.xls__97_207CO_62"/>
      <sheetName val="_97_207COSRP11.xls_B_________26"/>
      <sheetName val="_97_207COSRP11.xls__97_207CO_63"/>
      <sheetName val="_97_207COSRP11.xls_B_________27"/>
      <sheetName val="_97_207COSRP11.xls__97_207CO_64"/>
      <sheetName val="_97_207COSRP11.xls__97_207CO_71"/>
      <sheetName val="_97_207COSRP11.xls__97_207CO_72"/>
      <sheetName val="_97_207COSRP11.xls_B_________30"/>
      <sheetName val="_97_207COSRP11.xls_B_________31"/>
      <sheetName val="_97_207COSRP11.xls__97_207CO_73"/>
      <sheetName val="_97_207COSRP11.xls__97_207CO_74"/>
      <sheetName val="_97_207COSRP11.xls_B_________34"/>
      <sheetName val="_97_207COSRP11.xls_B_________35"/>
      <sheetName val="_97_207COSRP11.xls__97_207CO_79"/>
      <sheetName val="_97_207COSRP11.xls__97_207CO_80"/>
      <sheetName val="_97_207COSRP11.xls_B_________50"/>
      <sheetName val="_97_207COSRP11.xls__97_207CO_85"/>
      <sheetName val="_97_207COSRP11.xls__97_207CO_86"/>
      <sheetName val="_97_207COSRP11.xls__97_207CO_83"/>
      <sheetName val="_97_207COSRP11.xls__97_207CO_81"/>
      <sheetName val="_97_207COSRP11.xls__97_207CO_82"/>
      <sheetName val="_97_207COSRP11.xls__97_207CO_84"/>
      <sheetName val="_97_207COSRP11.xls__97_207C_125"/>
      <sheetName val="_97_207COSRP11.xls__97_207C_126"/>
      <sheetName val="_97_207COSRP11.xls__97_207CO_87"/>
      <sheetName val="_97_207COSRP11.xls__97_207CO_88"/>
      <sheetName val="_97_207COSRP11.xls__97_207CO_95"/>
      <sheetName val="_97_207COSRP11.xls__97_207CO_96"/>
      <sheetName val="_97_207COSRP11.xls_B_________36"/>
      <sheetName val="_97_207COSRP11.xls__97_207CO_91"/>
      <sheetName val="_97_207COSRP11.xls__97_207CO_92"/>
      <sheetName val="_97_207COSRP11.xls_B_________38"/>
      <sheetName val="_97_207COSRP11.xls_B_________39"/>
      <sheetName val="_97_207COSRP11.xls__97_207CO_93"/>
      <sheetName val="_97_207COSRP11.xls__97_207CO_94"/>
      <sheetName val="_97_207COSRP11.xls__97_207CO_89"/>
      <sheetName val="_97_207COSRP11.xls_B_________37"/>
      <sheetName val="_97_207COSRP11.xls__97_207CO_90"/>
      <sheetName val="_97_207COSRP11.xls_B_________40"/>
      <sheetName val="_97_207COSRP11.xls_B_________41"/>
      <sheetName val="_97_207COSRP11.xls__97_207C_111"/>
      <sheetName val="_97_207COSRP11.xls__97_207CO_97"/>
      <sheetName val="_97_207COSRP11.xls__97_207CO_98"/>
      <sheetName val="_97_207COSRP11.xls__97_207C_112"/>
      <sheetName val="_97_207COSRP11.xls_B_________46"/>
      <sheetName val="_97_207COSRP11.xls_B_________47"/>
      <sheetName val="_97_207COSRP11.xls__97_207C_115"/>
      <sheetName val="_97_207COSRP11.xls__97_207C_113"/>
      <sheetName val="_97_207COSRP11.xls__97_207C_114"/>
      <sheetName val="_97_207COSRP11.xls__97_207C_116"/>
      <sheetName val="_97_207COSRP11.xls__97_207CO_99"/>
      <sheetName val="_97_207COSRP11.xls__97_207C_100"/>
      <sheetName val="_97_207COSRP11.xls_B_________42"/>
      <sheetName val="_97_207COSRP11.xls_B_________43"/>
      <sheetName val="_97_207COSRP11.xls__97_207C_101"/>
      <sheetName val="_97_207COSRP11.xls__97_207C_102"/>
      <sheetName val="_97_207COSRP11.xls__97_207C_103"/>
      <sheetName val="_97_207COSRP11.xls__97_207C_104"/>
      <sheetName val="_97_207COSRP11.xls_B_________44"/>
      <sheetName val="_97_207COSRP11.xls_B_________45"/>
      <sheetName val="_97_207COSRP11.xls__97_207C_109"/>
      <sheetName val="_97_207COSRP11.xls__97_207C_105"/>
      <sheetName val="_97_207COSRP11.xls__97_207C_106"/>
      <sheetName val="_97_207COSRP11.xls__97_207C_110"/>
      <sheetName val="_97_207COSRP11.xls__97_207C_107"/>
      <sheetName val="_97_207COSRP11.xls__97_207C_108"/>
      <sheetName val="_97_207COSRP11.xls__97_207C_120"/>
      <sheetName val="_97_207COSRP11.xls_B_________49"/>
      <sheetName val="_97_207COSRP11.xls__97_207C_121"/>
      <sheetName val="_97_207COSRP11.xls__97_207C_122"/>
      <sheetName val="_97_207COSRP11.xls__97_207C_117"/>
      <sheetName val="_97_207COSRP11.xls_B_________48"/>
      <sheetName val="_97_207COSRP11.xls__97_207C_118"/>
      <sheetName val="_97_207COSRP11.xls__97_207C_119"/>
      <sheetName val="_97_207COSRP11.xls__97_207C_132"/>
      <sheetName val="_97_207COSRP11.xls_B_________53"/>
      <sheetName val="_97_207COSRP11.xls__97_207C_133"/>
      <sheetName val="_97_207COSRP11.xls__97_207C_134"/>
      <sheetName val="Cash2"/>
      <sheetName val="Z"/>
      <sheetName val="[97_207COSRP11.xls]_97_207_2513"/>
      <sheetName val="[97_207COSRP11.xls]_97_207_2514"/>
      <sheetName val="[97_207COSRP11.xls]_97_207_2515"/>
      <sheetName val="[97_207COSRP11.xls]_97_207_2516"/>
      <sheetName val="[97_207COSRP11.xls]_97_207_2517"/>
      <sheetName val="[97_207COSRP11.xls]_97_207_2518"/>
      <sheetName val="[97_207COSRP11.xls]_97_207_2519"/>
      <sheetName val="[97_207COSRP11.xls]_97_207_2520"/>
      <sheetName val="[97_207COSRP11.xls]_97_207_3431"/>
      <sheetName val="[97_207COSRP11.xls]B_______1131"/>
      <sheetName val="[97_207COSRP11.xls]B_______1132"/>
      <sheetName val="[97_207COSRP11.xls]_97_207_3441"/>
      <sheetName val="[97_207COSRP11.xls]_97_207_3432"/>
      <sheetName val="[97_207COSRP11.xls]_97_207_3433"/>
      <sheetName val="[97_207COSRP11.xls]_97_207_3442"/>
      <sheetName val="[97_207COSRP11.xls]_97_207_3434"/>
      <sheetName val="[97_207COSRP11.xls]_97_207_3443"/>
      <sheetName val="[97_207COSRP11.xls]B_______1133"/>
      <sheetName val="[97_207COSRP11.xls]_97_207_3435"/>
      <sheetName val="[97_207COSRP11.xls]_97_207_3436"/>
      <sheetName val="[97_207COSRP11.xls]_97_207_3437"/>
      <sheetName val="[97_207COSRP11.xls]_97_207_3438"/>
      <sheetName val="[97_207COSRP11.xls]_97_207_3444"/>
      <sheetName val="[97_207COSRP11.xls]_97_207_3439"/>
      <sheetName val="[97_207COSRP11.xls]_97_207_3440"/>
      <sheetName val="[97_207COSRP11.xls]_97_207_3389"/>
      <sheetName val="[97_207COSRP11.xls]_97_207_3390"/>
      <sheetName val="[97_207COSRP11.xls]B_______1120"/>
      <sheetName val="[97_207COSRP11.xls]B_______1121"/>
      <sheetName val="[97_207COSRP11.xls]_97_207_3399"/>
      <sheetName val="[97_207COSRP11.xls]_97_207_3391"/>
      <sheetName val="[97_207COSRP11.xls]_97_207_3392"/>
      <sheetName val="[97_207COSRP11.xls]_97_207_3400"/>
      <sheetName val="[97_207COSRP11.xls]_97_207_3401"/>
      <sheetName val="[97_207COSRP11.xls]B_______1122"/>
      <sheetName val="[97_207COSRP11.xls]_97_207_3393"/>
      <sheetName val="[97_207COSRP11.xls]_97_207_3394"/>
      <sheetName val="[97_207COSRP11.xls]_97_207_3395"/>
      <sheetName val="[97_207COSRP11.xls]_97_207_3396"/>
      <sheetName val="[97_207COSRP11.xls]_97_207_3402"/>
      <sheetName val="[97_207COSRP11.xls]_97_207_3397"/>
      <sheetName val="[97_207COSRP11.xls]_97_207_3398"/>
      <sheetName val="[97_207COSRP11.xls]_97_207_3313"/>
      <sheetName val="[97_207COSRP11.xls]B_______1102"/>
      <sheetName val="[97_207COSRP11.xls]B_______1103"/>
      <sheetName val="[97_207COSRP11.xls]_97_207_3327"/>
      <sheetName val="[97_207COSRP11.xls]_97_207_3314"/>
      <sheetName val="[97_207COSRP11.xls]_97_207_3315"/>
      <sheetName val="[97_207COSRP11.xls]_97_207_3328"/>
      <sheetName val="[97_207COSRP11.xls]_97_207_3316"/>
      <sheetName val="[97_207COSRP11.xls]_97_207_3329"/>
      <sheetName val="[97_207COSRP11.xls]B_______1104"/>
      <sheetName val="[97_207COSRP11.xls]_97_207_3317"/>
      <sheetName val="[97_207COSRP11.xls]_97_207_3318"/>
      <sheetName val="[97_207COSRP11.xls]_97_207_3319"/>
      <sheetName val="[97_207COSRP11.xls]_97_207_3320"/>
      <sheetName val="[97_207COSRP11.xls]_97_207_3330"/>
      <sheetName val="[97_207COSRP11.xls]_97_207_3321"/>
      <sheetName val="[97_207COSRP11.xls]_97_207_3322"/>
      <sheetName val="[97_207COSRP11.xls]_97_207_3265"/>
      <sheetName val="[97_207COSRP11.xls]B_______1090"/>
      <sheetName val="[97_207COSRP11.xls]B_______1091"/>
      <sheetName val="[97_207COSRP11.xls]_97_207_3275"/>
      <sheetName val="[97_207COSRP11.xls]_97_207_3266"/>
      <sheetName val="[97_207COSRP11.xls]_97_207_3267"/>
      <sheetName val="[97_207COSRP11.xls]_97_207_3276"/>
      <sheetName val="[97_207COSRP11.xls]_97_207_3268"/>
      <sheetName val="[97_207COSRP11.xls]_97_207_3221"/>
      <sheetName val="[97_207COSRP11.xls]B_______1080"/>
      <sheetName val="[97_207COSRP11.xls]_97_207_3222"/>
      <sheetName val="[97_207COSRP11.xls]_97_207_3226"/>
      <sheetName val="[97_207COSRP11.xls]_97_207_3227"/>
      <sheetName val="[97_207COSRP11.xls]B_______1081"/>
      <sheetName val="[97_207COSRP11.xls]_97_207_3223"/>
      <sheetName val="[97_207COSRP11.xls]_97_207_3224"/>
      <sheetName val="[97_207COSRP11.xls]_97_207_3225"/>
      <sheetName val="[97_207COSRP11.xls]_97_207_3219"/>
      <sheetName val="[97_207COSRP11.xls]_97_207_3220"/>
      <sheetName val="D"/>
      <sheetName val="PCS DATA"/>
      <sheetName val="B@__x005f_x0000__x005f_x0004_@_x005f_x0000___$_x0"/>
      <sheetName val="_97_207COSRP11.xls_B@__x005f_x0000__x"/>
      <sheetName val="B@___x005f_x005f_x005f_x0004_@_____$__"/>
      <sheetName val="B@__x005f_x005f_x005f_x005f_x005f_x005f_x005f_x0000__x0"/>
      <sheetName val="_97_207COSRP11.xls_B@___x005f_x0004_@"/>
      <sheetName val="B@___x005f_x0004_@___$_"/>
      <sheetName val="B@__x005f_x0000__x0"/>
      <sheetName val="[97_207COSRP11.xls]B________840"/>
      <sheetName val="[97_207COSRP11.xls]B________841"/>
      <sheetName val="[97_207COSRP11.xls]B________842"/>
      <sheetName val="[97_207COSRP11.xls]B________837"/>
      <sheetName val="[97_207COSRP11.xls]B________838"/>
      <sheetName val="[97_207COSRP11.xls]B________839"/>
      <sheetName val="[97_207COSRP11.xls]_97_207_2525"/>
      <sheetName val="[97_207COSRP11.xls]_97_207_2526"/>
      <sheetName val="[97_207COSRP11.xls]_97_207_2527"/>
      <sheetName val="[97_207COSRP11.xls]B________846"/>
      <sheetName val="[97_207COSRP11.xls]B________847"/>
      <sheetName val="[97_207COSRP11.xls]_97_207_2532"/>
      <sheetName val="[97_207COSRP11.xls]_97_207_2528"/>
      <sheetName val="[97_207COSRP11.xls]_97_207_2529"/>
      <sheetName val="[97_207COSRP11.xls]_97_207_2533"/>
      <sheetName val="[97_207COSRP11.xls]_97_207_2534"/>
      <sheetName val="[97_207COSRP11.xls]B________848"/>
      <sheetName val="[97_207COSRP11.xls]_97_207_2530"/>
      <sheetName val="[97_207COSRP11.xls]_97_207_2531"/>
      <sheetName val="[97_207COSRP11.xls]B________843"/>
      <sheetName val="[97_207COSRP11.xls]B________844"/>
      <sheetName val="[97_207COSRP11.xls]_97_207_2521"/>
      <sheetName val="[97_207COSRP11.xls]_97_207_2522"/>
      <sheetName val="[97_207COSRP11.xls]B________845"/>
      <sheetName val="[97_207COSRP11.xls]_97_207_2523"/>
      <sheetName val="[97_207COSRP11.xls]_97_207_2524"/>
      <sheetName val="[97_207COSRP11.xls]_97_207_2535"/>
      <sheetName val="[97_207COSRP11.xls]_97_207_2536"/>
      <sheetName val="[97_207COSRP11.xls]_97_207_2537"/>
      <sheetName val="[97_207COSRP11.xls]_97_207_2538"/>
      <sheetName val="[97_207COSRP11.xls]_97_207_2551"/>
      <sheetName val="[97_207COSRP11.xls]_97_207_2552"/>
      <sheetName val="[97_207COSRP11.xls]B________861"/>
      <sheetName val="[97_207COSRP11.xls]B________862"/>
      <sheetName val="[97_207COSRP11.xls]_97_207_2564"/>
      <sheetName val="[97_207COSRP11.xls]_97_207_2553"/>
      <sheetName val="[97_207COSRP11.xls]_97_207_2554"/>
      <sheetName val="[97_207COSRP11.xls]_97_207_2565"/>
      <sheetName val="[97_207COSRP11.xls]B________849"/>
      <sheetName val="[97_207COSRP11.xls]B________850"/>
      <sheetName val="[97_207COSRP11.xls]B________851"/>
      <sheetName val="[97_207COSRP11.xls]B________852"/>
      <sheetName val="[97_207COSRP11.xls]_97_207_2555"/>
      <sheetName val="[97_207COSRP11.xls]B________853"/>
      <sheetName val="[97_207COSRP11.xls]B________854"/>
      <sheetName val="[97_207COSRP11.xls]B________855"/>
      <sheetName val="[97_207COSRP11.xls]B________856"/>
      <sheetName val="[97_207COSRP11.xls]_97_207_2539"/>
      <sheetName val="[97_207COSRP11.xls]_97_207_2540"/>
      <sheetName val="[97_207COSRP11.xls]_97_207_2541"/>
      <sheetName val="[97_207COSRP11.xls]_97_207_2542"/>
      <sheetName val="[97_207COSRP11.xls]B________857"/>
      <sheetName val="[97_207COSRP11.xls]B________858"/>
      <sheetName val="[97_207COSRP11.xls]_97_207_2543"/>
      <sheetName val="[97_207COSRP11.xls]_97_207_2544"/>
      <sheetName val="[97_207COSRP11.xls]_97_207_2545"/>
      <sheetName val="[97_207COSRP11.xls]_97_207_2546"/>
      <sheetName val="[97_207COSRP11.xls]_97_207_2547"/>
      <sheetName val="[97_207COSRP11.xls]B________859"/>
      <sheetName val="[97_207COSRP11.xls]B________860"/>
      <sheetName val="[97_207COSRP11.xls]_97_207_2548"/>
      <sheetName val="[97_207COSRP11.xls]_97_207_2549"/>
      <sheetName val="[97_207COSRP11.xls]_97_207_2550"/>
      <sheetName val="[97_207COSRP11.xls]B________867"/>
      <sheetName val="[97_207COSRP11.xls]B________868"/>
      <sheetName val="[97_207COSRP11.xls]_97_207_2570"/>
      <sheetName val="[97_207COSRP11.xls]_97_207_2566"/>
      <sheetName val="[97_207COSRP11.xls]_97_207_2567"/>
      <sheetName val="[97_207COSRP11.xls]_97_207_2571"/>
      <sheetName val="[97_207COSRP11.xls]_97_207_2556"/>
      <sheetName val="[97_207COSRP11.xls]_97_207_2557"/>
      <sheetName val="[97_207COSRP11.xls]B________863"/>
      <sheetName val="[97_207COSRP11.xls]B________864"/>
      <sheetName val="[97_207COSRP11.xls]_97_207_2558"/>
      <sheetName val="[97_207COSRP11.xls]_97_207_2559"/>
      <sheetName val="[97_207COSRP11.xls]_97_207_2560"/>
      <sheetName val="[97_207COSRP11.xls]_97_207_2561"/>
      <sheetName val="[97_207COSRP11.xls]B________865"/>
      <sheetName val="[97_207COSRP11.xls]B________866"/>
      <sheetName val="[97_207COSRP11.xls]_97_207_2562"/>
      <sheetName val="[97_207COSRP11.xls]_97_207_2563"/>
      <sheetName val="[97_207COSRP11.xls]B________869"/>
      <sheetName val="[97_207COSRP11.xls]B________870"/>
      <sheetName val="[97_207COSRP11.xls]_97_207_2574"/>
      <sheetName val="[97_207COSRP11.xls]_97_207_2572"/>
      <sheetName val="[97_207COSRP11.xls]_97_207_2573"/>
      <sheetName val="[97_207COSRP11.xls]_97_207_2575"/>
      <sheetName val="[97_207COSRP11.xls]_97_207_2568"/>
      <sheetName val="[97_207COSRP11.xls]_97_207_2569"/>
      <sheetName val="[97_207COSRP11.xls]B________873"/>
      <sheetName val="[97_207COSRP11.xls]B________874"/>
      <sheetName val="[97_207COSRP11.xls]_97_207_2592"/>
      <sheetName val="[97_207COSRP11.xls]_97_207_2581"/>
      <sheetName val="[97_207COSRP11.xls]_97_207_2582"/>
      <sheetName val="[97_207COSRP11.xls]_97_207_2583"/>
      <sheetName val="[97_207COSRP11.xls]_97_207_2584"/>
      <sheetName val="[97_207COSRP11.xls]_97_207_2593"/>
      <sheetName val="[97_207COSRP11.xls]_97_207_2585"/>
      <sheetName val="[97_207COSRP11.xls]B________871"/>
      <sheetName val="[97_207COSRP11.xls]B________872"/>
      <sheetName val="[97_207COSRP11.xls]_97_207_2576"/>
      <sheetName val="[97_207COSRP11.xls]_97_207_2577"/>
      <sheetName val="[97_207COSRP11.xls]_97_207_2578"/>
      <sheetName val="[97_207COSRP11.xls]_97_207_2579"/>
      <sheetName val="[97_207COSRP11.xls]_97_207_2580"/>
      <sheetName val="[97_207COSRP11.xls]_97_207_2586"/>
      <sheetName val="[97_207COSRP11.xls]_97_207_2587"/>
      <sheetName val="[97_207COSRP11.xls]_97_207_2588"/>
      <sheetName val="[97_207COSRP11.xls]_97_207_2589"/>
      <sheetName val="[97_207COSRP11.xls]_97_207_2590"/>
      <sheetName val="[97_207COSRP11.xls]_97_207_2591"/>
      <sheetName val="[97_207COSRP11.xls]_97_207_3204"/>
      <sheetName val="[97_207COSRP11.xls]B_______1078"/>
      <sheetName val="[97_207COSRP11.xls]B_______1079"/>
      <sheetName val="[97_207COSRP11.xls]_97_207_3207"/>
      <sheetName val="[97_207COSRP11.xls]_97_207_3205"/>
      <sheetName val="[97_207COSRP11.xls]_97_207_3206"/>
      <sheetName val="[97_207COSRP11.xls]_97_207_3191"/>
      <sheetName val="[97_207COSRP11.xls]_97_207_3192"/>
      <sheetName val="[97_207COSRP11.xls]_97_207_3193"/>
      <sheetName val="[97_207COSRP11.xls]B_______1073"/>
      <sheetName val="[97_207COSRP11.xls]B_______1074"/>
      <sheetName val="[97_207COSRP11.xls]_97_207_3198"/>
      <sheetName val="[97_207COSRP11.xls]_97_207_3194"/>
      <sheetName val="[97_207COSRP11.xls]_97_207_3195"/>
      <sheetName val="[97_207COSRP11.xls]_97_207_3199"/>
      <sheetName val="[97_207COSRP11.xls]B_______1075"/>
      <sheetName val="[97_207COSRP11.xls]_97_207_3196"/>
      <sheetName val="[97_207COSRP11.xls]_97_207_3197"/>
      <sheetName val="[97_207COSRP11.xls]_97_207_3200"/>
      <sheetName val="[97_207COSRP11.xls]_97_207_2640"/>
      <sheetName val="[97_207COSRP11.xls]_97_207_2641"/>
      <sheetName val="[97_207COSRP11.xls]_97_207_2642"/>
      <sheetName val="[97_207COSRP11.xls]_97_207_2612"/>
      <sheetName val="[97_207COSRP11.xls]_97_207_2613"/>
      <sheetName val="[97_207COSRP11.xls]_97_207_2614"/>
      <sheetName val="[97_207COSRP11.xls]B________875"/>
      <sheetName val="[97_207COSRP11.xls]B________876"/>
      <sheetName val="[97_207COSRP11.xls]_97_207_2615"/>
      <sheetName val="[97_207COSRP11.xls]_97_207_2616"/>
      <sheetName val="[97_207COSRP11.xls]B________877"/>
      <sheetName val="[97_207COSRP11.xls]_97_207_2617"/>
      <sheetName val="[97_207COSRP11.xls]_97_207_2618"/>
      <sheetName val="[97_207COSRP11.xls]_97_207_2605"/>
      <sheetName val="[97_207COSRP11.xls]_97_207_2594"/>
      <sheetName val="[97_207COSRP11.xls]_97_207_2595"/>
      <sheetName val="[97_207COSRP11.xls]_97_207_2606"/>
      <sheetName val="[97_207COSRP11.xls]_97_207_2607"/>
      <sheetName val="[97_207COSRP11.xls]_97_207_2596"/>
      <sheetName val="[97_207COSRP11.xls]_97_207_2597"/>
      <sheetName val="[97_207COSRP11.xls]_97_207_2608"/>
      <sheetName val="[97_207COSRP11.xls]_97_207_2609"/>
      <sheetName val="[97_207COSRP11.xls]_97_207_2610"/>
      <sheetName val="[97_207COSRP11.xls]_97_207_2611"/>
      <sheetName val="[97_207COSRP11.xls]_97_207_2598"/>
      <sheetName val="[97_207COSRP11.xls]_97_207_2599"/>
      <sheetName val="[97_207COSRP11.xls]_97_207_2600"/>
      <sheetName val="[97_207COSRP11.xls]_97_207_2601"/>
      <sheetName val="[97_207COSRP11.xls]_97_207_2602"/>
      <sheetName val="[97_207COSRP11.xls]_97_207_2603"/>
      <sheetName val="[97_207COSRP11.xls]_97_207_2604"/>
      <sheetName val="[97_207COSRP11.xls]_97_207_2626"/>
      <sheetName val="[97_207COSRP11.xls]_97_207_2627"/>
      <sheetName val="[97_207COSRP11.xls]_97_207_2628"/>
      <sheetName val="[97_207COSRP11.xls]B________881"/>
      <sheetName val="[97_207COSRP11.xls]B________882"/>
      <sheetName val="[97_207COSRP11.xls]_97_207_2633"/>
      <sheetName val="[97_207COSRP11.xls]_97_207_2629"/>
      <sheetName val="[97_207COSRP11.xls]_97_207_2630"/>
      <sheetName val="[97_207COSRP11.xls]_97_207_2634"/>
      <sheetName val="[97_207COSRP11.xls]B________883"/>
      <sheetName val="[97_207COSRP11.xls]_97_207_2631"/>
      <sheetName val="[97_207COSRP11.xls]_97_207_2632"/>
      <sheetName val="[97_207COSRP11.xls]_97_207_2635"/>
      <sheetName val="[97_207COSRP11.xls]_97_207_2619"/>
      <sheetName val="[97_207COSRP11.xls]_97_207_2620"/>
      <sheetName val="[97_207COSRP11.xls]_97_207_2621"/>
      <sheetName val="[97_207COSRP11.xls]B________878"/>
      <sheetName val="[97_207COSRP11.xls]B________879"/>
      <sheetName val="[97_207COSRP11.xls]_97_207_2622"/>
      <sheetName val="[97_207COSRP11.xls]_97_207_2623"/>
      <sheetName val="[97_207COSRP11.xls]B________880"/>
      <sheetName val="[97_207COSRP11.xls]_97_207_2624"/>
      <sheetName val="[97_207COSRP11.xls]_97_207_2625"/>
      <sheetName val="[97_207COSRP11.xls]B________884"/>
      <sheetName val="[97_207COSRP11.xls]B________885"/>
      <sheetName val="[97_207COSRP11.xls]_97_207_2636"/>
      <sheetName val="[97_207COSRP11.xls]_97_207_2637"/>
      <sheetName val="[97_207COSRP11.xls]B________886"/>
      <sheetName val="[97_207COSRP11.xls]_97_207_2638"/>
      <sheetName val="[97_207COSRP11.xls]_97_207_2639"/>
      <sheetName val="[97_207COSRP11.xls]_97_207_2646"/>
      <sheetName val="[97_207COSRP11.xls]_97_207_2647"/>
      <sheetName val="[97_207COSRP11.xls]_97_207_2648"/>
      <sheetName val="[97_207COSRP11.xls]_97_207_2643"/>
      <sheetName val="[97_207COSRP11.xls]_97_207_2644"/>
      <sheetName val="[97_207COSRP11.xls]_97_207_2645"/>
      <sheetName val="[97_207COSRP11.xls]_97_207_2649"/>
      <sheetName val="[97_207COSRP11.xls]_97_207_2650"/>
      <sheetName val="[97_207COSRP11.xls]_97_207_2651"/>
      <sheetName val="[97_207COSRP11.xls]B________887"/>
      <sheetName val="[97_207COSRP11.xls]B________888"/>
      <sheetName val="[97_207COSRP11.xls]_97_207_2656"/>
      <sheetName val="[97_207COSRP11.xls]_97_207_2652"/>
      <sheetName val="[97_207COSRP11.xls]_97_207_2653"/>
      <sheetName val="[97_207COSRP11.xls]_97_207_2657"/>
      <sheetName val="[97_207COSRP11.xls]B________889"/>
      <sheetName val="[97_207COSRP11.xls]_97_207_2654"/>
      <sheetName val="[97_207COSRP11.xls]_97_207_2655"/>
      <sheetName val="[97_207COSRP11.xls]_97_207_2658"/>
      <sheetName val="[97_207COSRP11.xls]_97_207_2659"/>
      <sheetName val="[97_207COSRP11.xls]_97_207_2660"/>
      <sheetName val="[97_207COSRP11.xls]_97_207_2661"/>
      <sheetName val="[97_207COSRP11.xls]_97_207_2756"/>
      <sheetName val="[97_207COSRP11.xls]_97_207_2757"/>
      <sheetName val="[97_207COSRP11.xls]_97_207_2758"/>
      <sheetName val="[97_207COSRP11.xls]B________920"/>
      <sheetName val="[97_207COSRP11.xls]B________921"/>
      <sheetName val="[97_207COSRP11.xls]_97_207_2759"/>
      <sheetName val="[97_207COSRP11.xls]B________922"/>
      <sheetName val="[97_207COSRP11.xls]_97_207_2760"/>
      <sheetName val="[97_207COSRP11.xls]_97_207_2761"/>
      <sheetName val="[97_207COSRP11.xls]_97_207_2762"/>
      <sheetName val="[97_207COSRP11.xls]_97_207_2662"/>
      <sheetName val="[97_207COSRP11.xls]_97_207_2663"/>
      <sheetName val="[97_207COSRP11.xls]_97_207_2664"/>
      <sheetName val="[97_207COSRP11.xls]B________890"/>
      <sheetName val="[97_207COSRP11.xls]B________891"/>
      <sheetName val="[97_207COSRP11.xls]_97_207_2665"/>
      <sheetName val="[97_207COSRP11.xls]_97_207_2666"/>
      <sheetName val="[97_207COSRP11.xls]_97_207_2667"/>
      <sheetName val="[97_207COSRP11.xls]_97_207_2668"/>
      <sheetName val="[97_207COSRP11.xls]_97_207_2669"/>
      <sheetName val="[97_207COSRP11.xls]B________892"/>
      <sheetName val="[97_207COSRP11.xls]_97_207_2670"/>
      <sheetName val="[97_207COSRP11.xls]_97_207_2671"/>
      <sheetName val="[97_207COSRP11.xls]_97_207_2679"/>
      <sheetName val="[97_207COSRP11.xls]_97_207_2680"/>
      <sheetName val="[97_207COSRP11.xls]_97_207_2681"/>
      <sheetName val="[97_207COSRP11.xls]B________896"/>
      <sheetName val="[97_207COSRP11.xls]B________897"/>
      <sheetName val="[97_207COSRP11.xls]_97_207_2682"/>
      <sheetName val="[97_207COSRP11.xls]B________898"/>
      <sheetName val="[97_207COSRP11.xls]_97_207_2683"/>
      <sheetName val="[97_207COSRP11.xls]_97_207_2684"/>
      <sheetName val="[97_207COSRP11.xls]_97_207_2685"/>
      <sheetName val="[97_207COSRP11.xls]_97_207_2672"/>
      <sheetName val="[97_207COSRP11.xls]_97_207_2673"/>
      <sheetName val="[97_207COSRP11.xls]_97_207_2674"/>
      <sheetName val="[97_207COSRP11.xls]B________893"/>
      <sheetName val="[97_207COSRP11.xls]B________894"/>
      <sheetName val="[97_207COSRP11.xls]_97_207_2675"/>
      <sheetName val="[97_207COSRP11.xls]B________895"/>
      <sheetName val="[97_207COSRP11.xls]_97_207_2676"/>
      <sheetName val="[97_207COSRP11.xls]_97_207_2677"/>
      <sheetName val="[97_207COSRP11.xls]_97_207_2678"/>
      <sheetName val="[97_207COSRP11.xls]_97_207_2706"/>
      <sheetName val="[97_207COSRP11.xls]_97_207_2707"/>
      <sheetName val="[97_207COSRP11.xls]_97_207_2708"/>
      <sheetName val="[97_207COSRP11.xls]B________905"/>
      <sheetName val="[97_207COSRP11.xls]B________906"/>
      <sheetName val="[97_207COSRP11.xls]_97_207_2713"/>
      <sheetName val="[97_207COSRP11.xls]_97_207_2709"/>
      <sheetName val="[97_207COSRP11.xls]_97_207_2714"/>
      <sheetName val="[97_207COSRP11.xls]B________907"/>
      <sheetName val="[97_207COSRP11.xls]_97_207_2710"/>
      <sheetName val="[97_207COSRP11.xls]_97_207_2711"/>
      <sheetName val="[97_207COSRP11.xls]_97_207_2712"/>
      <sheetName val="[97_207COSRP11.xls]_97_207_2715"/>
      <sheetName val="[97_207COSRP11.xls]B________899"/>
      <sheetName val="[97_207COSRP11.xls]B________900"/>
      <sheetName val="[97_207COSRP11.xls]B________901"/>
      <sheetName val="[97_207COSRP11.xls]B________902"/>
      <sheetName val="[97_207COSRP11.xls]B________903"/>
      <sheetName val="[97_207COSRP11.xls]B________904"/>
      <sheetName val="[97_207COSRP11.xls]_97_207_2686"/>
      <sheetName val="[97_207COSRP11.xls]_97_207_2687"/>
      <sheetName val="[97_207COSRP11.xls]_97_207_2692"/>
      <sheetName val="[97_207COSRP11.xls]_97_207_2693"/>
      <sheetName val="[97_207COSRP11.xls]_97_207_2694"/>
      <sheetName val="[97_207COSRP11.xls]_97_207_2699"/>
      <sheetName val="[97_207COSRP11.xls]_97_207_2695"/>
      <sheetName val="[97_207COSRP11.xls]_97_207_2696"/>
      <sheetName val="[97_207COSRP11.xls]_97_207_2700"/>
      <sheetName val="[97_207COSRP11.xls]_97_207_2697"/>
      <sheetName val="[97_207COSRP11.xls]_97_207_2698"/>
      <sheetName val="[97_207COSRP11.xls]_97_207_2701"/>
      <sheetName val="[97_207COSRP11.xls]_97_207_2688"/>
      <sheetName val="[97_207COSRP11.xls]_97_207_2689"/>
      <sheetName val="[97_207COSRP11.xls]_97_207_2690"/>
      <sheetName val="[97_207COSRP11.xls]_97_207_2691"/>
      <sheetName val="[97_207COSRP11.xls]_97_207_2702"/>
      <sheetName val="[97_207COSRP11.xls]_97_207_2703"/>
      <sheetName val="[97_207COSRP11.xls]_97_207_2704"/>
      <sheetName val="[97_207COSRP11.xls]_97_207_2705"/>
      <sheetName val="[97_207COSRP11.xls]_97_207_2716"/>
      <sheetName val="[97_207COSRP11.xls]_97_207_2717"/>
      <sheetName val="[97_207COSRP11.xls]_97_207_2718"/>
      <sheetName val="[97_207COSRP11.xls]B________908"/>
      <sheetName val="[97_207COSRP11.xls]B________909"/>
      <sheetName val="[97_207COSRP11.xls]_97_207_2723"/>
      <sheetName val="[97_207COSRP11.xls]_97_207_2719"/>
      <sheetName val="[97_207COSRP11.xls]_97_207_2720"/>
      <sheetName val="[97_207COSRP11.xls]_97_207_2724"/>
      <sheetName val="[97_207COSRP11.xls]B________910"/>
      <sheetName val="[97_207COSRP11.xls]_97_207_2721"/>
      <sheetName val="[97_207COSRP11.xls]_97_207_2722"/>
      <sheetName val="[97_207COSRP11.xls]_97_207_2725"/>
      <sheetName val="[97_207COSRP11.xls]B________914"/>
      <sheetName val="[97_207COSRP11.xls]B________915"/>
      <sheetName val="[97_207COSRP11.xls]_97_207_2742"/>
      <sheetName val="[97_207COSRP11.xls]_97_207_2743"/>
      <sheetName val="[97_207COSRP11.xls]_97_207_2744"/>
      <sheetName val="[97_207COSRP11.xls]_97_207_2745"/>
      <sheetName val="[97_207COSRP11.xls]_97_207_2746"/>
      <sheetName val="[97_207COSRP11.xls]B________916"/>
      <sheetName val="[97_207COSRP11.xls]_97_207_2747"/>
      <sheetName val="[97_207COSRP11.xls]_97_207_2748"/>
      <sheetName val="[97_207COSRP11.xls]_97_207_2732"/>
      <sheetName val="[97_207COSRP11.xls]_97_207_2733"/>
      <sheetName val="[97_207COSRP11.xls]_97_207_2734"/>
      <sheetName val="[97_207COSRP11.xls]_97_207_2726"/>
      <sheetName val="[97_207COSRP11.xls]_97_207_2727"/>
      <sheetName val="[97_207COSRP11.xls]_97_207_2728"/>
      <sheetName val="[97_207COSRP11.xls]_97_207_2729"/>
      <sheetName val="[97_207COSRP11.xls]_97_207_2730"/>
      <sheetName val="[97_207COSRP11.xls]_97_207_2731"/>
      <sheetName val="[97_207COSRP11.xls]_97_207_2735"/>
      <sheetName val="[97_207COSRP11.xls]_97_207_2736"/>
      <sheetName val="[97_207COSRP11.xls]_97_207_2737"/>
      <sheetName val="[97_207COSRP11.xls]B________911"/>
      <sheetName val="[97_207COSRP11.xls]B________912"/>
      <sheetName val="[97_207COSRP11.xls]_97_207_2738"/>
      <sheetName val="[97_207COSRP11.xls]B________913"/>
      <sheetName val="[97_207COSRP11.xls]_97_207_2739"/>
      <sheetName val="[97_207COSRP11.xls]_97_207_2740"/>
      <sheetName val="[97_207COSRP11.xls]_97_207_2741"/>
      <sheetName val="[97_207COSRP11.xls]_97_207_2749"/>
      <sheetName val="[97_207COSRP11.xls]_97_207_2750"/>
      <sheetName val="[97_207COSRP11.xls]_97_207_2751"/>
      <sheetName val="[97_207COSRP11.xls]B________917"/>
      <sheetName val="[97_207COSRP11.xls]B________918"/>
      <sheetName val="[97_207COSRP11.xls]_97_207_2752"/>
      <sheetName val="[97_207COSRP11.xls]B________919"/>
      <sheetName val="[97_207COSRP11.xls]_97_207_2753"/>
      <sheetName val="[97_207COSRP11.xls]_97_207_2754"/>
      <sheetName val="[97_207COSRP11.xls]_97_207_2755"/>
      <sheetName val="[97_207COSRP11.xls]_97_207_2770"/>
      <sheetName val="[97_207COSRP11.xls]_97_207_2771"/>
      <sheetName val="[97_207COSRP11.xls]_97_207_2772"/>
      <sheetName val="[97_207COSRP11.xls]B________926"/>
      <sheetName val="[97_207COSRP11.xls]_97_207_2773"/>
      <sheetName val="[97_207COSRP11.xls]_97_207_2777"/>
      <sheetName val="[97_207COSRP11.xls]B________927"/>
      <sheetName val="[97_207COSRP11.xls]_97_207_2774"/>
      <sheetName val="[97_207COSRP11.xls]_97_207_2775"/>
      <sheetName val="[97_207COSRP11.xls]_97_207_2778"/>
      <sheetName val="[97_207COSRP11.xls]B________928"/>
      <sheetName val="[97_207COSRP11.xls]_97_207_2779"/>
      <sheetName val="[97_207COSRP11.xls]_97_207_2776"/>
      <sheetName val="[97_207COSRP11.xls]_97_207_2763"/>
      <sheetName val="[97_207COSRP11.xls]_97_207_2764"/>
      <sheetName val="[97_207COSRP11.xls]_97_207_2765"/>
      <sheetName val="[97_207COSRP11.xls]B________923"/>
      <sheetName val="[97_207COSRP11.xls]_97_207_2766"/>
      <sheetName val="[97_207COSRP11.xls]B________924"/>
      <sheetName val="[97_207COSRP11.xls]_97_207_2767"/>
      <sheetName val="[97_207COSRP11.xls]_97_207_2768"/>
      <sheetName val="[97_207COSRP11.xls]B________925"/>
      <sheetName val="[97_207COSRP11.xls]_97_207_2769"/>
      <sheetName val="[97_207COSRP11.xls]B________929"/>
      <sheetName val="[97_207COSRP11.xls]B________930"/>
      <sheetName val="[97_207COSRP11.xls]_97_207_2780"/>
      <sheetName val="[97_207COSRP11.xls]B________931"/>
      <sheetName val="[97_207COSRP11.xls]_97_207_2781"/>
      <sheetName val="[97_207COSRP11.xls]_97_207_2782"/>
      <sheetName val="[97_207COSRP11.xls]_97_207_2783"/>
      <sheetName val="[97_207COSRP11.xls]_97_207_2818"/>
      <sheetName val="[97_207COSRP11.xls]_97_207_2819"/>
      <sheetName val="[97_207COSRP11.xls]_97_207_2820"/>
      <sheetName val="[97_207COSRP11.xls]B________953"/>
      <sheetName val="[97_207COSRP11.xls]B________954"/>
      <sheetName val="[97_207COSRP11.xls]_97_207_2834"/>
      <sheetName val="[97_207COSRP11.xls]_97_207_2821"/>
      <sheetName val="[97_207COSRP11.xls]_97_207_2822"/>
      <sheetName val="[97_207COSRP11.xls]_97_207_2835"/>
      <sheetName val="[97_207COSRP11.xls]B________955"/>
      <sheetName val="[97_207COSRP11.xls]_97_207_2823"/>
      <sheetName val="[97_207COSRP11.xls]_97_207_2824"/>
      <sheetName val="[97_207COSRP11.xls]_97_207_2836"/>
      <sheetName val="[97_207COSRP11.xls]B________932"/>
      <sheetName val="[97_207COSRP11.xls]B________933"/>
      <sheetName val="[97_207COSRP11.xls]B________934"/>
      <sheetName val="[97_207COSRP11.xls]B________935"/>
      <sheetName val="[97_207COSRP11.xls]B________936"/>
      <sheetName val="[97_207COSRP11.xls]B________937"/>
      <sheetName val="[97_207COSRP11.xls]_97_207_2784"/>
      <sheetName val="[97_207COSRP11.xls]_97_207_2785"/>
      <sheetName val="[97_207COSRP11.xls]B________938"/>
      <sheetName val="[97_207COSRP11.xls]B________939"/>
      <sheetName val="[97_207COSRP11.xls]_97_207_2786"/>
      <sheetName val="[97_207COSRP11.xls]_97_207_2787"/>
      <sheetName val="[97_207COSRP11.xls]B________940"/>
      <sheetName val="[97_207COSRP11.xls]_97_207_2788"/>
      <sheetName val="[97_207COSRP11.xls]_97_207_2789"/>
      <sheetName val="[97_207COSRP11.xls]_97_207_2790"/>
      <sheetName val="[97_207COSRP11.xls]_97_207_2791"/>
      <sheetName val="[97_207COSRP11.xls]_97_207_2792"/>
      <sheetName val="[97_207COSRP11.xls]B________941"/>
      <sheetName val="[97_207COSRP11.xls]B________942"/>
      <sheetName val="[97_207COSRP11.xls]_97_207_2793"/>
      <sheetName val="[97_207COSRP11.xls]_97_207_2794"/>
      <sheetName val="[97_207COSRP11.xls]B________943"/>
      <sheetName val="[97_207COSRP11.xls]_97_207_2795"/>
      <sheetName val="[97_207COSRP11.xls]_97_207_2796"/>
      <sheetName val="[97_207COSRP11.xls]_97_207_2797"/>
      <sheetName val="[97_207COSRP11.xls]_97_207_2798"/>
      <sheetName val="[97_207COSRP11.xls]_97_207_2799"/>
      <sheetName val="[97_207COSRP11.xls]B________944"/>
      <sheetName val="[97_207COSRP11.xls]B________945"/>
      <sheetName val="[97_207COSRP11.xls]_97_207_2800"/>
      <sheetName val="[97_207COSRP11.xls]_97_207_2801"/>
      <sheetName val="[97_207COSRP11.xls]B________946"/>
      <sheetName val="[97_207COSRP11.xls]_97_207_2802"/>
      <sheetName val="[97_207COSRP11.xls]_97_207_2803"/>
      <sheetName val="[97_207COSRP11.xls]_97_207_2804"/>
      <sheetName val="[97_207COSRP11.xls]_97_207_2805"/>
      <sheetName val="[97_207COSRP11.xls]_97_207_2806"/>
      <sheetName val="[97_207COSRP11.xls]B________947"/>
      <sheetName val="[97_207COSRP11.xls]B________948"/>
      <sheetName val="[97_207COSRP11.xls]_97_207_2807"/>
      <sheetName val="[97_207COSRP11.xls]_97_207_2808"/>
      <sheetName val="[97_207COSRP11.xls]B________949"/>
      <sheetName val="[97_207COSRP11.xls]_97_207_2809"/>
      <sheetName val="[97_207COSRP11.xls]_97_207_2810"/>
      <sheetName val="[97_207COSRP11.xls]_97_207_2811"/>
      <sheetName val="[97_207COSRP11.xls]_97_207_2812"/>
      <sheetName val="[97_207COSRP11.xls]_97_207_2813"/>
      <sheetName val="[97_207COSRP11.xls]B________950"/>
      <sheetName val="[97_207COSRP11.xls]B________951"/>
      <sheetName val="[97_207COSRP11.xls]_97_207_2814"/>
      <sheetName val="[97_207COSRP11.xls]_97_207_2815"/>
      <sheetName val="[97_207COSRP11.xls]B________952"/>
      <sheetName val="[97_207COSRP11.xls]_97_207_2816"/>
      <sheetName val="[97_207COSRP11.xls]_97_207_2817"/>
      <sheetName val="[97_207COSRP11.xls]_97_207_2828"/>
      <sheetName val="[97_207COSRP11.xls]_97_207_2829"/>
      <sheetName val="[97_207COSRP11.xls]_97_207_2830"/>
      <sheetName val="[97_207COSRP11.xls]_97_207_2825"/>
      <sheetName val="[97_207COSRP11.xls]_97_207_2826"/>
      <sheetName val="[97_207COSRP11.xls]_97_207_2827"/>
      <sheetName val="[97_207COSRP11.xls]_97_207_2831"/>
      <sheetName val="[97_207COSRP11.xls]_97_207_2832"/>
      <sheetName val="[97_207COSRP11.xls]_97_207_2833"/>
      <sheetName val="[97_207COSRP11.xls]_97_207_2837"/>
      <sheetName val="[97_207COSRP11.xls]_97_207_2838"/>
      <sheetName val="[97_207COSRP11.xls]_97_207_2839"/>
      <sheetName val="[97_207COSRP11.xls]B________956"/>
      <sheetName val="[97_207COSRP11.xls]B________957"/>
      <sheetName val="[97_207COSRP11.xls]_97_207_2844"/>
      <sheetName val="[97_207COSRP11.xls]_97_207_2840"/>
      <sheetName val="[97_207COSRP11.xls]_97_207_2845"/>
      <sheetName val="[97_207COSRP11.xls]B________958"/>
      <sheetName val="[97_207COSRP11.xls]_97_207_2841"/>
      <sheetName val="[97_207COSRP11.xls]_97_207_2842"/>
      <sheetName val="[97_207COSRP11.xls]_97_207_2843"/>
      <sheetName val="[97_207COSRP11.xls]_97_207_2846"/>
      <sheetName val="[97_207COSRP11.xls]_97_207_2847"/>
      <sheetName val="[97_207COSRP11.xls]_97_207_2848"/>
      <sheetName val="[97_207COSRP11.xls]_97_207_2849"/>
      <sheetName val="[97_207COSRP11.xls]_97_207_2850"/>
      <sheetName val="[97_207COSRP11.xls]_97_207_2851"/>
      <sheetName val="[97_207COSRP11.xls]_97_207_2852"/>
      <sheetName val="[97_207COSRP11.xls]B________959"/>
      <sheetName val="[97_207COSRP11.xls]B________960"/>
      <sheetName val="[97_207COSRP11.xls]_97_207_2871"/>
      <sheetName val="[97_207COSRP11.xls]_97_207_2853"/>
      <sheetName val="[97_207COSRP11.xls]_97_207_2854"/>
      <sheetName val="[97_207COSRP11.xls]_97_207_2872"/>
      <sheetName val="[97_207COSRP11.xls]_97_207_2873"/>
      <sheetName val="[97_207COSRP11.xls]B________961"/>
      <sheetName val="[97_207COSRP11.xls]_97_207_2855"/>
      <sheetName val="[97_207COSRP11.xls]_97_207_2856"/>
      <sheetName val="[97_207COSRP11.xls]_97_207_2857"/>
      <sheetName val="[97_207COSRP11.xls]_97_207_2858"/>
      <sheetName val="[97_207COSRP11.xls]_97_207_2859"/>
      <sheetName val="[97_207COSRP11.xls]B________962"/>
      <sheetName val="[97_207COSRP11.xls]B________963"/>
      <sheetName val="[97_207COSRP11.xls]_97_207_2864"/>
      <sheetName val="[97_207COSRP11.xls]_97_207_2860"/>
      <sheetName val="[97_207COSRP11.xls]_97_207_2861"/>
      <sheetName val="[97_207COSRP11.xls]_97_207_2865"/>
      <sheetName val="[97_207COSRP11.xls]_97_207_2866"/>
      <sheetName val="[97_207COSRP11.xls]B________964"/>
      <sheetName val="[97_207COSRP11.xls]_97_207_2862"/>
      <sheetName val="[97_207COSRP11.xls]_97_207_2863"/>
      <sheetName val="[97_207COSRP11.xls]B________965"/>
      <sheetName val="[97_207COSRP11.xls]B________966"/>
      <sheetName val="[97_207COSRP11.xls]_97_207_2867"/>
      <sheetName val="[97_207COSRP11.xls]_97_207_2868"/>
      <sheetName val="[97_207COSRP11.xls]B________967"/>
      <sheetName val="[97_207COSRP11.xls]_97_207_2869"/>
      <sheetName val="[97_207COSRP11.xls]_97_207_2870"/>
      <sheetName val="[97_207COSRP11.xls]_97_207_2911"/>
      <sheetName val="[97_207COSRP11.xls]_97_207_2912"/>
      <sheetName val="[97_207COSRP11.xls]_97_207_2913"/>
      <sheetName val="[97_207COSRP11.xls]B________971"/>
      <sheetName val="[97_207COSRP11.xls]B________972"/>
      <sheetName val="[97_207COSRP11.xls]_97_207_2918"/>
      <sheetName val="[97_207COSRP11.xls]_97_207_2914"/>
      <sheetName val="[97_207COSRP11.xls]_97_207_2915"/>
      <sheetName val="[97_207COSRP11.xls]_97_207_2919"/>
      <sheetName val="[97_207COSRP11.xls]B________973"/>
      <sheetName val="[97_207COSRP11.xls]_97_207_2916"/>
      <sheetName val="[97_207COSRP11.xls]_97_207_2917"/>
      <sheetName val="[97_207COSRP11.xls]_97_207_2920"/>
      <sheetName val="Set"/>
      <sheetName val="opstat"/>
      <sheetName val="costs"/>
      <sheetName val="[97_207COSRP11.xls]_97_207_2901"/>
      <sheetName val="[97_207COSRP11.xls]_97_207_2902"/>
      <sheetName val="[97_207COSRP11.xls]_97_207_2903"/>
      <sheetName val="[97_207COSRP11.xls]B________968"/>
      <sheetName val="[97_207COSRP11.xls]B________969"/>
      <sheetName val="[97_207COSRP11.xls]_97_207_2908"/>
      <sheetName val="[97_207COSRP11.xls]_97_207_2904"/>
      <sheetName val="[97_207COSRP11.xls]_97_207_2905"/>
      <sheetName val="[97_207COSRP11.xls]_97_207_2909"/>
      <sheetName val="[97_207COSRP11.xls]B________970"/>
      <sheetName val="[97_207COSRP11.xls]_97_207_2906"/>
      <sheetName val="[97_207COSRP11.xls]_97_207_2907"/>
      <sheetName val="[97_207COSRP11.xls]_97_207_2910"/>
      <sheetName val="[97_207COSRP11.xls]_97_207_2891"/>
      <sheetName val="[97_207COSRP11.xls]_97_207_2898"/>
      <sheetName val="[97_207COSRP11.xls]_97_207_2892"/>
      <sheetName val="[97_207COSRP11.xls]_97_207_2893"/>
      <sheetName val="[97_207COSRP11.xls]_97_207_2899"/>
      <sheetName val="[97_207COSRP11.xls]_97_207_2894"/>
      <sheetName val="[97_207COSRP11.xls]_97_207_2895"/>
      <sheetName val="[97_207COSRP11.xls]_97_207_2896"/>
      <sheetName val="[97_207COSRP11.xls]_97_207_2900"/>
      <sheetName val="[97_207COSRP11.xls]_97_207_2897"/>
      <sheetName val="[97_207COSRP11.xls]_97_207_2884"/>
      <sheetName val="[97_207COSRP11.xls]_97_207_2885"/>
      <sheetName val="[97_207COSRP11.xls]_97_207_2886"/>
      <sheetName val="[97_207COSRP11.xls]_97_207_2887"/>
      <sheetName val="[97_207COSRP11.xls]_97_207_2888"/>
      <sheetName val="[97_207COSRP11.xls]_97_207_2889"/>
      <sheetName val="[97_207COSRP11.xls]_97_207_2890"/>
      <sheetName val="[97_207COSRP11.xls]_97_207_2877"/>
      <sheetName val="[97_207COSRP11.xls]_97_207_2878"/>
      <sheetName val="[97_207COSRP11.xls]_97_207_2879"/>
      <sheetName val="[97_207COSRP11.xls]_97_207_2880"/>
      <sheetName val="[97_207COSRP11.xls]_97_207_2881"/>
      <sheetName val="[97_207COSRP11.xls]_97_207_2882"/>
      <sheetName val="[97_207COSRP11.xls]_97_207_2883"/>
      <sheetName val="[97_207COSRP11.xls]_97_207_2874"/>
      <sheetName val="[97_207COSRP11.xls]_97_207_2875"/>
      <sheetName val="[97_207COSRP11.xls]_97_207_2876"/>
      <sheetName val="[97_207COSRP11.xls]_97_207_3181"/>
      <sheetName val="[97_207COSRP11.xls]_97_207_3182"/>
      <sheetName val="[97_207COSRP11.xls]_97_207_3183"/>
      <sheetName val="[97_207COSRP11.xls]B_______1070"/>
      <sheetName val="[97_207COSRP11.xls]B_______1071"/>
      <sheetName val="[97_207COSRP11.xls]_97_207_3188"/>
      <sheetName val="[97_207COSRP11.xls]_97_207_3184"/>
      <sheetName val="[97_207COSRP11.xls]_97_207_3185"/>
      <sheetName val="[97_207COSRP11.xls]_97_207_3189"/>
      <sheetName val="[97_207COSRP11.xls]B_______1072"/>
      <sheetName val="[97_207COSRP11.xls]_97_207_3186"/>
      <sheetName val="[97_207COSRP11.xls]_97_207_3187"/>
      <sheetName val="[97_207COSRP11.xls]_97_207_3190"/>
      <sheetName val="[97_207COSRP11.xls]B________974"/>
      <sheetName val="[97_207COSRP11.xls]B________975"/>
      <sheetName val="[97_207COSRP11.xls]_97_207_2932"/>
      <sheetName val="[97_207COSRP11.xls]_97_207_2921"/>
      <sheetName val="[97_207COSRP11.xls]_97_207_2922"/>
      <sheetName val="[97_207COSRP11.xls]_97_207_2933"/>
      <sheetName val="[97_207COSRP11.xls]B________976"/>
      <sheetName val="[97_207COSRP11.xls]_97_207_2923"/>
      <sheetName val="[97_207COSRP11.xls]_97_207_2924"/>
      <sheetName val="[97_207COSRP11.xls]_97_207_2934"/>
      <sheetName val="[97_207COSRP11.xls]_97_207_2925"/>
      <sheetName val="[97_207COSRP11.xls]_97_207_2926"/>
      <sheetName val="[97_207COSRP11.xls]_97_207_2927"/>
      <sheetName val="[97_207COSRP11.xls]B________977"/>
      <sheetName val="[97_207COSRP11.xls]B________978"/>
      <sheetName val="[97_207COSRP11.xls]_97_207_2928"/>
      <sheetName val="[97_207COSRP11.xls]_97_207_2929"/>
      <sheetName val="[97_207COSRP11.xls]B________979"/>
      <sheetName val="[97_207COSRP11.xls]_97_207_2930"/>
      <sheetName val="[97_207COSRP11.xls]_97_207_2931"/>
      <sheetName val="[97_207COSRP11.xls]_97_207_2981"/>
      <sheetName val="[97_207COSRP11.xls]_97_207_2982"/>
      <sheetName val="[97_207COSRP11.xls]_97_207_2983"/>
      <sheetName val="[97_207COSRP11.xls]B_______1001"/>
      <sheetName val="[97_207COSRP11.xls]B_______1002"/>
      <sheetName val="[97_207COSRP11.xls]_97_207_2988"/>
      <sheetName val="[97_207COSRP11.xls]_97_207_2984"/>
      <sheetName val="[97_207COSRP11.xls]_97_207_2985"/>
      <sheetName val="[97_207COSRP11.xls]_97_207_2989"/>
      <sheetName val="[97_207COSRP11.xls]B_______1003"/>
      <sheetName val="[97_207COSRP11.xls]_97_207_2986"/>
      <sheetName val="[97_207COSRP11.xls]_97_207_2987"/>
      <sheetName val="[97_207COSRP11.xls]_97_207_2990"/>
      <sheetName val="[97_207COSRP11.xls]B________980"/>
      <sheetName val="[97_207COSRP11.xls]B________981"/>
      <sheetName val="[97_207COSRP11.xls]_97_207_2935"/>
      <sheetName val="[97_207COSRP11.xls]_97_207_2936"/>
      <sheetName val="[97_207COSRP11.xls]B________982"/>
      <sheetName val="[97_207COSRP11.xls]_97_207_2937"/>
      <sheetName val="[97_207COSRP11.xls]_97_207_2938"/>
      <sheetName val="[97_207COSRP11.xls]_97_207_2939"/>
      <sheetName val="[97_207COSRP11.xls]_97_207_2940"/>
      <sheetName val="[97_207COSRP11.xls]_97_207_2941"/>
      <sheetName val="[97_207COSRP11.xls]B________983"/>
      <sheetName val="[97_207COSRP11.xls]B________984"/>
      <sheetName val="[97_207COSRP11.xls]_97_207_2942"/>
      <sheetName val="[97_207COSRP11.xls]_97_207_2943"/>
      <sheetName val="[97_207COSRP11.xls]B________985"/>
      <sheetName val="[97_207COSRP11.xls]_97_207_2944"/>
      <sheetName val="[97_207COSRP11.xls]_97_207_2945"/>
      <sheetName val="[97_207COSRP11.xls]_97_207_2946"/>
      <sheetName val="[97_207COSRP11.xls]_97_207_2947"/>
      <sheetName val="[97_207COSRP11.xls]_97_207_2948"/>
      <sheetName val="[97_207COSRP11.xls]B________986"/>
      <sheetName val="[97_207COSRP11.xls]B________987"/>
      <sheetName val="[97_207COSRP11.xls]_97_207_2949"/>
      <sheetName val="[97_207COSRP11.xls]_97_207_2950"/>
      <sheetName val="[97_207COSRP11.xls]B________988"/>
      <sheetName val="[97_207COSRP11.xls]_97_207_2951"/>
      <sheetName val="[97_207COSRP11.xls]_97_207_2952"/>
      <sheetName val="[97_207COSRP11.xls]_97_207_2953"/>
      <sheetName val="[97_207COSRP11.xls]_97_207_2954"/>
      <sheetName val="[97_207COSRP11.xls]_97_207_2955"/>
      <sheetName val="[97_207COSRP11.xls]B________989"/>
      <sheetName val="[97_207COSRP11.xls]B________990"/>
      <sheetName val="[97_207COSRP11.xls]_97_207_2956"/>
      <sheetName val="[97_207COSRP11.xls]_97_207_2957"/>
      <sheetName val="[97_207COSRP11.xls]B________991"/>
      <sheetName val="[97_207COSRP11.xls]_97_207_2958"/>
      <sheetName val="[97_207COSRP11.xls]_97_207_2959"/>
      <sheetName val="[97_207COSRP11.xls]_97_207_2960"/>
      <sheetName val="[97_207COSRP11.xls]_97_207_2961"/>
      <sheetName val="[97_207COSRP11.xls]_97_207_2962"/>
      <sheetName val="[97_207COSRP11.xls]B________992"/>
      <sheetName val="[97_207COSRP11.xls]B________993"/>
      <sheetName val="[97_207COSRP11.xls]_97_207_2963"/>
      <sheetName val="[97_207COSRP11.xls]_97_207_2964"/>
      <sheetName val="[97_207COSRP11.xls]B________994"/>
      <sheetName val="[97_207COSRP11.xls]_97_207_2965"/>
      <sheetName val="[97_207COSRP11.xls]_97_207_2966"/>
      <sheetName val="[97_207COSRP11.xls]_97_207_2967"/>
      <sheetName val="[97_207COSRP11.xls]_97_207_2968"/>
      <sheetName val="[97_207COSRP11.xls]_97_207_2969"/>
      <sheetName val="[97_207COSRP11.xls]B________995"/>
      <sheetName val="[97_207COSRP11.xls]B________996"/>
      <sheetName val="[97_207COSRP11.xls]_97_207_2970"/>
      <sheetName val="[97_207COSRP11.xls]_97_207_2971"/>
      <sheetName val="[97_207COSRP11.xls]B________997"/>
      <sheetName val="[97_207COSRP11.xls]_97_207_2972"/>
      <sheetName val="[97_207COSRP11.xls]_97_207_2973"/>
      <sheetName val="[97_207COSRP11.xls]_97_207_2974"/>
      <sheetName val="[97_207COSRP11.xls]_97_207_2975"/>
      <sheetName val="[97_207COSRP11.xls]_97_207_2976"/>
      <sheetName val="[97_207COSRP11.xls]B________998"/>
      <sheetName val="[97_207COSRP11.xls]B________999"/>
      <sheetName val="[97_207COSRP11.xls]_97_207_2977"/>
      <sheetName val="[97_207COSRP11.xls]_97_207_2978"/>
      <sheetName val="[97_207COSRP11.xls]B_______1000"/>
      <sheetName val="[97_207COSRP11.xls]_97_207_2979"/>
      <sheetName val="[97_207COSRP11.xls]_97_207_2980"/>
      <sheetName val="[97_207COSRP11.xls]B_______1004"/>
      <sheetName val="[97_207COSRP11.xls]B_______1005"/>
      <sheetName val="[97_207COSRP11.xls]_97_207_3056"/>
      <sheetName val="[97_207COSRP11.xls]_97_207_2991"/>
      <sheetName val="[97_207COSRP11.xls]_97_207_2992"/>
      <sheetName val="[97_207COSRP11.xls]_97_207_3057"/>
      <sheetName val="[97_207COSRP11.xls]_97_207_3058"/>
      <sheetName val="[97_207COSRP11.xls]B_______1006"/>
      <sheetName val="[97_207COSRP11.xls]_97_207_2993"/>
      <sheetName val="[97_207COSRP11.xls]_97_207_2994"/>
      <sheetName val="[97_207COSRP11.xls]_97_207_2995"/>
      <sheetName val="[97_207COSRP11.xls]_97_207_2996"/>
      <sheetName val="[97_207COSRP11.xls]_97_207_2997"/>
      <sheetName val="[97_207COSRP11.xls]B_______1028"/>
      <sheetName val="[97_207COSRP11.xls]B_______1029"/>
      <sheetName val="[97_207COSRP11.xls]_97_207_3063"/>
      <sheetName val="[97_207COSRP11.xls]_97_207_3059"/>
      <sheetName val="[97_207COSRP11.xls]_97_207_3060"/>
      <sheetName val="[97_207COSRP11.xls]_97_207_3064"/>
      <sheetName val="[97_207COSRP11.xls]B_______1030"/>
      <sheetName val="[97_207COSRP11.xls]_97_207_3061"/>
      <sheetName val="[97_207COSRP11.xls]_97_207_3062"/>
      <sheetName val="[97_207COSRP11.xls]_97_207_3065"/>
      <sheetName val="[97_207COSRP11.xls]_97_207_2998"/>
      <sheetName val="[97_207COSRP11.xls]_97_207_2999"/>
      <sheetName val="[97_207COSRP11.xls]_97_207_3000"/>
      <sheetName val="[97_207COSRP11.xls]B_______1007"/>
      <sheetName val="[97_207COSRP11.xls]B_______1008"/>
      <sheetName val="[97_207COSRP11.xls]_97_207_3001"/>
      <sheetName val="[97_207COSRP11.xls]_97_207_3002"/>
      <sheetName val="[97_207COSRP11.xls]B_______1009"/>
      <sheetName val="[97_207COSRP11.xls]_97_207_3003"/>
      <sheetName val="[97_207COSRP11.xls]_97_207_3004"/>
      <sheetName val="[97_207COSRP11.xls]B_______1013"/>
      <sheetName val="[97_207COSRP11.xls]B_______1014"/>
      <sheetName val="[97_207COSRP11.xls]_97_207_3026"/>
      <sheetName val="[97_207COSRP11.xls]_97_207_3009"/>
      <sheetName val="[97_207COSRP11.xls]_97_207_3010"/>
      <sheetName val="[97_207COSRP11.xls]_97_207_3011"/>
      <sheetName val="[97_207COSRP11.xls]_97_207_3027"/>
      <sheetName val="[97_207COSRP11.xls]B_______1015"/>
      <sheetName val="[97_207COSRP11.xls]_97_207_3012"/>
      <sheetName val="[97_207COSRP11.xls]_97_207_3013"/>
      <sheetName val="[97_207COSRP11.xls]_97_207_3014"/>
      <sheetName val="[97_207COSRP11.xls]_97_207_3028"/>
      <sheetName val="[97_207COSRP11.xls]_97_207_3015"/>
      <sheetName val="[97_207COSRP11.xls]B_______1010"/>
      <sheetName val="[97_207COSRP11.xls]B_______1011"/>
      <sheetName val="[97_207COSRP11.xls]B_______1012"/>
      <sheetName val="[97_207COSRP11.xls]_97_207_3005"/>
      <sheetName val="[97_207COSRP11.xls]_97_207_3006"/>
      <sheetName val="[97_207COSRP11.xls]_97_207_3007"/>
      <sheetName val="[97_207COSRP11.xls]_97_207_3008"/>
      <sheetName val="[97_207COSRP11.xls]B_______1016"/>
      <sheetName val="[97_207COSRP11.xls]B_______1017"/>
      <sheetName val="[97_207COSRP11.xls]_97_207_3016"/>
      <sheetName val="[97_207COSRP11.xls]_97_207_3017"/>
      <sheetName val="[97_207COSRP11.xls]_97_207_3018"/>
      <sheetName val="[97_207COSRP11.xls]B_______1018"/>
      <sheetName val="[97_207COSRP11.xls]_97_207_3019"/>
      <sheetName val="[97_207COSRP11.xls]_97_207_3020"/>
      <sheetName val="[97_207COSRP11.xls]_97_207_3021"/>
      <sheetName val="[97_207COSRP11.xls]_97_207_3022"/>
      <sheetName val="[97_207COSRP11.xls]_97_207_3023"/>
      <sheetName val="[97_207COSRP11.xls]_97_207_3024"/>
      <sheetName val="[97_207COSRP11.xls]_97_207_3025"/>
      <sheetName val="[97_207COSRP11.xls]B_______1019"/>
      <sheetName val="[97_207COSRP11.xls]B_______1020"/>
      <sheetName val="[97_207COSRP11.xls]_97_207_3039"/>
      <sheetName val="[97_207COSRP11.xls]_97_207_3029"/>
      <sheetName val="[97_207COSRP11.xls]_97_207_3030"/>
      <sheetName val="[97_207COSRP11.xls]_97_207_3040"/>
      <sheetName val="[97_207COSRP11.xls]B_______1021"/>
      <sheetName val="[97_207COSRP11.xls]_97_207_3031"/>
      <sheetName val="[97_207COSRP11.xls]_97_207_3032"/>
      <sheetName val="[97_207COSRP11.xls]_97_207_3041"/>
      <sheetName val="[97_207COSRP11.xls]_97_207_3033"/>
      <sheetName val="[97_207COSRP11.xls]_97_207_3034"/>
      <sheetName val="[97_207COSRP11.xls]_97_207_3035"/>
      <sheetName val="[97_207COSRP11.xls]_97_207_3036"/>
      <sheetName val="[97_207COSRP11.xls]_97_207_3037"/>
      <sheetName val="[97_207COSRP11.xls]_97_207_3038"/>
      <sheetName val="[97_207COSRP11.xls]_97_207_3042"/>
      <sheetName val="[97_207COSRP11.xls]_97_207_3043"/>
      <sheetName val="[97_207COSRP11.xls]_97_207_3044"/>
      <sheetName val="[97_207COSRP11.xls]B_______1022"/>
      <sheetName val="[97_207COSRP11.xls]B_______1023"/>
      <sheetName val="[97_207COSRP11.xls]_97_207_3045"/>
      <sheetName val="[97_207COSRP11.xls]_97_207_3046"/>
      <sheetName val="[97_207COSRP11.xls]B_______1024"/>
      <sheetName val="[97_207COSRP11.xls]_97_207_3047"/>
      <sheetName val="[97_207COSRP11.xls]_97_207_3048"/>
      <sheetName val="[97_207COSRP11.xls]_97_207_3049"/>
      <sheetName val="[97_207COSRP11.xls]_97_207_3050"/>
      <sheetName val="[97_207COSRP11.xls]_97_207_3051"/>
      <sheetName val="[97_207COSRP11.xls]B_______1025"/>
      <sheetName val="[97_207COSRP11.xls]B_______1026"/>
      <sheetName val="[97_207COSRP11.xls]_97_207_3052"/>
      <sheetName val="[97_207COSRP11.xls]_97_207_3053"/>
      <sheetName val="[97_207COSRP11.xls]B_______1027"/>
      <sheetName val="[97_207COSRP11.xls]_97_207_3054"/>
      <sheetName val="[97_207COSRP11.xls]_97_207_3055"/>
      <sheetName val="[97_207COSRP11.xls]_97_207_3066"/>
      <sheetName val="[97_207COSRP11.xls]_97_207_3067"/>
      <sheetName val="[97_207COSRP11.xls]_97_207_3068"/>
      <sheetName val="[97_207COSRP11.xls]B_______1031"/>
      <sheetName val="[97_207COSRP11.xls]B_______1032"/>
      <sheetName val="[97_207COSRP11.xls]_97_207_3105"/>
      <sheetName val="[97_207COSRP11.xls]_97_207_3069"/>
      <sheetName val="[97_207COSRP11.xls]_97_207_3070"/>
      <sheetName val="[97_207COSRP11.xls]_97_207_3106"/>
      <sheetName val="[97_207COSRP11.xls]B_______1033"/>
      <sheetName val="[97_207COSRP11.xls]_97_207_3071"/>
      <sheetName val="[97_207COSRP11.xls]_97_207_3072"/>
      <sheetName val="[97_207COSRP11.xls]_97_207_3107"/>
      <sheetName val="[97_207COSRP11.xls]_97_207_3077"/>
      <sheetName val="[97_207COSRP11.xls]_97_207_3078"/>
      <sheetName val="[97_207COSRP11.xls]_97_207_3079"/>
      <sheetName val="[97_207COSRP11.xls]B_______1034"/>
      <sheetName val="[97_207COSRP11.xls]B_______1035"/>
      <sheetName val="[97_207COSRP11.xls]_97_207_3073"/>
      <sheetName val="[97_207COSRP11.xls]B_______1036"/>
      <sheetName val="[97_207COSRP11.xls]_97_207_3074"/>
      <sheetName val="[97_207COSRP11.xls]_97_207_3075"/>
      <sheetName val="[97_207COSRP11.xls]_97_207_3076"/>
      <sheetName val="[97_207COSRP11.xls]B_______1037"/>
      <sheetName val="[97_207COSRP11.xls]B_______1038"/>
      <sheetName val="[97_207COSRP11.xls]_97_207_3080"/>
      <sheetName val="[97_207COSRP11.xls]_97_207_3081"/>
      <sheetName val="[97_207COSRP11.xls]B_______1039"/>
      <sheetName val="[97_207COSRP11.xls]_97_207_3082"/>
      <sheetName val="[97_207COSRP11.xls]_97_207_3083"/>
      <sheetName val="[97_207COSRP11.xls]_97_207_3084"/>
      <sheetName val="[97_207COSRP11.xls]_97_207_3085"/>
      <sheetName val="[97_207COSRP11.xls]_97_207_3086"/>
      <sheetName val="[97_207COSRP11.xls]B_______1040"/>
      <sheetName val="[97_207COSRP11.xls]B_______1041"/>
      <sheetName val="[97_207COSRP11.xls]_97_207_3091"/>
      <sheetName val="[97_207COSRP11.xls]_97_207_3087"/>
      <sheetName val="[97_207COSRP11.xls]_97_207_3088"/>
      <sheetName val="[97_207COSRP11.xls]_97_207_3092"/>
      <sheetName val="[97_207COSRP11.xls]_97_207_3093"/>
      <sheetName val="[97_207COSRP11.xls]B_______1042"/>
      <sheetName val="[97_207COSRP11.xls]_97_207_3089"/>
      <sheetName val="[97_207COSRP11.xls]_97_207_3090"/>
      <sheetName val="[97_207COSRP11.xls]B_______1043"/>
      <sheetName val="[97_207COSRP11.xls]B_______1044"/>
      <sheetName val="[97_207COSRP11.xls]_97_207_3098"/>
      <sheetName val="[97_207COSRP11.xls]_97_207_3094"/>
      <sheetName val="[97_207COSRP11.xls]_97_207_3095"/>
      <sheetName val="[97_207COSRP11.xls]_97_207_3099"/>
      <sheetName val="[97_207COSRP11.xls]B_______1045"/>
      <sheetName val="[97_207COSRP11.xls]_97_207_3096"/>
      <sheetName val="[97_207COSRP11.xls]_97_207_3097"/>
      <sheetName val="[97_207COSRP11.xls]_97_207_3100"/>
      <sheetName val="[97_207COSRP11.xls]B_______1046"/>
      <sheetName val="[97_207COSRP11.xls]B_______1047"/>
      <sheetName val="[97_207COSRP11.xls]_97_207_3101"/>
      <sheetName val="[97_207COSRP11.xls]_97_207_3102"/>
      <sheetName val="[97_207COSRP11.xls]B_______1048"/>
      <sheetName val="[97_207COSRP11.xls]_97_207_3103"/>
      <sheetName val="[97_207COSRP11.xls]_97_207_3104"/>
      <sheetName val="[97_207COSRP11.xls]_97_207_3117"/>
      <sheetName val="[97_207COSRP11.xls]_97_207_3118"/>
      <sheetName val="[97_207COSRP11.xls]_97_207_3119"/>
      <sheetName val="[97_207COSRP11.xls]_97_207_3108"/>
      <sheetName val="[97_207COSRP11.xls]_97_207_3109"/>
      <sheetName val="[97_207COSRP11.xls]_97_207_3110"/>
      <sheetName val="[97_207COSRP11.xls]_97_207_3111"/>
      <sheetName val="[97_207COSRP11.xls]_97_207_3112"/>
      <sheetName val="[97_207COSRP11.xls]_97_207_3113"/>
      <sheetName val="[97_207COSRP11.xls]_97_207_3114"/>
      <sheetName val="[97_207COSRP11.xls]_97_207_3115"/>
      <sheetName val="[97_207COSRP11.xls]_97_207_3116"/>
      <sheetName val="[97_207COSRP11.xls]B_______1049"/>
      <sheetName val="[97_207COSRP11.xls]B_______1050"/>
      <sheetName val="[97_207COSRP11.xls]_97_207_3131"/>
      <sheetName val="[97_207COSRP11.xls]_97_207_3120"/>
      <sheetName val="[97_207COSRP11.xls]_97_207_3121"/>
      <sheetName val="[97_207COSRP11.xls]_97_207_3132"/>
      <sheetName val="[97_207COSRP11.xls]B_______1051"/>
      <sheetName val="[97_207COSRP11.xls]_97_207_3122"/>
      <sheetName val="[97_207COSRP11.xls]_97_207_3123"/>
      <sheetName val="[97_207COSRP11.xls]_97_207_3133"/>
      <sheetName val="[97_207COSRP11.xls]B_______1055"/>
      <sheetName val="[97_207COSRP11.xls]B_______1056"/>
      <sheetName val="[97_207COSRP11.xls]_97_207_3171"/>
      <sheetName val="[97_207COSRP11.xls]_97_207_3134"/>
      <sheetName val="[97_207COSRP11.xls]_97_207_3135"/>
      <sheetName val="[97_207COSRP11.xls]_97_207_3172"/>
      <sheetName val="[97_207COSRP11.xls]B_______1057"/>
      <sheetName val="[97_207COSRP11.xls]_97_207_3136"/>
      <sheetName val="[97_207COSRP11.xls]_97_207_3137"/>
      <sheetName val="[97_207COSRP11.xls]_97_207_3173"/>
      <sheetName val="[97_207COSRP11.xls]_97_207_3124"/>
      <sheetName val="[97_207COSRP11.xls]_97_207_3125"/>
      <sheetName val="[97_207COSRP11.xls]_97_207_3126"/>
      <sheetName val="[97_207COSRP11.xls]B_______1052"/>
      <sheetName val="[97_207COSRP11.xls]B_______1053"/>
      <sheetName val="[97_207COSRP11.xls]_97_207_3127"/>
      <sheetName val="[97_207COSRP11.xls]_97_207_3128"/>
      <sheetName val="[97_207COSRP11.xls]B_______1054"/>
      <sheetName val="[97_207COSRP11.xls]_97_207_3129"/>
      <sheetName val="[97_207COSRP11.xls]_97_207_3130"/>
      <sheetName val="[97_207COSRP11.xls]_97_207_3151"/>
      <sheetName val="[97_207COSRP11.xls]_97_207_3152"/>
      <sheetName val="[97_207COSRP11.xls]_97_207_3153"/>
      <sheetName val="SCHEDULE-3B"/>
      <sheetName val="[97_207COSRP11.xls]_97_207_3141"/>
      <sheetName val="[97_207COSRP11.xls]_97_207_3142"/>
      <sheetName val="[97_207COSRP11.xls]_97_207_3143"/>
      <sheetName val="[97_207COSRP11.xls]B_______1058"/>
      <sheetName val="[97_207COSRP11.xls]B_______1059"/>
      <sheetName val="[97_207COSRP11.xls]_97_207_3148"/>
      <sheetName val="[97_207COSRP11.xls]_97_207_3144"/>
      <sheetName val="[97_207COSRP11.xls]_97_207_3145"/>
      <sheetName val="[97_207COSRP11.xls]_97_207_3149"/>
      <sheetName val="[97_207COSRP11.xls]B_______1060"/>
      <sheetName val="[97_207COSRP11.xls]_97_207_3146"/>
      <sheetName val="[97_207COSRP11.xls]_97_207_3147"/>
      <sheetName val="[97_207COSRP11.xls]_97_207_3150"/>
      <sheetName val="[97_207COSRP11.xls]_97_207_3138"/>
      <sheetName val="[97_207COSRP11.xls]_97_207_3139"/>
      <sheetName val="[97_207COSRP11.xls]_97_207_3140"/>
      <sheetName val="[97_207COSRP11.xls]_97_207_3154"/>
      <sheetName val="[97_207COSRP11.xls]_97_207_3155"/>
      <sheetName val="[97_207COSRP11.xls]_97_207_3156"/>
      <sheetName val="[97_207COSRP11.xls]B_______1061"/>
      <sheetName val="[97_207COSRP11.xls]B_______1062"/>
      <sheetName val="[97_207COSRP11.xls]_97_207_3161"/>
      <sheetName val="[97_207COSRP11.xls]_97_207_3157"/>
      <sheetName val="[97_207COSRP11.xls]_97_207_3158"/>
      <sheetName val="[97_207COSRP11.xls]_97_207_3162"/>
      <sheetName val="[97_207COSRP11.xls]B_______1063"/>
      <sheetName val="[97_207COSRP11.xls]_97_207_3159"/>
      <sheetName val="[97_207COSRP11.xls]_97_207_3160"/>
      <sheetName val="[97_207COSRP11.xls]_97_207_3163"/>
      <sheetName val="[97_207COSRP11.xls]_97_207_3164"/>
      <sheetName val="[97_207COSRP11.xls]_97_207_3165"/>
      <sheetName val="[97_207COSRP11.xls]_97_207_3166"/>
      <sheetName val="[97_207COSRP11.xls]B_______1064"/>
      <sheetName val="[97_207COSRP11.xls]B_______1065"/>
      <sheetName val="[97_207COSRP11.xls]_97_207_3167"/>
      <sheetName val="[97_207COSRP11.xls]_97_207_3168"/>
      <sheetName val="[97_207COSRP11.xls]B_______1066"/>
      <sheetName val="[97_207COSRP11.xls]_97_207_3169"/>
      <sheetName val="[97_207COSRP11.xls]_97_207_3170"/>
      <sheetName val="[97_207COSRP11.xls]_97_207_3174"/>
      <sheetName val="[97_207COSRP11.xls]_97_207_3175"/>
      <sheetName val="[97_207COSRP11.xls]_97_207_3176"/>
      <sheetName val="[97_207COSRP11.xls]B_______1067"/>
      <sheetName val="[97_207COSRP11.xls]B_______1068"/>
      <sheetName val="[97_207COSRP11.xls]_97_207_3177"/>
      <sheetName val="[97_207COSRP11.xls]_97_207_3178"/>
      <sheetName val="[97_207COSRP11.xls]B_______1069"/>
      <sheetName val="[97_207COSRP11.xls]_97_207_3179"/>
      <sheetName val="[97_207COSRP11.xls]_97_207_3180"/>
      <sheetName val="[97_207COSRP11.xls]_97_207_3201"/>
      <sheetName val="[97_207COSRP11.xls]B_______1076"/>
      <sheetName val="[97_207COSRP11.xls]B_______1077"/>
      <sheetName val="[97_207COSRP11.xls]_97_207_3202"/>
      <sheetName val="[97_207COSRP11.xls]_97_207_3203"/>
      <sheetName val="[97_207COSRP11.xls]_97_207_3208"/>
      <sheetName val="[97_207COSRP11.xls]_97_207_3211"/>
      <sheetName val="[97_207COSRP11.xls]_97_207_3212"/>
      <sheetName val="[97_207COSRP11.xls]_97_207_3209"/>
      <sheetName val="[97_207COSRP11.xls]_97_207_3210"/>
      <sheetName val="[97_207COSRP11.xls]_97_207_3213"/>
      <sheetName val="[97_207COSRP11.xls]_97_207_3214"/>
      <sheetName val="[97_207COSRP11.xls]_97_207_3215"/>
      <sheetName val="[97_207COSRP11.xls]_97_207_3216"/>
      <sheetName val="[97_207COSRP11.xls]_97_207_3217"/>
      <sheetName val="[97_207COSRP11.xls]_97_207_3218"/>
      <sheetName val="[97_207COSRP11.xls]_97_207_3237"/>
      <sheetName val="[97_207COSRP11.xls]_97_207_3238"/>
      <sheetName val="[97_207COSRP11.xls]_97_207_3239"/>
      <sheetName val="[97_207COSRP11.xls]_97_207_3240"/>
      <sheetName val="[97_207COSRP11.xls]B_______1084"/>
      <sheetName val="[97_207COSRP11.xls]B_______1085"/>
      <sheetName val="[97_207COSRP11.xls]_97_207_3257"/>
      <sheetName val="[97_207COSRP11.xls]_97_207_3241"/>
      <sheetName val="[97_207COSRP11.xls]_97_207_3242"/>
      <sheetName val="[97_207COSRP11.xls]_97_207_3258"/>
      <sheetName val="[97_207COSRP11.xls]_97_207_3231"/>
      <sheetName val="[97_207COSRP11.xls]_97_207_3232"/>
      <sheetName val="[97_207COSRP11.xls]_97_207_3233"/>
      <sheetName val="[97_207COSRP11.xls]_97_207_3228"/>
      <sheetName val="[97_207COSRP11.xls]_97_207_3229"/>
      <sheetName val="[97_207COSRP11.xls]_97_207_3230"/>
      <sheetName val="[97_207COSRP11.xls]B_______1082"/>
      <sheetName val="[97_207COSRP11.xls]_97_207_3234"/>
      <sheetName val="[97_207COSRP11.xls]B_______1083"/>
      <sheetName val="[97_207COSRP11.xls]_97_207_3235"/>
      <sheetName val="[97_207COSRP11.xls]_97_207_3236"/>
      <sheetName val="[97_207COSRP11.xls]_97_207_3259"/>
      <sheetName val="[97_207COSRP11.xls]B_______1086"/>
      <sheetName val="[97_207COSRP11.xls]_97_207_3243"/>
      <sheetName val="[97_207COSRP11.xls]_97_207_3244"/>
      <sheetName val="[97_207COSRP11.xls]_97_207_3245"/>
      <sheetName val="[97_207COSRP11.xls]_97_207_3260"/>
      <sheetName val="[97_207COSRP11.xls]_97_207_3246"/>
      <sheetName val="[97_207COSRP11.xls]_97_207_3247"/>
      <sheetName val="[97_207COSRP11.xls]_97_207_3248"/>
      <sheetName val="[97_207COSRP11.xls]_97_207_3249"/>
      <sheetName val="[97_207COSRP11.xls]_97_207_3250"/>
      <sheetName val="[97_207COSRP11.xls]B_______1087"/>
      <sheetName val="[97_207COSRP11.xls]B_______1088"/>
      <sheetName val="[97_207COSRP11.xls]_97_207_3251"/>
      <sheetName val="[97_207COSRP11.xls]_97_207_3252"/>
      <sheetName val="[97_207COSRP11.xls]B_______1089"/>
      <sheetName val="[97_207COSRP11.xls]_97_207_3253"/>
      <sheetName val="[97_207COSRP11.xls]_97_207_3254"/>
      <sheetName val="[97_207COSRP11.xls]_97_207_3255"/>
      <sheetName val="[97_207COSRP11.xls]_97_207_3256"/>
      <sheetName val="[97_207COSRP11.xls]_97_207_3261"/>
      <sheetName val="[97_207COSRP11.xls]_97_207_3262"/>
      <sheetName val="[97_207COSRP11.xls]_97_207_3263"/>
      <sheetName val="[97_207COSRP11.xls]_97_207_3264"/>
      <sheetName val="[97_207COSRP11.xls]_97_207_3277"/>
      <sheetName val="[97_207COSRP11.xls]B_______1092"/>
      <sheetName val="[97_207COSRP11.xls]_97_207_3269"/>
      <sheetName val="[97_207COSRP11.xls]_97_207_3270"/>
      <sheetName val="[97_207COSRP11.xls]_97_207_3271"/>
      <sheetName val="[97_207COSRP11.xls]_97_207_3272"/>
      <sheetName val="[97_207COSRP11.xls]_97_207_3278"/>
      <sheetName val="[97_207COSRP11.xls]_97_207_3273"/>
      <sheetName val="[97_207COSRP11.xls]_97_207_3274"/>
      <sheetName val="[97_207COSRP11.xls]B_______1093"/>
      <sheetName val="[97_207COSRP11.xls]B_______1094"/>
      <sheetName val="[97_207COSRP11.xls]_97_207_3289"/>
      <sheetName val="[97_207COSRP11.xls]_97_207_3290"/>
      <sheetName val="[97_207COSRP11.xls]_97_207_3291"/>
      <sheetName val="[97_207COSRP11.xls]B_______1095"/>
      <sheetName val="[97_207COSRP11.xls]_97_207_3279"/>
      <sheetName val="[97_207COSRP11.xls]_97_207_3280"/>
      <sheetName val="[97_207COSRP11.xls]_97_207_3281"/>
      <sheetName val="[97_207COSRP11.xls]_97_207_3282"/>
      <sheetName val="[97_207COSRP11.xls]_97_207_3292"/>
      <sheetName val="[97_207COSRP11.xls]_97_207_3283"/>
      <sheetName val="[97_207COSRP11.xls]_97_207_3284"/>
      <sheetName val="[97_207COSRP11.xls]_97_207_3285"/>
      <sheetName val="[97_207COSRP11.xls]_97_207_3286"/>
      <sheetName val="[97_207COSRP11.xls]_97_207_3287"/>
      <sheetName val="[97_207COSRP11.xls]_97_207_3288"/>
      <sheetName val="[97_207COSRP11.xls]_97_207_3293"/>
      <sheetName val="[97_207COSRP11.xls]B_______1096"/>
      <sheetName val="[97_207COSRP11.xls]B_______1097"/>
      <sheetName val="[97_207COSRP11.xls]_97_207_3294"/>
      <sheetName val="[97_207COSRP11.xls]_97_207_3295"/>
      <sheetName val="[97_207COSRP11.xls]_97_207_3296"/>
      <sheetName val="[97_207COSRP11.xls]B_______1098"/>
      <sheetName val="[97_207COSRP11.xls]_97_207_3297"/>
      <sheetName val="[97_207COSRP11.xls]_97_207_3298"/>
      <sheetName val="[97_207COSRP11.xls]_97_207_3299"/>
      <sheetName val="[97_207COSRP11.xls]_97_207_3300"/>
      <sheetName val="[97_207COSRP11.xls]_97_207_3301"/>
      <sheetName val="[97_207COSRP11.xls]_97_207_3302"/>
      <sheetName val="[97_207COSRP11.xls]_97_207_3303"/>
      <sheetName val="[97_207COSRP11.xls]B_______1099"/>
      <sheetName val="[97_207COSRP11.xls]B_______1100"/>
      <sheetName val="[97_207COSRP11.xls]_97_207_3304"/>
      <sheetName val="[97_207COSRP11.xls]_97_207_3305"/>
      <sheetName val="[97_207COSRP11.xls]_97_207_3306"/>
      <sheetName val="[97_207COSRP11.xls]B_______1101"/>
      <sheetName val="[97_207COSRP11.xls]_97_207_3307"/>
      <sheetName val="[97_207COSRP11.xls]_97_207_3308"/>
      <sheetName val="[97_207COSRP11.xls]_97_207_3309"/>
      <sheetName val="[97_207COSRP11.xls]_97_207_3310"/>
      <sheetName val="[97_207COSRP11.xls]_97_207_3311"/>
      <sheetName val="[97_207COSRP11.xls]_97_207_3312"/>
      <sheetName val="[97_207COSRP11.xls]_97_207_3323"/>
      <sheetName val="[97_207COSRP11.xls]_97_207_3324"/>
      <sheetName val="[97_207COSRP11.xls]_97_207_3325"/>
      <sheetName val="[97_207COSRP11.xls]_97_207_3326"/>
      <sheetName val="[97_207COSRP11.xls]_97_207_3353"/>
      <sheetName val="[97_207COSRP11.xls]_97_207_3354"/>
      <sheetName val="[97_207COSRP11.xls]_97_207_3355"/>
      <sheetName val="[97_207COSRP11.xls]_97_207_3356"/>
      <sheetName val="[97_207COSRP11.xls]B_______1105"/>
      <sheetName val="[97_207COSRP11.xls]B_______1106"/>
      <sheetName val="[97_207COSRP11.xls]B_______1107"/>
      <sheetName val="[97_207COSRP11.xls]B_______1108"/>
      <sheetName val="[97_207COSRP11.xls]_97_207_3343"/>
      <sheetName val="[97_207COSRP11.xls]_97_207_3331"/>
      <sheetName val="[97_207COSRP11.xls]_97_207_3332"/>
      <sheetName val="[97_207COSRP11.xls]_97_207_3344"/>
      <sheetName val="[97_207COSRP11.xls]_97_207_3345"/>
      <sheetName val="[97_207COSRP11.xls]B_______1109"/>
      <sheetName val="[97_207COSRP11.xls]_97_207_3333"/>
      <sheetName val="[97_207COSRP11.xls]_97_207_3334"/>
      <sheetName val="[97_207COSRP11.xls]_97_207_3335"/>
      <sheetName val="[97_207COSRP11.xls]_97_207_3336"/>
      <sheetName val="[97_207COSRP11.xls]_97_207_3346"/>
      <sheetName val="[97_207COSRP11.xls]_97_207_3337"/>
      <sheetName val="[97_207COSRP11.xls]_97_207_3338"/>
      <sheetName val="[97_207COSRP11.xls]_97_207_3339"/>
      <sheetName val="[97_207COSRP11.xls]_97_207_3340"/>
      <sheetName val="[97_207COSRP11.xls]_97_207_3341"/>
      <sheetName val="[97_207COSRP11.xls]_97_207_3342"/>
      <sheetName val="[97_207COSRP11.xls]_97_207_3347"/>
      <sheetName val="[97_207COSRP11.xls]_97_207_3348"/>
      <sheetName val="[97_207COSRP11.xls]B_______1110"/>
      <sheetName val="[97_207COSRP11.xls]B_______1111"/>
      <sheetName val="[97_207COSRP11.xls]_97_207_3349"/>
      <sheetName val="[97_207COSRP11.xls]_97_207_3350"/>
      <sheetName val="[97_207COSRP11.xls]_97_207_3351"/>
      <sheetName val="[97_207COSRP11.xls]_97_207_3352"/>
      <sheetName val="[97_207COSRP11.xls]B_______1112"/>
      <sheetName val="[97_207COSRP11.xls]B_______1113"/>
      <sheetName val="[97_207COSRP11.xls]_97_207_3363"/>
      <sheetName val="[97_207COSRP11.xls]_97_207_3357"/>
      <sheetName val="[97_207COSRP11.xls]_97_207_3358"/>
      <sheetName val="[97_207COSRP11.xls]_97_207_3364"/>
      <sheetName val="[97_207COSRP11.xls]_97_207_3365"/>
      <sheetName val="[97_207COSRP11.xls]B_______1114"/>
      <sheetName val="[97_207COSRP11.xls]_97_207_3359"/>
      <sheetName val="[97_207COSRP11.xls]_97_207_3360"/>
      <sheetName val="[97_207COSRP11.xls]_97_207_3361"/>
      <sheetName val="[97_207COSRP11.xls]_97_207_3366"/>
      <sheetName val="[97_207COSRP11.xls]_97_207_3362"/>
      <sheetName val="[97_207COSRP11.xls]_97_207_3371"/>
      <sheetName val="[97_207COSRP11.xls]_97_207_3367"/>
      <sheetName val="[97_207COSRP11.xls]_97_207_3368"/>
      <sheetName val="[97_207COSRP11.xls]_97_207_3369"/>
      <sheetName val="[97_207COSRP11.xls]_97_207_3370"/>
      <sheetName val="[97_207COSRP11.xls]B_______1115"/>
      <sheetName val="[97_207COSRP11.xls]B_______1116"/>
      <sheetName val="[97_207COSRP11.xls]_97_207_3381"/>
      <sheetName val="[97_207COSRP11.xls]_97_207_3372"/>
      <sheetName val="[97_207COSRP11.xls]_97_207_3373"/>
      <sheetName val="[97_207COSRP11.xls]_97_207_3382"/>
      <sheetName val="[97_207COSRP11.xls]_97_207_3374"/>
      <sheetName val="[97_207COSRP11.xls]_97_207_3383"/>
      <sheetName val="[97_207COSRP11.xls]B_______1117"/>
      <sheetName val="[97_207COSRP11.xls]_97_207_3375"/>
      <sheetName val="[97_207COSRP11.xls]_97_207_3376"/>
      <sheetName val="[97_207COSRP11.xls]_97_207_3377"/>
      <sheetName val="[97_207COSRP11.xls]_97_207_3378"/>
      <sheetName val="[97_207COSRP11.xls]_97_207_3384"/>
      <sheetName val="[97_207COSRP11.xls]_97_207_3379"/>
      <sheetName val="[97_207COSRP11.xls]_97_207_3380"/>
      <sheetName val="[97_207COSRP11.xls]_97_207_3385"/>
      <sheetName val="[97_207COSRP11.xls]B_______1118"/>
      <sheetName val="[97_207COSRP11.xls]B_______1119"/>
      <sheetName val="[97_207COSRP11.xls]_97_207_3386"/>
      <sheetName val="[97_207COSRP11.xls]_97_207_3387"/>
      <sheetName val="[97_207COSRP11.xls]_97_207_3388"/>
      <sheetName val="[97_207COSRP11.xls]B_______1123"/>
      <sheetName val="[97_207COSRP11.xls]_97_207_3403"/>
      <sheetName val="[97_207COSRP11.xls]_97_207_3409"/>
      <sheetName val="[97_207COSRP11.xls]_97_207_3410"/>
      <sheetName val="[97_207COSRP11.xls]B_______1124"/>
      <sheetName val="[97_207COSRP11.xls]_97_207_3404"/>
      <sheetName val="[97_207COSRP11.xls]_97_207_3405"/>
      <sheetName val="[97_207COSRP11.xls]_97_207_3406"/>
      <sheetName val="[97_207COSRP11.xls]_97_207_3411"/>
      <sheetName val="[97_207COSRP11.xls]_97_207_3407"/>
      <sheetName val="[97_207COSRP11.xls]B_______1125"/>
      <sheetName val="[97_207COSRP11.xls]_97_207_3412"/>
      <sheetName val="[97_207COSRP11.xls]_97_207_3408"/>
      <sheetName val="[97_207COSRP11.xls]B_______1126"/>
      <sheetName val="[97_207COSRP11.xls]_97_207_3413"/>
      <sheetName val="[97_207COSRP11.xls]_97_207_3419"/>
      <sheetName val="[97_207COSRP11.xls]_97_207_3420"/>
      <sheetName val="[97_207COSRP11.xls]B_______1127"/>
      <sheetName val="[97_207COSRP11.xls]_97_207_3414"/>
      <sheetName val="[97_207COSRP11.xls]_97_207_3415"/>
      <sheetName val="[97_207COSRP11.xls]_97_207_3416"/>
      <sheetName val="[97_207COSRP11.xls]_97_207_3421"/>
      <sheetName val="[97_207COSRP11.xls]_97_207_3417"/>
      <sheetName val="[97_207COSRP11.xls]B_______1128"/>
      <sheetName val="[97_207COSRP11.xls]_97_207_3422"/>
      <sheetName val="[97_207COSRP11.xls]_97_207_3418"/>
      <sheetName val="[97_207COSRP11.xls]_97_207_3423"/>
      <sheetName val="[97_207COSRP11.xls]_97_207_3424"/>
      <sheetName val="[97_207COSRP11.xls]_97_207_3425"/>
      <sheetName val="[97_207COSRP11.xls]_97_207_3426"/>
      <sheetName val="[97_207COSRP11.xls]_97_207_3427"/>
      <sheetName val="[97_207COSRP11.xls]B_______1129"/>
      <sheetName val="[97_207COSRP11.xls]B_______1130"/>
      <sheetName val="[97_207COSRP11.xls]_97_207_3430"/>
      <sheetName val="[97_207COSRP11.xls]_97_207_3428"/>
      <sheetName val="[97_207COSRP11.xls]_97_207_3429"/>
      <sheetName val="PROV_SUMS8"/>
      <sheetName val="PROV_QUANTITIES8"/>
      <sheetName val="RES_STEEL_TO8"/>
      <sheetName val="Data_sheet7"/>
      <sheetName val="Per_Unit7"/>
      <sheetName val="Fin_Sum8"/>
      <sheetName val="SPT_vs_PHI7"/>
      <sheetName val="Switch_&amp;_Sockets7"/>
      <sheetName val="25mm_PVC_Conduit7"/>
      <sheetName val="FLOOR_JB7"/>
      <sheetName val="Light_Fittings7"/>
      <sheetName val="CABLE_TRAY7"/>
      <sheetName val="32MM_PVC_CONDUIT7"/>
      <sheetName val="Point_Wiring7"/>
      <sheetName val="3RX2_5SQMM_WIRE7"/>
      <sheetName val="3CX2_5SQMM_WIRES7"/>
      <sheetName val="3CX4_00SQMM7"/>
      <sheetName val="PPA_Summary7"/>
      <sheetName val="beam-reinft-IIInd_floor7"/>
      <sheetName val="India_F&amp;S_Template7"/>
      <sheetName val="Materials_Cost(PCC)7"/>
      <sheetName val="MASTER_RATE_ANALYSIS6"/>
      <sheetName val="PRECAST_lightconc-II6"/>
      <sheetName val="Synergy_Sales_Budget6"/>
      <sheetName val="Break_up_Sheet6"/>
      <sheetName val="Paym__Recom6"/>
      <sheetName val="DC_-_DB_&amp;_MCB6"/>
      <sheetName val="inst__-_Pt_Wr_(cl-2)6"/>
      <sheetName val="Su__-_Pt_Wr6"/>
      <sheetName val="Su__Pwr_Wr6"/>
      <sheetName val="Inst__Pwr_Wr_(cl-2)6"/>
      <sheetName val="Su__-_Cor6"/>
      <sheetName val="Ins_-_Cor_6"/>
      <sheetName val="Earth_strip&amp;_fittings6"/>
      <sheetName val="DC__S_&amp;_So6"/>
      <sheetName val="Install_LIFT_SHAFT_6"/>
      <sheetName val="Su_solar_pt6"/>
      <sheetName val="SU_LIFT_SHAFT6"/>
      <sheetName val="DC_-Conduit6"/>
      <sheetName val="DC_wiring6"/>
      <sheetName val="PA-_Consutant_5"/>
      <sheetName val="beam-reinft-machine_rm5"/>
      <sheetName val="E_&amp;_R5"/>
      <sheetName val="Appendix_-3-_Rcov__Mat_supplie4"/>
      <sheetName val="WORK_TABLE4"/>
      <sheetName val="ABP_inputs4"/>
      <sheetName val="List_of_contractors4"/>
      <sheetName val="Debits_as_on_12_04_084"/>
      <sheetName val="glass_project_concrete7"/>
      <sheetName val="glass_project_reift7"/>
      <sheetName val="glass_project_indices7"/>
      <sheetName val="SBC-BH_196"/>
      <sheetName val="Summary_05065"/>
      <sheetName val="Summary_0607-_31_MAR5"/>
      <sheetName val="Civil_Boq5"/>
      <sheetName val="Pile_cap5"/>
      <sheetName val="BH_12-11-10-136"/>
      <sheetName val="BH_12-11-10-96"/>
      <sheetName val="BH_36-15-376"/>
      <sheetName val="BH_16-35-25-176"/>
      <sheetName val="BH_35-25-176"/>
      <sheetName val="Sheet1_(2)6"/>
      <sheetName val="d-safe_DELUXE5"/>
      <sheetName val="V_O_4_-_PCC_Qty5"/>
      <sheetName val="TBAL9697_-group_wise__sdpl5"/>
      <sheetName val="Abstract_Sheet5"/>
      <sheetName val="Mix_Design5"/>
      <sheetName val="RCC,Ret__Wall5"/>
      <sheetName val="Form_65"/>
      <sheetName val="PointNo_55"/>
      <sheetName val="Legal_Risk_Analysis5"/>
      <sheetName val="Load_Details-220kV4"/>
      <sheetName val="Fill_this_out_first___4"/>
      <sheetName val="REVISED4A_PROG_PERF-SITE_1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Direct_selling_cost4"/>
      <sheetName val="BOQ_(2)4"/>
      <sheetName val="CABLE_DATA4"/>
      <sheetName val="Staff_Acco_4"/>
      <sheetName val="Pipe_Supports4"/>
      <sheetName val="final_abstract4"/>
      <sheetName val="[97_207COSRP11_xls]B________475"/>
      <sheetName val="INPUT_SHEET4"/>
      <sheetName val="Rev_S1_Abstract4"/>
      <sheetName val="Quantity_Abstract4"/>
      <sheetName val="M-Book_for_Conc4"/>
      <sheetName val="M-Book_for_FW4"/>
      <sheetName val="[97_207COSRP11_xls]B________476"/>
      <sheetName val="Project_Budget_Worksheet5"/>
      <sheetName val="BOQ_-II_ph_24"/>
      <sheetName val="d-safe_specs4"/>
      <sheetName val="class_&amp;_category4"/>
      <sheetName val="SSR_&amp;_NSSR_Market_final4"/>
      <sheetName val="Fee_Rate_Summary4"/>
      <sheetName val="[97_207COSRP11_xls]_97_207C_751"/>
      <sheetName val="STAFFSCHED_4"/>
      <sheetName val="220_11__BS_4"/>
      <sheetName val="Metso_-_Forth_&amp;_Slurry_11_02_14"/>
      <sheetName val="precast_RC_element4"/>
      <sheetName val="Change_Order_Log4"/>
      <sheetName val="Material_List_4"/>
      <sheetName val="foot-slab_reinft4"/>
      <sheetName val="GR_slab-reinft4"/>
      <sheetName val="Key_Ratios3"/>
      <sheetName val="CONC__&amp;_STEEL_-_PILES4"/>
      <sheetName val="Sub_Contractors_list3"/>
      <sheetName val="Strwise_Qty3"/>
      <sheetName val="NMR_(2)3"/>
      <sheetName val="[97_207COSRP11_xls]_97_207C_752"/>
      <sheetName val="[97_207COSRP11_xls][97_207COSR4"/>
      <sheetName val="ACAD_Finishes4"/>
      <sheetName val="Site_Details4"/>
      <sheetName val="Site_Area_Statement4"/>
      <sheetName val="Mat_Cost4"/>
      <sheetName val="[97_207COSRP11_xls]_97_207C_753"/>
      <sheetName val="[97_207COSRP11_xls]_97_207C_754"/>
      <sheetName val="입찰내역_발주처_양식4"/>
      <sheetName val="Basement_Budget4"/>
      <sheetName val="SC_Cost_FEB_033"/>
      <sheetName val="Bed_Class4"/>
      <sheetName val="TRIAL_BALANCE4"/>
      <sheetName val="_97_207COSRP11_xls__97_207COSR3"/>
      <sheetName val="_97_207COSRP11_xls_B@_3"/>
      <sheetName val="[97_207COSRP11_xls]_97_207C_755"/>
      <sheetName val="[97_207COSRP11_xls]_97_207C_756"/>
      <sheetName val="Bank_Guarantee3"/>
      <sheetName val="Insurance_&amp;_Taxes(B1-2)3"/>
      <sheetName val="Structural_BOQ3"/>
      <sheetName val="Masonry_&amp;_Plaster3"/>
      <sheetName val="DETAILED__BOQ3"/>
      <sheetName val="Do_not_delete3"/>
      <sheetName val="_3"/>
      <sheetName val="3__Bulk_Check3"/>
      <sheetName val="2__Trade_Sum3"/>
      <sheetName val="[97_207COSRP11_xls]B________477"/>
      <sheetName val="[97_207COSRP11_xls]B________478"/>
      <sheetName val="[97_207COSRP11_xls]_97_207COS25"/>
      <sheetName val="[97_207COSRP11_xls]_97_207COS26"/>
      <sheetName val="[97_207COSRP11_xls]_97_207COS27"/>
      <sheetName val="[97_207COSRP11_xls]_97_207COS28"/>
      <sheetName val="[97_207COSRP11_xls]_97_207COS29"/>
      <sheetName val="[97_207COSRP11_xls]_97_207COS30"/>
      <sheetName val="[97_207COSRP11_xls]B________479"/>
      <sheetName val="[97_207COSRP11_xls]B________480"/>
      <sheetName val="[97_207COSRP11_xls]_97_207CO280"/>
      <sheetName val="[97_207COSRP11_xls]_97_207COS31"/>
      <sheetName val="[97_207COSRP11_xls]_97_207COS32"/>
      <sheetName val="[97_207COSRP11_xls]_97_207CO281"/>
      <sheetName val="[97_207COSRP11_xls]_97_207CO282"/>
      <sheetName val="[97_207COSRP11_xls]_97_207CO283"/>
      <sheetName val="[97_207COSRP11_xls]B________481"/>
      <sheetName val="[97_207COSRP11_xls]B________482"/>
      <sheetName val="[97_207COSRP11_xls]_97_207C_757"/>
      <sheetName val="[97_207COSRP11_xls]_97_207C_758"/>
      <sheetName val="[97_207COSRP11_xls]_97_207C_759"/>
      <sheetName val="[97_207COSRP11_xls]_97_207C_760"/>
      <sheetName val="[97_207COSRP11_xls]_97_207C_761"/>
      <sheetName val="[97_207COSRP11_xls]_97_207C_762"/>
      <sheetName val="[97_207COSRP11_xls]B________483"/>
      <sheetName val="[97_207COSRP11_xls]B________484"/>
      <sheetName val="[97_207COSRP11_xls]_97_207CO284"/>
      <sheetName val="[97_207COSRP11_xls]_97_207CO285"/>
      <sheetName val="[97_207COSRP11_xls]_97_207CO286"/>
      <sheetName val="[97_207COSRP11_xls]_97_207CO287"/>
      <sheetName val="[97_207COSRP11_xls]B________485"/>
      <sheetName val="[97_207COSRP11_xls]B________486"/>
      <sheetName val="[97_207COSRP11_xls]_97_207CO288"/>
      <sheetName val="[97_207COSRP11_xls]_97_207CO289"/>
      <sheetName val="[97_207COSRP11_xls]_97_207CO290"/>
      <sheetName val="[97_207COSRP11_xls]_97_207CO291"/>
      <sheetName val="[97_207COSRP11_xls]B________487"/>
      <sheetName val="[97_207COSRP11_xls]B________488"/>
      <sheetName val="[97_207COSRP11_xls]_97_207CO292"/>
      <sheetName val="[97_207COSRP11_xls]_97_207CO293"/>
      <sheetName val="[97_207COSRP11_xls]_97_207CO294"/>
      <sheetName val="[97_207COSRP11_xls]_97_207CO295"/>
      <sheetName val="[97_207COSRP11_xls]B________489"/>
      <sheetName val="[97_207COSRP11_xls]B________490"/>
      <sheetName val="[97_207COSRP11_xls]_97_207CO296"/>
      <sheetName val="[97_207COSRP11_xls]_97_207CO297"/>
      <sheetName val="[97_207COSRP11_xls]_97_207CO298"/>
      <sheetName val="[97_207COSRP11_xls]_97_207CO299"/>
      <sheetName val="Ins_&amp;_Bonds3"/>
      <sheetName val="S_&amp;_A3"/>
      <sheetName val="Operating_Statistics3"/>
      <sheetName val="BOQ_LT3"/>
      <sheetName val="LABOUR_SALARY_3"/>
      <sheetName val="[97_207COSRP11_xls]B@[3"/>
      <sheetName val="Basic_Rate3"/>
      <sheetName val="INFLUENCES_ON_GM3"/>
      <sheetName val="Boq_(Main_Building)3"/>
      <sheetName val="[97_207COSRP11_xls]B________491"/>
      <sheetName val="[97_207COSRP11_xls]B________492"/>
      <sheetName val="[97_207COSRP11_xls]B________493"/>
      <sheetName val="[97_207COSRP11_xls]B________494"/>
      <sheetName val="[97_207COSRP11_xls]B________495"/>
      <sheetName val="[97_207COSRP11_xls]B________496"/>
      <sheetName val="[97_207COSRP11_xls]_97_207CO300"/>
      <sheetName val="[97_207COSRP11_xls]_97_207CO301"/>
      <sheetName val="[97_207COSRP11_xls]_97_207CO302"/>
      <sheetName val="[97_207COSRP11_xls]_97_207CO303"/>
      <sheetName val="[97_207COSRP11_xls]B________497"/>
      <sheetName val="[97_207COSRP11_xls]B________498"/>
      <sheetName val="[97_207COSRP11_xls]_97_207CO304"/>
      <sheetName val="[97_207COSRP11_xls]_97_207CO305"/>
      <sheetName val="[97_207COSRP11_xls]B________499"/>
      <sheetName val="[97_207COSRP11_xls]B________500"/>
      <sheetName val="[97_207COSRP11_xls]_97_207CO306"/>
      <sheetName val="[97_207COSRP11_xls]_97_207CO307"/>
      <sheetName val="[97_207COSRP11_xls]_97_207CO308"/>
      <sheetName val="[97_207COSRP11_xls]B________501"/>
      <sheetName val="[97_207COSRP11_xls]B________502"/>
      <sheetName val="[97_207COSRP11_xls]_97_207CO309"/>
      <sheetName val="[97_207COSRP11_xls]_97_207CO310"/>
      <sheetName val="[97_207COSRP11_xls]_97_207CO311"/>
      <sheetName val="[97_207COSRP11_xls]B________503"/>
      <sheetName val="[97_207COSRP11_xls]B________504"/>
      <sheetName val="[97_207COSRP11_xls]_97_207CO312"/>
      <sheetName val="[97_207COSRP11_xls]_97_207CO313"/>
      <sheetName val="[97_207COSRP11_xls]_97_207CO314"/>
      <sheetName val="[97_207COSRP11_xls]_97_207CO315"/>
      <sheetName val="[97_207COSRP11_xls]_97_207CO316"/>
      <sheetName val="vb_9&amp;103"/>
      <sheetName val="Schedules_PL3"/>
      <sheetName val="Schedules_BS3"/>
      <sheetName val="[97_207COSRP11_xls]_97_207CO317"/>
      <sheetName val="[97_207COSRP11_xls]B________505"/>
      <sheetName val="[97_207COSRP11_xls]B________506"/>
      <sheetName val="[97_207COSRP11_xls]B________507"/>
      <sheetName val="[97_207COSRP11_xls]B________508"/>
      <sheetName val="[97_207COSRP11_xls]_97_207CO318"/>
      <sheetName val="[97_207COSRP11_xls]_97_207CO319"/>
      <sheetName val="[97_207COSRP11_xls]_97_207CO320"/>
      <sheetName val="[97_207COSRP11_xls]_97_207CO321"/>
      <sheetName val="[97_207COSRP11_xls]B________509"/>
      <sheetName val="[97_207COSRP11_xls]B________510"/>
      <sheetName val="[97_207COSRP11_xls]_97_207CO322"/>
      <sheetName val="[97_207COSRP11_xls]_97_207CO323"/>
      <sheetName val="[97_207COSRP11_xls]_97_207CO324"/>
      <sheetName val="[97_207COSRP11_xls]_97_207CO325"/>
      <sheetName val="[97_207COSRP11_xls]_97_207CO326"/>
      <sheetName val="[97_207COSRP11_xls]_97_207CO327"/>
      <sheetName val="[97_207COSRP11_xls]_97_207CO328"/>
      <sheetName val="[97_207COSRP11_xls]B________511"/>
      <sheetName val="[97_207COSRP11_xls]B________512"/>
      <sheetName val="[97_207COSRP11_xls]_97_207CO329"/>
      <sheetName val="[97_207COSRP11_xls]_97_207CO330"/>
      <sheetName val="[97_207COSRP11_xls]_97_207CO331"/>
      <sheetName val="[97_207COSRP11_xls]_97_207CO332"/>
      <sheetName val="[97_207COSRP11_xls]_97_207CO333"/>
      <sheetName val="[97_207COSRP11_xls]B________513"/>
      <sheetName val="[97_207COSRP11_xls]B________514"/>
      <sheetName val="[97_207COSRP11_xls]_97_207CO334"/>
      <sheetName val="[97_207COSRP11_xls]_97_207CO335"/>
      <sheetName val="[97_207COSRP11_xls]_97_207CO336"/>
      <sheetName val="[97_207COSRP11_xls]_97_207CO337"/>
      <sheetName val="[97_207COSRP11_xls]_97_207CO338"/>
      <sheetName val="[97_207COSRP11_xls]_97_207CO339"/>
      <sheetName val="[97_207COSRP11_xls]B________515"/>
      <sheetName val="[97_207COSRP11_xls]B________516"/>
      <sheetName val="[97_207COSRP11_xls]_97_207CO340"/>
      <sheetName val="[97_207COSRP11_xls]_97_207CO341"/>
      <sheetName val="[97_207COSRP11_xls]_97_207CO342"/>
      <sheetName val="[97_207COSRP11_xls]_97_207CO343"/>
      <sheetName val="[97_207COSRP11_xls]_97_207CO344"/>
      <sheetName val="[97_207COSRP11_xls]_97_207CO345"/>
      <sheetName val="[97_207COSRP11_xls]B________517"/>
      <sheetName val="[97_207COSRP11_xls]B________518"/>
      <sheetName val="[97_207COSRP11_xls]_97_207CO346"/>
      <sheetName val="[97_207COSRP11_xls]_97_207CO347"/>
      <sheetName val="[97_207COSRP11_xls]_97_207CO348"/>
      <sheetName val="[97_207COSRP11_xls]_97_207CO349"/>
      <sheetName val="[97_207COSRP11_xls]B________519"/>
      <sheetName val="[97_207COSRP11_xls]B________520"/>
      <sheetName val="[97_207COSRP11_xls]_97_207CO350"/>
      <sheetName val="[97_207COSRP11_xls]_97_207CO351"/>
      <sheetName val="[97_207COSRP11_xls]B________521"/>
      <sheetName val="[97_207COSRP11_xls]B________522"/>
      <sheetName val="[97_207COSRP11_xls]_97_207CO352"/>
      <sheetName val="[97_207COSRP11_xls]_97_207CO353"/>
      <sheetName val="[97_207COSRP11_xls]_97_207CO354"/>
      <sheetName val="[97_207COSRP11_xls]_97_207CO355"/>
      <sheetName val="[97_207COSRP11_xls]B________523"/>
      <sheetName val="[97_207COSRP11_xls]B________524"/>
      <sheetName val="[97_207COSRP11_xls]B________525"/>
      <sheetName val="[97_207COSRP11_xls]B________526"/>
      <sheetName val="[97_207COSRP11_xls]B________527"/>
      <sheetName val="[97_207COSRP11_xls]B________528"/>
      <sheetName val="[97_207COSRP11_xls]_97_207CO356"/>
      <sheetName val="[97_207COSRP11_xls]B________529"/>
      <sheetName val="[97_207COSRP11_xls]B________530"/>
      <sheetName val="[97_207COSRP11_xls]_97_207CO357"/>
      <sheetName val="[97_207COSRP11_xls]_97_207CO358"/>
      <sheetName val="[97_207COSRP11_xls]_97_207CO359"/>
      <sheetName val="[97_207COSRP11_xls]B________531"/>
      <sheetName val="[97_207COSRP11_xls]B________532"/>
      <sheetName val="[97_207COSRP11_xls]_97_207CO360"/>
      <sheetName val="[97_207COSRP11_xls]_97_207CO361"/>
      <sheetName val="[97_207COSRP11_xls]_97_207CO362"/>
      <sheetName val="[97_207COSRP11_xls]B________533"/>
      <sheetName val="[97_207COSRP11_xls]B________534"/>
      <sheetName val="[97_207COSRP11_xls]_97_207CO363"/>
      <sheetName val="[97_207COSRP11_xls]_97_207CO364"/>
      <sheetName val="[97_207COSRP11_xls]_97_207CO365"/>
      <sheetName val="[97_207COSRP11_xls]B________535"/>
      <sheetName val="[97_207COSRP11_xls]B________536"/>
      <sheetName val="[97_207COSRP11_xls]_97_207CO366"/>
      <sheetName val="[97_207COSRP11_xls]_97_207CO367"/>
      <sheetName val="[97_207COSRP11_xls]B________537"/>
      <sheetName val="[97_207COSRP11_xls]B________538"/>
      <sheetName val="[97_207COSRP11_xls]_97_207C_763"/>
      <sheetName val="[97_207COSRP11_xls]_97_207CO368"/>
      <sheetName val="[97_207COSRP11_xls]_97_207CO369"/>
      <sheetName val="[97_207COSRP11_xls]_97_207C_764"/>
      <sheetName val="[97_207COSRP11_xls]_97_207C_765"/>
      <sheetName val="[97_207COSRP11_xls]_97_207C_766"/>
      <sheetName val="[97_207COSRP11_xls]B________539"/>
      <sheetName val="[97_207COSRP11_xls]B________540"/>
      <sheetName val="[97_207COSRP11_xls]_97_207C_767"/>
      <sheetName val="[97_207COSRP11_xls]_97_207C_768"/>
      <sheetName val="[97_207COSRP11_xls]_97_207C_769"/>
      <sheetName val="[97_207COSRP11_xls]_97_207C_770"/>
      <sheetName val="[97_207COSRP11_xls]_97_207C_771"/>
      <sheetName val="[97_207COSRP11_xls]B________541"/>
      <sheetName val="[97_207COSRP11_xls]B________542"/>
      <sheetName val="[97_207COSRP11_xls]_97_207C_772"/>
      <sheetName val="[97_207COSRP11_xls]_97_207C_773"/>
      <sheetName val="[97_207COSRP11_xls]_97_207C_774"/>
      <sheetName val="[97_207COSRP11_xls]_97_207C_775"/>
      <sheetName val="[97_207COSRP11_xls]B________543"/>
      <sheetName val="[97_207COSRP11_xls]B________544"/>
      <sheetName val="[97_207COSRP11_xls]_97_207C_776"/>
      <sheetName val="[97_207COSRP11_xls]_97_207C_777"/>
      <sheetName val="[97_207COSRP11_xls]_97_207C_778"/>
      <sheetName val="[97_207COSRP11_xls]_97_207C_779"/>
      <sheetName val="[97_207COSRP11_xls]_97_207C_780"/>
      <sheetName val="[97_207COSRP11_xls]_97_207C_781"/>
      <sheetName val="[97_207COSRP11_xls]_97_207C_782"/>
      <sheetName val="[97_207COSRP11_xls]B________545"/>
      <sheetName val="[97_207COSRP11_xls]B________546"/>
      <sheetName val="[97_207COSRP11_xls]_97_207C_783"/>
      <sheetName val="[97_207COSRP11_xls]_97_207C_784"/>
      <sheetName val="[97_207COSRP11_xls]_97_207C_785"/>
      <sheetName val="[97_207COSRP11_xls]_97_207C_786"/>
      <sheetName val="[97_207COSRP11_xls]_97_207C_787"/>
      <sheetName val="[97_207COSRP11_xls]_97_207C_788"/>
      <sheetName val="P-Ins_&amp;_Bonds3"/>
      <sheetName val="P-Site_fac3"/>
      <sheetName val="P-Clients_fac3"/>
      <sheetName val="[97_207COSRP11_xls]B________547"/>
      <sheetName val="[97_207COSRP11_xls]B________548"/>
      <sheetName val="[97_207COSRP11_xls]_97_207C_789"/>
      <sheetName val="[97_207COSRP11_xls]_97_207C_790"/>
      <sheetName val="[97_207COSRP11_xls]_97_207C_791"/>
      <sheetName val="[97_207COSRP11_xls]_97_207C_792"/>
      <sheetName val="[97_207COSRP11_xls]_97_207C_793"/>
      <sheetName val="[97_207COSRP11_xls]B________549"/>
      <sheetName val="[97_207COSRP11_xls]B________550"/>
      <sheetName val="[97_207COSRP11_xls]B________551"/>
      <sheetName val="[97_207COSRP11_xls]B________552"/>
      <sheetName val="[97_207COSRP11_xls]_97_207C_794"/>
      <sheetName val="[97_207COSRP11_xls]B________553"/>
      <sheetName val="[97_207COSRP11_xls]B________554"/>
      <sheetName val="[97_207COSRP11_xls]_97_207C_795"/>
      <sheetName val="[97_207COSRP11_xls]_97_207C_796"/>
      <sheetName val="[97_207COSRP11_xls]_97_207C_797"/>
      <sheetName val="[97_207COSRP11_xls]_97_207C_798"/>
      <sheetName val="[97_207COSRP11_xls]B________555"/>
      <sheetName val="[97_207COSRP11_xls]B________556"/>
      <sheetName val="[97_207COSRP11_xls]_97_207C_799"/>
      <sheetName val="[97_207COSRP11_xls]_97_207C_800"/>
      <sheetName val="[97_207COSRP11_xls]_97_207C_801"/>
      <sheetName val="[97_207COSRP11_xls]_97_207C_802"/>
      <sheetName val="[97_207COSRP11_xls]B________557"/>
      <sheetName val="[97_207COSRP11_xls]B________558"/>
      <sheetName val="[97_207COSRP11_xls]_97_207C_803"/>
      <sheetName val="[97_207COSRP11_xls]_97_207C_804"/>
      <sheetName val="[97_207COSRP11_xls]_97_207C_805"/>
      <sheetName val="[97_207COSRP11_xls]_97_207C_806"/>
      <sheetName val="[97_207COSRP11_xls]_97_207C_807"/>
      <sheetName val="[97_207COSRP11_xls]_97_207C_808"/>
      <sheetName val="[97_207COSRP11_xls]_97_207C_809"/>
      <sheetName val="[97_207COSRP11_xls]B________559"/>
      <sheetName val="[97_207COSRP11_xls]B________560"/>
      <sheetName val="[97_207COSRP11_xls]_97_207C_810"/>
      <sheetName val="[97_207COSRP11_xls]_97_207C_811"/>
      <sheetName val="[97_207COSRP11_xls]_97_207C_812"/>
      <sheetName val="[97_207COSRP11_xls]_97_207C_813"/>
      <sheetName val="[97_207COSRP11_xls]B________561"/>
      <sheetName val="[97_207COSRP11_xls]B________562"/>
      <sheetName val="[97_207COSRP11_xls]_97_207C_814"/>
      <sheetName val="[97_207COSRP11_xls]_97_207C_815"/>
      <sheetName val="[97_207COSRP11_xls]B________563"/>
      <sheetName val="[97_207COSRP11_xls]B________564"/>
      <sheetName val="[97_207COSRP11_xls]_97_207C_816"/>
      <sheetName val="[97_207COSRP11_xls]B________565"/>
      <sheetName val="[97_207COSRP11_xls]B________566"/>
      <sheetName val="[97_207COSRP11_xls]_97_207C_817"/>
      <sheetName val="[97_207COSRP11_xls]B________567"/>
      <sheetName val="[97_207COSRP11_xls]B________568"/>
      <sheetName val="[97_207COSRP11_xls]_97_207C_818"/>
      <sheetName val="[97_207COSRP11_xls]_97_207C_819"/>
      <sheetName val="[97_207COSRP11_xls]_97_207C_820"/>
      <sheetName val="[97_207COSRP11_xls]B________569"/>
      <sheetName val="[97_207COSRP11_xls]B________570"/>
      <sheetName val="[97_207COSRP11_xls]_97_207C_821"/>
      <sheetName val="[97_207COSRP11_xls]_97_207C_822"/>
      <sheetName val="[97_207COSRP11_xls]_97_207C_823"/>
      <sheetName val="[97_207COSRP11_xls]B________571"/>
      <sheetName val="[97_207COSRP11_xls]B________572"/>
      <sheetName val="[97_207COSRP11_xls]_97_207C_824"/>
      <sheetName val="[97_207COSRP11_xls]_97_207C_825"/>
      <sheetName val="[97_207COSRP11_xls]_97_207C_826"/>
      <sheetName val="[97_207COSRP11_xls]_97_207C_827"/>
      <sheetName val="[97_207COSRP11_xls]B________573"/>
      <sheetName val="[97_207COSRP11_xls]B________574"/>
      <sheetName val="[97_207COSRP11_xls]_97_207C_828"/>
      <sheetName val="[97_207COSRP11_xls]_97_207C_829"/>
      <sheetName val="[97_207COSRP11_xls]_97_207C_830"/>
      <sheetName val="[97_207COSRP11_xls]B________575"/>
      <sheetName val="[97_207COSRP11_xls]B________576"/>
      <sheetName val="[97_207COSRP11_xls]_97_207C_831"/>
      <sheetName val="[97_207COSRP11_xls]_97_207C_832"/>
      <sheetName val="[97_207COSRP11_xls]_97_207C_833"/>
      <sheetName val="[97_207COSRP11_xls]B________577"/>
      <sheetName val="[97_207COSRP11_xls]B________578"/>
      <sheetName val="[97_207COSRP11_xls]_97_207C_834"/>
      <sheetName val="[97_207COSRP11_xls]_97_207C_835"/>
      <sheetName val="[97_207COSRP11_xls]_97_207C_836"/>
      <sheetName val="[97_207COSRP11_xls]_97_207C_837"/>
      <sheetName val="[97_207COSRP11_xls]_97_207C_838"/>
      <sheetName val="[97_207COSRP11_xls]_97_207C_839"/>
      <sheetName val="[97_207COSRP11_xls]_97_207C_840"/>
      <sheetName val="[97_207COSRP11_xls]B________579"/>
      <sheetName val="[97_207COSRP11_xls]B________580"/>
      <sheetName val="[97_207COSRP11_xls]_97_207C_841"/>
      <sheetName val="[97_207COSRP11_xls]_97_207C_842"/>
      <sheetName val="[97_207COSRP11_xls]_97_207C_843"/>
      <sheetName val="[97_207COSRP11_xls]_97_207C_844"/>
      <sheetName val="[97_207COSRP11_xls]_97_207C_845"/>
      <sheetName val="[97_207COSRP11_xls]_97_207C_846"/>
      <sheetName val="[97_207COSRP11_xls]_97_207C_847"/>
      <sheetName val="[97_207COSRP11_xls]_97_207C_848"/>
      <sheetName val="[97_207COSRP11_xls]B________581"/>
      <sheetName val="[97_207COSRP11_xls]B________582"/>
      <sheetName val="[97_207COSRP11_xls]_97_207C_849"/>
      <sheetName val="[97_207COSRP11_xls]_97_207C_850"/>
      <sheetName val="[97_207COSRP11_xls]B________583"/>
      <sheetName val="[97_207COSRP11_xls]B________584"/>
      <sheetName val="[97_207COSRP11_xls]_97_207C_851"/>
      <sheetName val="[97_207COSRP11_xls]_97_207C_852"/>
      <sheetName val="[97_207COSRP11_xls]_97_207C_853"/>
      <sheetName val="[97_207COSRP11_xls]B________585"/>
      <sheetName val="[97_207COSRP11_xls]B________586"/>
      <sheetName val="[97_207COSRP11_xls]_97_207C_854"/>
      <sheetName val="[97_207COSRP11_xls]_97_207C_855"/>
      <sheetName val="[97_207COSRP11_xls]_97_207C_856"/>
      <sheetName val="[97_207COSRP11_xls]B________587"/>
      <sheetName val="[97_207COSRP11_xls]B________588"/>
      <sheetName val="[97_207COSRP11_xls]_97_207C_857"/>
      <sheetName val="[97_207COSRP11_xls]_97_207C_858"/>
      <sheetName val="[97_207COSRP11_xls]_97_207C_859"/>
      <sheetName val="[97_207COSRP11_xls]B________589"/>
      <sheetName val="[97_207COSRP11_xls]B________590"/>
      <sheetName val="[97_207COSRP11_xls]_97_207C_860"/>
      <sheetName val="[97_207COSRP11_xls]_97_207C_861"/>
      <sheetName val="[97_207COSRP11_xls]B________591"/>
      <sheetName val="[97_207COSRP11_xls]B________592"/>
      <sheetName val="[97_207COSRP11_xls]_97_207C_862"/>
      <sheetName val="[97_207COSRP11_xls]_97_207C_863"/>
      <sheetName val="[97_207COSRP11_xls]_97_207C_864"/>
      <sheetName val="[97_207COSRP11_xls]_97_207C_865"/>
      <sheetName val="[97_207COSRP11_xls]_97_207C_866"/>
      <sheetName val="[97_207COSRP11_xls]_97_207C_867"/>
      <sheetName val="[97_207COSRP11_xls]_97_207C_868"/>
      <sheetName val="[97_207COSRP11_xls]_97_207C_869"/>
      <sheetName val="[97_207COSRP11_xls]_97_207C_870"/>
      <sheetName val="[97_207COSRP11_xls]_97_207C_871"/>
      <sheetName val="[97_207COSRP11_xls]_97_207C_872"/>
      <sheetName val="[97_207COSRP11_xls]_97_207C_873"/>
      <sheetName val="[97_207COSRP11_xls]B________593"/>
      <sheetName val="[97_207COSRP11_xls]B________594"/>
      <sheetName val="[97_207COSRP11_xls]_97_207C_874"/>
      <sheetName val="[97_207COSRP11_xls]_97_207C_875"/>
      <sheetName val="[97_207COSRP11_xls]_97_207C_876"/>
      <sheetName val="[97_207COSRP11_xls]_97_207C_877"/>
      <sheetName val="[97_207COSRP11_xls]B________595"/>
      <sheetName val="[97_207COSRP11_xls]B________596"/>
      <sheetName val="[97_207COSRP11_xls]_97_207C_878"/>
      <sheetName val="[97_207COSRP11_xls]_97_207C_879"/>
      <sheetName val="[97_207COSRP11_xls]_97_207C_880"/>
      <sheetName val="[97_207COSRP11_xls]B________597"/>
      <sheetName val="[97_207COSRP11_xls]B________598"/>
      <sheetName val="[97_207COSRP11_xls]_97_207C_881"/>
      <sheetName val="[97_207COSRP11_xls]_97_207C_882"/>
      <sheetName val="[97_207COSRP11_xls]_97_207C_883"/>
      <sheetName val="[97_207COSRP11_xls]B________599"/>
      <sheetName val="[97_207COSRP11_xls]B________600"/>
      <sheetName val="[97_207COSRP11_xls]_97_207C_884"/>
      <sheetName val="[97_207COSRP11_xls]_97_207C_885"/>
      <sheetName val="[97_207COSRP11_xls]_97_207C_886"/>
      <sheetName val="[97_207COSRP11_xls]_97_207C_887"/>
      <sheetName val="[97_207COSRP11_xls]_97_207C_888"/>
      <sheetName val="[97_207COSRP11_xls]_97_207C_889"/>
      <sheetName val="[97_207COSRP11_xls]_97_207C_890"/>
      <sheetName val="[97_207COSRP11_xls]_97_207C_891"/>
      <sheetName val="[97_207COSRP11_xls]_97_207C_892"/>
      <sheetName val="[97_207COSRP11_xls]_97_207C_893"/>
      <sheetName val="[97_207COSRP11_xls]_97_207C_894"/>
      <sheetName val="[97_207COSRP11_xls]_97_207C_895"/>
      <sheetName val="[97_207COSRP11_xls]_97_207C_896"/>
      <sheetName val="[97_207COSRP11_xls]_97_207C_897"/>
      <sheetName val="[97_207COSRP11_xls]_97_207C_898"/>
      <sheetName val="[97_207COSRP11_xls]_97_207C_899"/>
      <sheetName val="[97_207COSRP11_xls]B________601"/>
      <sheetName val="[97_207COSRP11_xls]B________602"/>
      <sheetName val="[97_207COSRP11_xls]_97_207C_900"/>
      <sheetName val="[97_207COSRP11_xls]_97_207C_901"/>
      <sheetName val="[97_207COSRP11_xls]_97_207C_902"/>
      <sheetName val="[97_207COSRP11_xls]_97_207C_903"/>
      <sheetName val="[97_207COSRP11_xls]_97_207C_904"/>
      <sheetName val="[97_207COSRP11_xls]_97_207C_905"/>
      <sheetName val="[97_207COSRP11_xls]B________603"/>
      <sheetName val="[97_207COSRP11_xls]B________604"/>
      <sheetName val="[97_207COSRP11_xls]B________605"/>
      <sheetName val="[97_207COSRP11_xls]B________606"/>
      <sheetName val="[97_207COSRP11_xls]_97_207C_906"/>
      <sheetName val="[97_207COSRP11_xls]_97_207C_907"/>
      <sheetName val="[97_207COSRP11_xls]_97_207C_908"/>
      <sheetName val="[97_207COSRP11_xls]_97_207C_909"/>
      <sheetName val="[97_207COSRP11_xls]B________607"/>
      <sheetName val="[97_207COSRP11_xls]B________608"/>
      <sheetName val="[97_207COSRP11_xls]_97_207C_910"/>
      <sheetName val="[97_207COSRP11_xls]_97_207C_911"/>
      <sheetName val="[97_207COSRP11_xls]_97_207C_912"/>
      <sheetName val="[97_207COSRP11_xls]_97_207C_913"/>
      <sheetName val="[97_207COSRP11_xls]B________609"/>
      <sheetName val="[97_207COSRP11_xls]B________610"/>
      <sheetName val="[97_207COSRP11_xls]_97_207C_914"/>
      <sheetName val="[97_207COSRP11_xls]_97_207C_915"/>
      <sheetName val="[97_207COSRP11_xls]_97_207C_916"/>
      <sheetName val="[97_207COSRP11_xls]_97_207C_917"/>
      <sheetName val="[97_207COSRP11_xls]B________611"/>
      <sheetName val="[97_207COSRP11_xls]B________612"/>
      <sheetName val="[97_207COSRP11_xls]_97_207C_918"/>
      <sheetName val="[97_207COSRP11_xls]_97_207C_919"/>
      <sheetName val="[97_207COSRP11_xls]_97_207C_920"/>
      <sheetName val="[97_207COSRP11_xls]_97_207C_921"/>
      <sheetName val="[97_207COSRP11_xls]_97_207C_922"/>
      <sheetName val="[97_207COSRP11_xls]_97_207C_923"/>
      <sheetName val="[97_207COSRP11_xls]B________613"/>
      <sheetName val="[97_207COSRP11_xls]B________614"/>
      <sheetName val="[97_207COSRP11_xls]_97_207C_924"/>
      <sheetName val="[97_207COSRP11_xls]_97_207C_925"/>
      <sheetName val="[97_207COSRP11_xls]_97_207C_926"/>
      <sheetName val="[97_207COSRP11_xls]B________615"/>
      <sheetName val="[97_207COSRP11_xls]B________616"/>
      <sheetName val="[97_207COSRP11_xls]_97_207C_927"/>
      <sheetName val="[97_207COSRP11_xls]_97_207C_928"/>
      <sheetName val="[97_207COSRP11_xls]_97_207C_929"/>
      <sheetName val="[97_207COSRP11_xls]_97_207C_930"/>
      <sheetName val="[97_207COSRP11_xls]B________617"/>
      <sheetName val="[97_207COSRP11_xls]B________618"/>
      <sheetName val="[97_207COSRP11_xls]_97_207C_931"/>
      <sheetName val="[97_207COSRP11_xls]_97_207C_932"/>
      <sheetName val="[97_207COSRP11_xls]_97_207C_933"/>
      <sheetName val="[97_207COSRP11_xls]_97_207C_934"/>
      <sheetName val="[97_207COSRP11_xls]B________619"/>
      <sheetName val="[97_207COSRP11_xls]B________620"/>
      <sheetName val="[97_207COSRP11_xls]_97_207C_935"/>
      <sheetName val="[97_207COSRP11_xls]_97_207C_936"/>
      <sheetName val="[97_207COSRP11_xls]_97_207C_937"/>
      <sheetName val="[97_207COSRP11_xls]_97_207C_938"/>
      <sheetName val="[97_207COSRP11_xls]_97_207C_939"/>
      <sheetName val="[97_207COSRP11_xls]_97_207C_940"/>
      <sheetName val="[97_207COSRP11_xls]_97_207C_941"/>
      <sheetName val="[97_207COSRP11_xls]_97_207C_942"/>
      <sheetName val="[97_207COSRP11_xls]_97_207C_943"/>
      <sheetName val="[97_207COSRP11_xls]_97_207C_944"/>
      <sheetName val="[97_207COSRP11_xls]B________621"/>
      <sheetName val="[97_207COSRP11_xls]B________622"/>
      <sheetName val="[97_207COSRP11_xls]_97_207C_945"/>
      <sheetName val="[97_207COSRP11_xls]_97_207C_946"/>
      <sheetName val="[97_207COSRP11_xls]_97_207C_947"/>
      <sheetName val="[97_207COSRP11_xls]_97_207C_948"/>
      <sheetName val="[97_207COSRP11_xls]_97_207C_949"/>
      <sheetName val="[97_207COSRP11_xls]_97_207C_950"/>
      <sheetName val="[97_207COSRP11_xls]B________623"/>
      <sheetName val="[97_207COSRP11_xls]B________624"/>
      <sheetName val="[97_207COSRP11_xls]_97_207C_951"/>
      <sheetName val="[97_207COSRP11_xls]_97_207C_952"/>
      <sheetName val="[97_207COSRP11_xls]_97_207C_953"/>
      <sheetName val="[97_207COSRP11_xls]B________625"/>
      <sheetName val="[97_207COSRP11_xls]B________626"/>
      <sheetName val="[97_207COSRP11_xls]_97_207C_954"/>
      <sheetName val="[97_207COSRP11_xls]_97_207C_955"/>
      <sheetName val="[97_207COSRP11_xls]_97_207C_956"/>
      <sheetName val="[97_207COSRP11_xls]_97_207C_957"/>
      <sheetName val="[97_207COSRP11_xls]B________627"/>
      <sheetName val="[97_207COSRP11_xls]B________628"/>
      <sheetName val="[97_207COSRP11_xls]_97_207C_958"/>
      <sheetName val="[97_207COSRP11_xls]_97_207C_959"/>
      <sheetName val="[97_207COSRP11_xls]_97_207C_960"/>
      <sheetName val="[97_207COSRP11_xls]B________629"/>
      <sheetName val="[97_207COSRP11_xls]B________630"/>
      <sheetName val="[97_207COSRP11_xls]_97_207C_961"/>
      <sheetName val="[97_207COSRP11_xls]_97_207C_962"/>
      <sheetName val="[97_207COSRP11_xls]_97_207C_963"/>
      <sheetName val="[97_207COSRP11_xls]B________631"/>
      <sheetName val="[97_207COSRP11_xls]B________632"/>
      <sheetName val="[97_207COSRP11_xls]_97_207C_964"/>
      <sheetName val="[97_207COSRP11_xls]_97_207C_965"/>
      <sheetName val="[97_207COSRP11_xls]_97_207C_966"/>
      <sheetName val="[97_207COSRP11_xls]B________633"/>
      <sheetName val="[97_207COSRP11_xls]B________634"/>
      <sheetName val="[97_207COSRP11_xls]_97_207C_967"/>
      <sheetName val="[97_207COSRP11_xls]_97_207C_968"/>
      <sheetName val="[97_207COSRP11_xls]_97_207C_969"/>
      <sheetName val="GM_&amp;_TA2"/>
      <sheetName val="[97_207COSRP11_xls]_97_207C_970"/>
      <sheetName val="[97_207COSRP11_xls]_97_207C_971"/>
      <sheetName val="[97_207COSRP11_xls]B________635"/>
      <sheetName val="[97_207COSRP11_xls]B________636"/>
      <sheetName val="[97_207COSRP11_xls]B________637"/>
      <sheetName val="[97_207COSRP11_xls]B________638"/>
      <sheetName val="[97_207COSRP11_xls]_97_207C_972"/>
      <sheetName val="[97_207COSRP11_xls]B________639"/>
      <sheetName val="[97_207COSRP11_xls]B________640"/>
      <sheetName val="[97_207COSRP11_xls]_97_207C_973"/>
      <sheetName val="[97_207COSRP11_xls]_97_207C_974"/>
      <sheetName val="[97_207COSRP11_xls]_97_207C_975"/>
      <sheetName val="[97_207COSRP11_xls]_97_207C_976"/>
      <sheetName val="[97_207COSRP11_xls]B________641"/>
      <sheetName val="[97_207COSRP11_xls]B________642"/>
      <sheetName val="[97_207COSRP11_xls]_97_207C_977"/>
      <sheetName val="[97_207COSRP11_xls]_97_207C_978"/>
      <sheetName val="[97_207COSRP11_xls]_97_207C_979"/>
      <sheetName val="[97_207COSRP11_xls]_97_207C_980"/>
      <sheetName val="[97_207COSRP11_xls]_97_207C_981"/>
      <sheetName val="[97_207COSRP11_xls]_97_207C_982"/>
      <sheetName val="[97_207COSRP11_xls]_97_207C_983"/>
      <sheetName val="[97_207COSRP11_xls]B________643"/>
      <sheetName val="[97_207COSRP11_xls]B________644"/>
      <sheetName val="[97_207COSRP11_xls]_97_207C_984"/>
      <sheetName val="[97_207COSRP11_xls]_97_207C_985"/>
      <sheetName val="[97_207COSRP11_xls]_97_207C_986"/>
      <sheetName val="[97_207COSRP11_xls]_97_207C_987"/>
      <sheetName val="[97_207COSRP11_xls]_97_207C_988"/>
      <sheetName val="[97_207COSRP11_xls]_97_207C_989"/>
      <sheetName val="[97_207COSRP11_xls]B________645"/>
      <sheetName val="[97_207COSRP11_xls]B________646"/>
      <sheetName val="[97_207COSRP11_xls]_97_207C_990"/>
      <sheetName val="[97_207COSRP11_xls]_97_207C_991"/>
      <sheetName val="[97_207COSRP11_xls]_97_207C_992"/>
      <sheetName val="[97_207COSRP11_xls]_97_207C_993"/>
      <sheetName val="[97_207COSRP11_xls]_97_207C_994"/>
      <sheetName val="[97_207COSRP11_xls]_97_207C_995"/>
      <sheetName val="[97_207COSRP11_xls]B________647"/>
      <sheetName val="[97_207COSRP11_xls]B________648"/>
      <sheetName val="[97_207COSRP11_xls]_97_207C_996"/>
      <sheetName val="[97_207COSRP11_xls]_97_207C_997"/>
      <sheetName val="[97_207COSRP11_xls]_97_207C_998"/>
      <sheetName val="[97_207COSRP11_xls]_97_207C_999"/>
      <sheetName val="[97_207COSRP11_xls]B________649"/>
      <sheetName val="[97_207COSRP11_xls]B________650"/>
      <sheetName val="[97_207COSRP11_xls]_97_207C1000"/>
      <sheetName val="[97_207COSRP11_xls]_97_207C1001"/>
      <sheetName val="[97_207COSRP11_xls]_97_207C1002"/>
      <sheetName val="[97_207COSRP11_xls]_97_207C1003"/>
      <sheetName val="[97_207COSRP11_xls]_97_207C1004"/>
      <sheetName val="[97_207COSRP11_xls]_97_207C1005"/>
      <sheetName val="[97_207COSRP11_xls]B________651"/>
      <sheetName val="[97_207COSRP11_xls]B________652"/>
      <sheetName val="[97_207COSRP11_xls]_97_207C1006"/>
      <sheetName val="[97_207COSRP11_xls]_97_207C1007"/>
      <sheetName val="[97_207COSRP11_xls]_97_207C1008"/>
      <sheetName val="[97_207COSRP11_xls]_97_207C1009"/>
      <sheetName val="[97_207COSRP11_xls]_97_207C1010"/>
      <sheetName val="[97_207COSRP11_xls]_97_207C1011"/>
      <sheetName val="[97_207COSRP11_xls]_97_207C1012"/>
      <sheetName val="[97_207COSRP11_xls]_97_207C1013"/>
      <sheetName val="[97_207COSRP11_xls]_97_207C1014"/>
      <sheetName val="[97_207COSRP11_xls]B________653"/>
      <sheetName val="[97_207COSRP11_xls]B________654"/>
      <sheetName val="[97_207COSRP11_xls]B________655"/>
      <sheetName val="[97_207COSRP11_xls]B________656"/>
      <sheetName val="[97_207COSRP11_xls]_97_207C1015"/>
      <sheetName val="[97_207COSRP11_xls]_97_207C1016"/>
      <sheetName val="[97_207COSRP11_xls]_97_207C1017"/>
      <sheetName val="[97_207COSRP11_xls]_97_207C1018"/>
      <sheetName val="[97_207COSRP11_xls]_97_207C1019"/>
      <sheetName val="[97_207COSRP11_xls]_97_207C1020"/>
      <sheetName val="[97_207COSRP11_xls]_97_207C1021"/>
      <sheetName val="[97_207COSRP11_xls]_97_207C1022"/>
      <sheetName val="[97_207COSRP11_xls]B________657"/>
      <sheetName val="[97_207COSRP11_xls]B________658"/>
      <sheetName val="[97_207COSRP11_xls]_97_207C1023"/>
      <sheetName val="[97_207COSRP11_xls]_97_207C1024"/>
      <sheetName val="[97_207COSRP11_xls]_97_207C1025"/>
      <sheetName val="[97_207COSRP11_xls]_97_207C1026"/>
      <sheetName val="ATD"/>
      <sheetName val="NPV"/>
      <sheetName val="Detail P&amp;L"/>
      <sheetName val="Assumption Sheet"/>
      <sheetName val="_97_207COSRP11.xls__97_207C_241"/>
      <sheetName val="_97_207COSRP11.xls_B_________96"/>
      <sheetName val="_97_207COSRP11.xls__97_207C_242"/>
      <sheetName val="_97_207COSRP11.xls__97_207C_245"/>
      <sheetName val="_97_207COSRP11.xls__97_207C_243"/>
      <sheetName val="_97_207COSRP11.xls_B_________61"/>
      <sheetName val="_97_207COSRP11.xls_B_________62"/>
      <sheetName val="_97_207COSRP11.xls__97_207C_146"/>
      <sheetName val="_97_207COSRP11.xls__97_207C_147"/>
      <sheetName val="_97_207COSRP11.xls__97_207C_148"/>
      <sheetName val="_97_207COSRP11.xls__97_207C_149"/>
      <sheetName val="_97_207COSRP11.xls_B_________54"/>
      <sheetName val="_97_207COSRP11.xls__97_207C_135"/>
      <sheetName val="_97_207COSRP11.xls_B_________55"/>
      <sheetName val="_97_207COSRP11.xls__97_207C_136"/>
      <sheetName val="_97_207COSRP11.xls_B_________56"/>
      <sheetName val="_97_207COSRP11.xls_B_________57"/>
      <sheetName val="_97_207COSRP11.xls__97_207C_137"/>
      <sheetName val="_97_207COSRP11.xls__97_207C_138"/>
      <sheetName val="_97_207COSRP11.xls__97_207C_139"/>
      <sheetName val="_97_207COSRP11.xls__97_207C_140"/>
      <sheetName val="_97_207COSRP11.xls_B_________58"/>
      <sheetName val="_97_207COSRP11.xls__97_207C_141"/>
      <sheetName val="_97_207COSRP11.xls_B_________59"/>
      <sheetName val="_97_207COSRP11.xls_B_________60"/>
      <sheetName val="_97_207COSRP11.xls__97_207C_142"/>
      <sheetName val="_97_207COSRP11.xls__97_207C_143"/>
      <sheetName val="_97_207COSRP11.xls__97_207C_144"/>
      <sheetName val="_97_207COSRP11.xls__97_207C_145"/>
      <sheetName val="_97_207COSRP11.xls__97_207C_223"/>
      <sheetName val="_97_207COSRP11.xls_B_________88"/>
      <sheetName val="_97_207COSRP11.xls__97_207C_224"/>
      <sheetName val="_97_207COSRP11.xls__97_207C_162"/>
      <sheetName val="_97_207COSRP11.xls__97_207C_150"/>
      <sheetName val="_97_207COSRP11.xls__97_207C_151"/>
      <sheetName val="_97_207COSRP11.xls__97_207C_152"/>
      <sheetName val="_97_207COSRP11.xls__97_207C_153"/>
      <sheetName val="_97_207COSRP11.xls_B_________63"/>
      <sheetName val="_97_207COSRP11.xls_B_________64"/>
      <sheetName val="_97_207COSRP11.xls__97_207C_156"/>
      <sheetName val="_97_207COSRP11.xls__97_207C_154"/>
      <sheetName val="_97_207COSRP11.xls__97_207C_155"/>
      <sheetName val="_97_207COSRP11.xls__97_207C_157"/>
      <sheetName val="_97_207COSRP11.xls__97_207C_158"/>
      <sheetName val="_97_207COSRP11.xls__97_207C_159"/>
      <sheetName val="_97_207COSRP11.xls_B_________65"/>
      <sheetName val="_97_207COSRP11.xls__97_207C_160"/>
      <sheetName val="_97_207COSRP11.xls_B_________66"/>
      <sheetName val="_97_207COSRP11.xls__97_207C_161"/>
      <sheetName val="_97_207COSRP11.xls__97_207C_163"/>
      <sheetName val="_97_207COSRP11.xls_B_________67"/>
      <sheetName val="_97_207COSRP11.xls__97_207C_164"/>
      <sheetName val="_97_207COSRP11.xls_B_________68"/>
      <sheetName val="_97_207COSRP11.xls__97_207C_165"/>
      <sheetName val="_97_207COSRP11.xls__97_207C_166"/>
      <sheetName val="_97_207COSRP11.xls_B_________69"/>
      <sheetName val="_97_207COSRP11.xls__97_207C_167"/>
      <sheetName val="_97_207COSRP11.xls__97_207C_168"/>
      <sheetName val="_97_207COSRP11.xls_B_________70"/>
      <sheetName val="_97_207COSRP11.xls__97_207C_169"/>
      <sheetName val="_97_207COSRP11.xls_B_________71"/>
      <sheetName val="_97_207COSRP11.xls__97_207C_170"/>
      <sheetName val="_97_207COSRP11.xls__97_207C_171"/>
      <sheetName val="_97_207COSRP11.xls__97_207C_173"/>
      <sheetName val="_97_207COSRP11.xls_B_________72"/>
      <sheetName val="_97_207COSRP11.xls__97_207C_174"/>
      <sheetName val="_97_207COSRP11.xls__97_207C_172"/>
      <sheetName val="_97_207COSRP11.xls_B_________76"/>
      <sheetName val="_97_207COSRP11.xls__97_207C_182"/>
      <sheetName val="_97_207COSRP11.xls__97_207C_185"/>
      <sheetName val="_97_207COSRP11.xls__97_207C_183"/>
      <sheetName val="_97_207COSRP11.xls__97_207C_175"/>
      <sheetName val="_97_207COSRP11.xls__97_207C_176"/>
      <sheetName val="_97_207COSRP11.xls_B_________73"/>
      <sheetName val="_97_207COSRP11.xls__97_207C_177"/>
      <sheetName val="_97_207COSRP11.xls__97_207C_179"/>
      <sheetName val="_97_207COSRP11.xls_B_________74"/>
      <sheetName val="_97_207COSRP11.xls__97_207C_180"/>
      <sheetName val="_97_207COSRP11.xls__97_207C_178"/>
      <sheetName val="_97_207COSRP11.xls_B_________75"/>
      <sheetName val="_97_207COSRP11.xls__97_207C_181"/>
      <sheetName val="_97_207COSRP11.xls__97_207C_184"/>
      <sheetName val="_97_207COSRP11.xls__97_207C_186"/>
      <sheetName val="_97_207COSRP11.xls_B_________77"/>
      <sheetName val="_97_207COSRP11.xls_B_________78"/>
      <sheetName val="_97_207COSRP11.xls__97_207C_189"/>
      <sheetName val="_97_207COSRP11.xls__97_207C_187"/>
      <sheetName val="_97_207COSRP11.xls__97_207C_188"/>
      <sheetName val="_97_207COSRP11.xls__97_207C_190"/>
      <sheetName val="_97_207COSRP11.xls__97_207C_191"/>
      <sheetName val="_97_207COSRP11.xls__97_207C_196"/>
      <sheetName val="_97_207COSRP11.xls_B_________81"/>
      <sheetName val="_97_207COSRP11.xls__97_207C_197"/>
      <sheetName val="_97_207COSRP11.xls__97_207C_200"/>
      <sheetName val="_97_207COSRP11.xls__97_207C_198"/>
      <sheetName val="_97_207COSRP11.xls_B_________82"/>
      <sheetName val="_97_207COSRP11.xls__97_207C_201"/>
      <sheetName val="_97_207COSRP11.xls__97_207C_199"/>
      <sheetName val="_97_207COSRP11.xls__97_207C_192"/>
      <sheetName val="_97_207COSRP11.xls_B_________79"/>
      <sheetName val="_97_207COSRP11.xls__97_207C_193"/>
      <sheetName val="_97_207COSRP11.xls__97_207C_194"/>
      <sheetName val="_97_207COSRP11.xls_B_________80"/>
      <sheetName val="_97_207COSRP11.xls__97_207C_195"/>
      <sheetName val="_97_207COSRP11.xls_B_________83"/>
      <sheetName val="_97_207COSRP11.xls__97_207C_202"/>
      <sheetName val="_97_207COSRP11.xls__97_207C_210"/>
      <sheetName val="_97_207COSRP11.xls__97_207C_211"/>
      <sheetName val="_97_207COSRP11.xls__97_207C_212"/>
      <sheetName val="_97_207COSRP11.xls__97_207C_213"/>
      <sheetName val="_97_207COSRP11.xls__97_207C_204"/>
      <sheetName val="_97_207COSRP11.xls_B_________84"/>
      <sheetName val="_97_207COSRP11.xls__97_207C_205"/>
      <sheetName val="_97_207COSRP11.xls__97_207C_203"/>
      <sheetName val="_97_207COSRP11.xls__97_207C_206"/>
      <sheetName val="_97_207COSRP11.xls__97_207C_207"/>
      <sheetName val="_97_207COSRP11.xls__97_207C_208"/>
      <sheetName val="_97_207COSRP11.xls__97_207C_209"/>
      <sheetName val="_97_207COSRP11.xls__97_207C_214"/>
      <sheetName val="_97_207COSRP11.xls__97_207C_215"/>
      <sheetName val="_97_207COSRP11.xls_B_________85"/>
      <sheetName val="_97_207COSRP11.xls__97_207C_216"/>
      <sheetName val="_97_207COSRP11.xls__97_207C_218"/>
      <sheetName val="_97_207COSRP11.xls_B_________86"/>
      <sheetName val="_97_207COSRP11.xls__97_207C_219"/>
      <sheetName val="_97_207COSRP11.xls__97_207C_217"/>
      <sheetName val="_97_207COSRP11.xls_B_________87"/>
      <sheetName val="_97_207COSRP11.xls__97_207C_220"/>
      <sheetName val="_97_207COSRP11.xls__97_207C_221"/>
      <sheetName val="_97_207COSRP11.xls__97_207C_222"/>
      <sheetName val="_97_207COSRP11.xls_B_________89"/>
      <sheetName val="_97_207COSRP11.xls__97_207C_225"/>
      <sheetName val="_97_207COSRP11.xls__97_207C_226"/>
      <sheetName val="_97_207COSRP11.xls_B_________97"/>
      <sheetName val="_97_207COSRP11.xls__97_207C_246"/>
      <sheetName val="_97_207COSRP11.xls__97_207C_244"/>
      <sheetName val="_97_207COSRP11.xls__97_207C_227"/>
      <sheetName val="_97_207COSRP11.xls_B_________90"/>
      <sheetName val="_97_207COSRP11.xls__97_207C_228"/>
      <sheetName val="_97_207COSRP11.xls__97_207C_231"/>
      <sheetName val="_97_207COSRP11.xls__97_207C_229"/>
      <sheetName val="_97_207COSRP11.xls_B_________91"/>
      <sheetName val="_97_207COSRP11.xls__97_207C_232"/>
      <sheetName val="_97_207COSRP11.xls__97_207C_230"/>
      <sheetName val="_97_207COSRP11.xls__97_207C_237"/>
      <sheetName val="_97_207COSRP11.xls_B_________94"/>
      <sheetName val="_97_207COSRP11.xls__97_207C_238"/>
      <sheetName val="_97_207COSRP11.xls__97_207C_239"/>
      <sheetName val="_97_207COSRP11.xls_B_________95"/>
      <sheetName val="_97_207COSRP11.xls__97_207C_240"/>
      <sheetName val="_97_207COSRP11.xls__97_207C_233"/>
      <sheetName val="_97_207COSRP11.xls_B_________92"/>
      <sheetName val="_97_207COSRP11.xls__97_207C_234"/>
      <sheetName val="_97_207COSRP11.xls__97_207C_235"/>
      <sheetName val="_97_207COSRP11.xls_B_________93"/>
      <sheetName val="_97_207COSRP11.xls__97_207C_236"/>
      <sheetName val="_97_207COSRP11.xls__97_207C_247"/>
      <sheetName val="_97_207COSRP11.xls__97_207C_248"/>
      <sheetName val="_97_207COSRP11.xls__97_207C_249"/>
      <sheetName val="_97_207COSRP11.xls__97_207C_250"/>
      <sheetName val="_97_207COSRP11.xls__97_207C_251"/>
      <sheetName val="_97_207COSRP11.xls__97_207C_252"/>
      <sheetName val="_97_207COSRP11.xls_B_________99"/>
      <sheetName val="_97_207COSRP11.xls__97_207C_253"/>
      <sheetName val="_97_207COSRP11.xls__97_207C_254"/>
      <sheetName val="_97_207COSRP11.xls_B_________98"/>
      <sheetName val="_97_207COSRP11.xls__97_207C_255"/>
      <sheetName val="_97_207COSRP11.xls_B________100"/>
      <sheetName val="_97_207COSRP11.xls__97_207C_256"/>
      <sheetName val="_97_207COSRP11.xls__97_207C_258"/>
      <sheetName val="_97_207COSRP11.xls_B________101"/>
      <sheetName val="_97_207COSRP11.xls__97_207C_259"/>
      <sheetName val="_97_207COSRP11.xls__97_207C_257"/>
      <sheetName val="_97_207COSRP11.xls__97_207C_260"/>
      <sheetName val="_97_207COSRP11.xls_B________102"/>
      <sheetName val="_97_207COSRP11.xls__97_207C_261"/>
      <sheetName val="_97_207COSRP11.xls__97_207C_264"/>
      <sheetName val="_97_207COSRP11.xls__97_207C_262"/>
      <sheetName val="_97_207COSRP11.xls_B________103"/>
      <sheetName val="_97_207COSRP11.xls__97_207C_265"/>
      <sheetName val="_97_207COSRP11.xls__97_207C_263"/>
      <sheetName val="_97_207COSRP11.xls__97_207C_270"/>
      <sheetName val="_97_207COSRP11.xls__97_207C_271"/>
      <sheetName val="_97_207COSRP11.xls__97_207C_266"/>
      <sheetName val="_97_207COSRP11.xls__97_207C_267"/>
      <sheetName val="_97_207COSRP11.xls__97_207C_268"/>
      <sheetName val="_97_207COSRP11.xls__97_207C_269"/>
      <sheetName val="_97_207COSRP11.xls__97_207C_272"/>
      <sheetName val="_97_207COSRP11.xls_B________104"/>
      <sheetName val="_97_207COSRP11.xls__97_207C_273"/>
      <sheetName val="_97_207COSRP11.xls__97_207C_276"/>
      <sheetName val="_97_207COSRP11.xls__97_207C_277"/>
      <sheetName val="_97_207COSRP11.xls_B________105"/>
      <sheetName val="_97_207COSRP11.xls_B________106"/>
      <sheetName val="_97_207COSRP11.xls__97_207C_280"/>
      <sheetName val="_97_207COSRP11.xls__97_207C_278"/>
      <sheetName val="_97_207COSRP11.xls__97_207C_279"/>
      <sheetName val="_97_207COSRP11.xls__97_207C_281"/>
      <sheetName val="_97_207COSRP11.xls__97_207C_274"/>
      <sheetName val="_97_207COSRP11.xls__97_207C_275"/>
      <sheetName val="_97_207COSRP11.xls__97_207C_282"/>
      <sheetName val="_97_207COSRP11.xls__97_207C_283"/>
      <sheetName val="_97_207COSRP11.xls__97_207C_284"/>
      <sheetName val="_97_207COSRP11.xls_B________107"/>
      <sheetName val="_97_207COSRP11.xls__97_207C_285"/>
      <sheetName val="_97_207COSRP11.xls__97_207C_306"/>
      <sheetName val="_97_207COSRP11.xls_B________116"/>
      <sheetName val="_97_207COSRP11.xls__97_207C_307"/>
      <sheetName val="_97_207COSRP11.xls__97_207C_300"/>
      <sheetName val="_97_207COSRP11.xls_B________115"/>
      <sheetName val="_97_207COSRP11.xls__97_207C_301"/>
      <sheetName val="_97_207COSRP11.xls__97_207C_290"/>
      <sheetName val="_97_207COSRP11.xls_B________111"/>
      <sheetName val="_97_207COSRP11.xls__97_207C_291"/>
      <sheetName val="_97_207COSRP11.xls__97_207C_294"/>
      <sheetName val="_97_207COSRP11.xls_B________108"/>
      <sheetName val="_97_207COSRP11.xls__97_207C_292"/>
      <sheetName val="_97_207COSRP11.xls_B________112"/>
      <sheetName val="_97_207COSRP11.xls__97_207C_295"/>
      <sheetName val="_97_207COSRP11.xls__97_207C_293"/>
      <sheetName val="_97_207COSRP11.xls__97_207C_286"/>
      <sheetName val="_97_207COSRP11.xls_B________109"/>
      <sheetName val="_97_207COSRP11.xls__97_207C_287"/>
      <sheetName val="_97_207COSRP11.xls__97_207C_288"/>
      <sheetName val="_97_207COSRP11.xls_B________110"/>
      <sheetName val="_97_207COSRP11.xls__97_207C_289"/>
      <sheetName val="_97_207COSRP11.xls_B________113"/>
      <sheetName val="_97_207COSRP11.xls_B________114"/>
      <sheetName val="_97_207COSRP11.xls__97_207C_298"/>
      <sheetName val="_97_207COSRP11.xls__97_207C_296"/>
      <sheetName val="_97_207COSRP11.xls__97_207C_297"/>
      <sheetName val="_97_207COSRP11.xls__97_207C_299"/>
      <sheetName val="_97_207COSRP11.xls__97_207C_302"/>
      <sheetName val="_97_207COSRP11.xls__97_207C_303"/>
      <sheetName val="_97_207COSRP11.xls__97_207C_304"/>
      <sheetName val="_97_207COSRP11.xls__97_207C_305"/>
      <sheetName val="_97_207COSRP11.xls__97_207C_373"/>
      <sheetName val="_97_207COSRP11.xls__97_207C_374"/>
      <sheetName val="_97_207COSRP11.xls__97_207C_343"/>
      <sheetName val="_97_207COSRP11.xls__97_207C_344"/>
      <sheetName val="_97_207COSRP11.xls_B________132"/>
      <sheetName val="_97_207COSRP11.xls_B________133"/>
      <sheetName val="_97_207COSRP11.xls__97_207C_347"/>
      <sheetName val="_97_207COSRP11.xls__97_207C_345"/>
      <sheetName val="_97_207COSRP11.xls__97_207C_346"/>
      <sheetName val="_97_207COSRP11.xls__97_207C_348"/>
      <sheetName val="_97_207COSRP11.xls__97_207C_320"/>
      <sheetName val="_97_207COSRP11.xls_B________123"/>
      <sheetName val="_97_207COSRP11.xls__97_207C_321"/>
      <sheetName val="_97_207COSRP11.xls__97_207C_324"/>
      <sheetName val="_97_207COSRP11.xls__97_207C_322"/>
      <sheetName val="_97_207COSRP11.xls_B________124"/>
      <sheetName val="_97_207COSRP11.xls__97_207C_325"/>
      <sheetName val="_97_207COSRP11.xls__97_207C_323"/>
      <sheetName val="_97_207COSRP11.xls__97_207C_308"/>
      <sheetName val="_97_207COSRP11.xls_B________117"/>
      <sheetName val="_97_207COSRP11.xls__97_207C_309"/>
      <sheetName val="_97_207COSRP11.xls__97_207C_310"/>
      <sheetName val="_97_207COSRP11.xls_B________118"/>
      <sheetName val="_97_207COSRP11.xls__97_207C_311"/>
      <sheetName val="_97_207COSRP11.xls__97_207C_312"/>
      <sheetName val="_97_207COSRP11.xls_B________119"/>
      <sheetName val="_97_207COSRP11.xls__97_207C_313"/>
      <sheetName val="_97_207COSRP11.xls__97_207C_314"/>
      <sheetName val="_97_207COSRP11.xls_B________120"/>
      <sheetName val="_97_207COSRP11.xls__97_207C_315"/>
      <sheetName val="_97_207COSRP11.xls__97_207C_316"/>
      <sheetName val="_97_207COSRP11.xls_B________121"/>
      <sheetName val="_97_207COSRP11.xls__97_207C_317"/>
      <sheetName val="_97_207COSRP11.xls__97_207C_318"/>
      <sheetName val="_97_207COSRP11.xls_B________122"/>
      <sheetName val="_97_207COSRP11.xls__97_207C_319"/>
      <sheetName val="_97_207COSRP11.xls__97_207C_337"/>
      <sheetName val="_97_207COSRP11.xls_B________130"/>
      <sheetName val="_97_207COSRP11.xls__97_207C_338"/>
      <sheetName val="_97_207COSRP11.xls__97_207C_339"/>
      <sheetName val="_97_207COSRP11.xls_B________131"/>
      <sheetName val="_97_207COSRP11.xls__97_207C_340"/>
      <sheetName val="_97_207COSRP11.xls__97_207C_326"/>
      <sheetName val="_97_207COSRP11.xls__97_207C_327"/>
      <sheetName val="_97_207COSRP11.xls__97_207C_328"/>
      <sheetName val="_97_207COSRP11.xls__97_207C_329"/>
      <sheetName val="_97_207COSRP11.xls_B________125"/>
      <sheetName val="_97_207COSRP11.xls__97_207C_333"/>
      <sheetName val="_97_207COSRP11.xls_B________126"/>
      <sheetName val="_97_207COSRP11.xls__97_207C_334"/>
      <sheetName val="_97_207COSRP11.xls_B________128"/>
      <sheetName val="_97_207COSRP11.xls__97_207C_335"/>
      <sheetName val="_97_207COSRP11.xls__97_207C_330"/>
      <sheetName val="_97_207COSRP11.xls__97_207C_331"/>
      <sheetName val="_97_207COSRP11.xls_B________127"/>
      <sheetName val="_97_207COSRP11.xls__97_207C_332"/>
      <sheetName val="_97_207COSRP11.xls_B________129"/>
      <sheetName val="_97_207COSRP11.xls__97_207C_336"/>
      <sheetName val="_97_207COSRP11.xls__97_207C_341"/>
      <sheetName val="_97_207COSRP11.xls__97_207C_342"/>
      <sheetName val="_97_207COSRP11.xls__97_207C_349"/>
      <sheetName val="_97_207COSRP11.xls__97_207C_350"/>
      <sheetName val="_97_207COSRP11.xls_B________134"/>
      <sheetName val="_97_207COSRP11.xls__97_207C_366"/>
      <sheetName val="_97_207COSRP11.xls_B________135"/>
      <sheetName val="_97_207COSRP11.xls__97_207C_367"/>
      <sheetName val="_97_207COSRP11.xls__97_207C_364"/>
      <sheetName val="_97_207COSRP11.xls__97_207C_353"/>
      <sheetName val="_97_207COSRP11.xls_B________136"/>
      <sheetName val="_97_207COSRP11.xls__97_207C_354"/>
      <sheetName val="_97_207COSRP11.xls__97_207C_357"/>
      <sheetName val="_97_207COSRP11.xls__97_207C_351"/>
      <sheetName val="_97_207COSRP11.xls__97_207C_352"/>
      <sheetName val="_97_207COSRP11.xls__97_207C_355"/>
      <sheetName val="_97_207COSRP11.xls_B________137"/>
      <sheetName val="_97_207COSRP11.xls__97_207C_358"/>
      <sheetName val="_97_207COSRP11.xls__97_207C_356"/>
      <sheetName val="_97_207COSRP11.xls_B________138"/>
      <sheetName val="_97_207COSRP11.xls_B________139"/>
      <sheetName val="_97_207COSRP11.xls__97_207C_362"/>
      <sheetName val="_97_207COSRP11.xls__97_207C_359"/>
      <sheetName val="_97_207COSRP11.xls__97_207C_360"/>
      <sheetName val="_97_207COSRP11.xls__97_207C_363"/>
      <sheetName val="_97_207COSRP11.xls__97_207C_361"/>
      <sheetName val="_97_207COSRP11.xls__97_207C_365"/>
      <sheetName val="_97_207COSRP11.xls__97_207C_370"/>
      <sheetName val="_97_207COSRP11.xls_B________143"/>
      <sheetName val="_97_207COSRP11.xls__97_207C_371"/>
      <sheetName val="_97_207COSRP11.xls__97_207C_368"/>
      <sheetName val="_97_207COSRP11.xls_B________140"/>
      <sheetName val="_97_207COSRP11.xls__97_207C_369"/>
      <sheetName val="_97_207COSRP11.xls_B________141"/>
      <sheetName val="_97_207COSRP11.xls_B________142"/>
      <sheetName val="_97_207COSRP11.xls__97_207C_372"/>
      <sheetName val="LIST"/>
      <sheetName val="TGS-TP"/>
      <sheetName val="B@[_x005f_x0000__x005f_x0004_@_x005f_x0000__x0000"/>
      <sheetName val="[97_207COSRP11.xls]B____x005f_x0004_2"/>
      <sheetName val="[97_207COSRP11.xls]B___x005f_x0000__2"/>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std.wt."/>
      <sheetName val="Lintel Beam 104.70 (GF)  "/>
      <sheetName val="PRSH"/>
      <sheetName val="[97_207COSRP11.xls]_97_207_5042"/>
      <sheetName val="[97_207COSRP11.xls]B_______1654"/>
      <sheetName val="[97_207COSRP11.xls]B_______1655"/>
      <sheetName val="[97_207COSRP11.xls]_97_207_5051"/>
      <sheetName val="[97_207COSRP11.xls]_97_207_5043"/>
      <sheetName val="[97_207COSRP11.xls]_97_207_5044"/>
      <sheetName val="[97_207COSRP11.xls]_97_207_5045"/>
      <sheetName val="[97_207COSRP11.xls]_97_207_4747"/>
      <sheetName val="[97_207COSRP11.xls]B_______1562"/>
      <sheetName val="[97_207COSRP11.xls]B_______1563"/>
      <sheetName val="[97_207COSRP11.xls]_97_207_4751"/>
      <sheetName val="[97_207COSRP11.xls]_97_207_4748"/>
      <sheetName val="[97_207COSRP11.xls]_97_207_4749"/>
      <sheetName val="[97_207COSRP11.xls]_97_207_4750"/>
      <sheetName val="TBEAM"/>
      <sheetName val="Vendors"/>
      <sheetName val="[97_207COSRP11.xls]_97_207_3781"/>
      <sheetName val="[97_207COSRP11.xls]_97_207_3782"/>
      <sheetName val="[97_207COSRP11.xls]_97_207_3783"/>
      <sheetName val="[97_207COSRP11.xls]B_______1269"/>
      <sheetName val="[97_207COSRP11.xls]B_______1270"/>
      <sheetName val="[97_207COSRP11.xls]_97_207_3788"/>
      <sheetName val="[97_207COSRP11.xls]_97_207_3784"/>
      <sheetName val="[97_207COSRP11.xls]_97_207_3785"/>
      <sheetName val="[97_207COSRP11.xls]_97_207_3789"/>
      <sheetName val="[97_207COSRP11.xls]B_______1271"/>
      <sheetName val="[97_207COSRP11.xls]_97_207_3786"/>
      <sheetName val="[97_207COSRP11.xls]_97_207_3787"/>
      <sheetName val="[97_207COSRP11.xls]_97_207_3790"/>
      <sheetName val="[97_207COSRP11.xls]_97_207_3759"/>
      <sheetName val="[97_207COSRP11.xls]B_______1135"/>
      <sheetName val="[97_207COSRP11.xls]B_______1136"/>
      <sheetName val="[97_207COSRP11.xls]B_______1137"/>
      <sheetName val="[97_207COSRP11.xls]B_______1134"/>
      <sheetName val="[97_207COSRP11.xls]B_______1147"/>
      <sheetName val="[97_207COSRP11.xls]B_______1148"/>
      <sheetName val="[97_207COSRP11.xls]B_______1149"/>
      <sheetName val="[97_207COSRP11.xls]B_______1138"/>
      <sheetName val="[97_207COSRP11.xls]B_______1139"/>
      <sheetName val="[97_207COSRP11.xls]B_______1140"/>
      <sheetName val="[97_207COSRP11.xls]B_______1141"/>
      <sheetName val="[97_207COSRP11.xls]B_______1142"/>
      <sheetName val="[97_207COSRP11.xls]B_______1143"/>
      <sheetName val="[97_207COSRP11.xls]B_______1144"/>
      <sheetName val="[97_207COSRP11.xls]B_______1145"/>
      <sheetName val="[97_207COSRP11.xls]B_______1146"/>
      <sheetName val="[97_207COSRP11.xls]B_______1150"/>
      <sheetName val="[97_207COSRP11.xls]B_______1151"/>
      <sheetName val="[97_207COSRP11.xls]B_______1152"/>
      <sheetName val="[97_207COSRP11.xls]B_______1153"/>
      <sheetName val="[97_207COSRP11.xls]B_______1154"/>
      <sheetName val="[97_207COSRP11.xls]B_______1155"/>
      <sheetName val="[97_207COSRP11.xls]B_______1159"/>
      <sheetName val="[97_207COSRP11.xls]B_______1160"/>
      <sheetName val="[97_207COSRP11.xls]B_______1161"/>
      <sheetName val="[97_207COSRP11.xls]B_______1156"/>
      <sheetName val="[97_207COSRP11.xls]B_______1157"/>
      <sheetName val="[97_207COSRP11.xls]B_______1158"/>
      <sheetName val="[97_207COSRP11.xls]B_______1162"/>
      <sheetName val="[97_207COSRP11.xls]B_______1163"/>
      <sheetName val="[97_207COSRP11.xls]B_______1164"/>
      <sheetName val="[97_207COSRP11.xls]_97_207_3445"/>
      <sheetName val="[97_207COSRP11.xls]_97_207_3446"/>
      <sheetName val="[97_207COSRP11.xls]_97_207_3447"/>
      <sheetName val="[97_207COSRP11.xls]_97_207_3448"/>
      <sheetName val="[97_207COSRP11.xls]_97_207_3449"/>
      <sheetName val="[97_207COSRP11.xls]_97_207_3450"/>
      <sheetName val="[97_207COSRP11.xls]B_______1165"/>
      <sheetName val="[97_207COSRP11.xls]B_______1166"/>
      <sheetName val="[97_207COSRP11.xls]_97_207_3490"/>
      <sheetName val="[97_207COSRP11.xls]_97_207_3451"/>
      <sheetName val="[97_207COSRP11.xls]_97_207_3452"/>
      <sheetName val="[97_207COSRP11.xls]_97_207_3491"/>
      <sheetName val="[97_207COSRP11.xls]B_______1167"/>
      <sheetName val="[97_207COSRP11.xls]_97_207_3453"/>
      <sheetName val="[97_207COSRP11.xls]_97_207_3454"/>
      <sheetName val="[97_207COSRP11.xls]_97_207_3492"/>
      <sheetName val="[97_207COSRP11.xls]B_______1183"/>
      <sheetName val="[97_207COSRP11.xls]B_______1184"/>
      <sheetName val="[97_207COSRP11.xls]_97_207_3497"/>
      <sheetName val="[97_207COSRP11.xls]_97_207_3493"/>
      <sheetName val="[97_207COSRP11.xls]_97_207_3494"/>
      <sheetName val="[97_207COSRP11.xls]_97_207_3498"/>
      <sheetName val="[97_207COSRP11.xls]B_______1185"/>
      <sheetName val="[97_207COSRP11.xls]_97_207_3495"/>
      <sheetName val="[97_207COSRP11.xls]_97_207_3496"/>
      <sheetName val="[97_207COSRP11.xls]_97_207_3499"/>
      <sheetName val="[97_207COSRP11.xls]_97_207_3456"/>
      <sheetName val="[97_207COSRP11.xls]_97_207_3457"/>
      <sheetName val="[97_207COSRP11.xls]_97_207_3458"/>
      <sheetName val="[97_207COSRP11.xls]B_______1171"/>
      <sheetName val="[97_207COSRP11.xls]B_______1172"/>
      <sheetName val="[97_207COSRP11.xls]_97_207_3459"/>
      <sheetName val="[97_207COSRP11.xls]_97_207_3460"/>
      <sheetName val="[97_207COSRP11.xls]B_______1173"/>
      <sheetName val="[97_207COSRP11.xls]_97_207_3461"/>
      <sheetName val="[97_207COSRP11.xls]_97_207_3462"/>
      <sheetName val="[97_207COSRP11.xls]B_______1168"/>
      <sheetName val="[97_207COSRP11.xls]B_______1169"/>
      <sheetName val="[97_207COSRP11.xls]B_______1170"/>
      <sheetName val="[97_207COSRP11.xls]_97_207_3455"/>
      <sheetName val="[97_207COSRP11.xls]_97_207_3470"/>
      <sheetName val="[97_207COSRP11.xls]_97_207_3471"/>
      <sheetName val="[97_207COSRP11.xls]_97_207_3472"/>
      <sheetName val="[97_207COSRP11.xls]_97_207_3463"/>
      <sheetName val="[97_207COSRP11.xls]_97_207_3464"/>
      <sheetName val="[97_207COSRP11.xls]_97_207_3465"/>
      <sheetName val="[97_207COSRP11.xls]B_______1174"/>
      <sheetName val="[97_207COSRP11.xls]B_______1175"/>
      <sheetName val="[97_207COSRP11.xls]_97_207_3466"/>
      <sheetName val="[97_207COSRP11.xls]_97_207_3467"/>
      <sheetName val="[97_207COSRP11.xls]B_______1176"/>
      <sheetName val="[97_207COSRP11.xls]_97_207_3468"/>
      <sheetName val="[97_207COSRP11.xls]_97_207_3469"/>
      <sheetName val="[97_207COSRP11.xls]_97_207_3473"/>
      <sheetName val="[97_207COSRP11.xls]_97_207_3474"/>
      <sheetName val="[97_207COSRP11.xls]_97_207_3475"/>
      <sheetName val="[97_207COSRP11.xls]_97_207_3476"/>
      <sheetName val="[97_207COSRP11.xls]_97_207_3477"/>
      <sheetName val="[97_207COSRP11.xls]_97_207_3478"/>
      <sheetName val="[97_207COSRP11.xls]B_______1177"/>
      <sheetName val="[97_207COSRP11.xls]B_______1178"/>
      <sheetName val="[97_207COSRP11.xls]_97_207_3479"/>
      <sheetName val="[97_207COSRP11.xls]_97_207_3480"/>
      <sheetName val="[97_207COSRP11.xls]B_______1179"/>
      <sheetName val="[97_207COSRP11.xls]_97_207_3481"/>
      <sheetName val="[97_207COSRP11.xls]_97_207_3482"/>
      <sheetName val="[97_207COSRP11.xls]_97_207_3483"/>
      <sheetName val="[97_207COSRP11.xls]_97_207_3484"/>
      <sheetName val="[97_207COSRP11.xls]_97_207_3485"/>
      <sheetName val="[97_207COSRP11.xls]B_______1180"/>
      <sheetName val="[97_207COSRP11.xls]B_______1181"/>
      <sheetName val="[97_207COSRP11.xls]_97_207_3486"/>
      <sheetName val="[97_207COSRP11.xls]_97_207_3487"/>
      <sheetName val="[97_207COSRP11.xls]B_______1182"/>
      <sheetName val="[97_207COSRP11.xls]_97_207_3488"/>
      <sheetName val="[97_207COSRP11.xls]_97_207_3489"/>
      <sheetName val="[97_207COSRP11.xls]_97_207_3528"/>
      <sheetName val="[97_207COSRP11.xls]_97_207_3529"/>
      <sheetName val="[97_207COSRP11.xls]_97_207_3530"/>
      <sheetName val="[97_207COSRP11.xls]B_______1198"/>
      <sheetName val="[97_207COSRP11.xls]B_______1199"/>
      <sheetName val="[97_207COSRP11.xls]_97_207_3535"/>
      <sheetName val="[97_207COSRP11.xls]_97_207_3531"/>
      <sheetName val="[97_207COSRP11.xls]_97_207_3532"/>
      <sheetName val="[97_207COSRP11.xls]_97_207_3536"/>
      <sheetName val="[97_207COSRP11.xls]B_______1200"/>
      <sheetName val="[97_207COSRP11.xls]_97_207_3533"/>
      <sheetName val="[97_207COSRP11.xls]_97_207_3534"/>
      <sheetName val="[97_207COSRP11.xls]B_______1189"/>
      <sheetName val="[97_207COSRP11.xls]B_______1190"/>
      <sheetName val="[97_207COSRP11.xls]_97_207_3512"/>
      <sheetName val="[97_207COSRP11.xls]_97_207_3506"/>
      <sheetName val="[97_207COSRP11.xls]_97_207_3507"/>
      <sheetName val="[97_207COSRP11.xls]_97_207_3508"/>
      <sheetName val="[97_207COSRP11.xls]_97_207_3513"/>
      <sheetName val="[97_207COSRP11.xls]B_______1191"/>
      <sheetName val="[97_207COSRP11.xls]_97_207_3509"/>
      <sheetName val="[97_207COSRP11.xls]_97_207_3510"/>
      <sheetName val="[97_207COSRP11.xls]_97_207_3511"/>
      <sheetName val="[97_207COSRP11.xls]B_______1186"/>
      <sheetName val="[97_207COSRP11.xls]B_______1187"/>
      <sheetName val="[97_207COSRP11.xls]_97_207_3500"/>
      <sheetName val="[97_207COSRP11.xls]_97_207_3501"/>
      <sheetName val="[97_207COSRP11.xls]_97_207_3502"/>
      <sheetName val="[97_207COSRP11.xls]B_______1188"/>
      <sheetName val="[97_207COSRP11.xls]_97_207_3503"/>
      <sheetName val="[97_207COSRP11.xls]_97_207_3504"/>
      <sheetName val="[97_207COSRP11.xls]_97_207_3505"/>
      <sheetName val="[97_207COSRP11.xls]_97_207_3537"/>
      <sheetName val="[97_207COSRP11.xls]_97_207_3514"/>
      <sheetName val="[97_207COSRP11.xls]_97_207_3515"/>
      <sheetName val="[97_207COSRP11.xls]_97_207_3516"/>
      <sheetName val="[97_207COSRP11.xls]B_______1192"/>
      <sheetName val="[97_207COSRP11.xls]B_______1193"/>
      <sheetName val="[97_207COSRP11.xls]_97_207_3517"/>
      <sheetName val="[97_207COSRP11.xls]_97_207_3518"/>
      <sheetName val="[97_207COSRP11.xls]B_______1194"/>
      <sheetName val="[97_207COSRP11.xls]_97_207_3519"/>
      <sheetName val="[97_207COSRP11.xls]_97_207_3520"/>
      <sheetName val="[97_207COSRP11.xls]_97_207_3521"/>
      <sheetName val="[97_207COSRP11.xls]_97_207_3522"/>
      <sheetName val="[97_207COSRP11.xls]_97_207_3523"/>
      <sheetName val="[97_207COSRP11.xls]B_______1195"/>
      <sheetName val="[97_207COSRP11.xls]B_______1196"/>
      <sheetName val="[97_207COSRP11.xls]_97_207_3524"/>
      <sheetName val="[97_207COSRP11.xls]_97_207_3525"/>
      <sheetName val="[97_207COSRP11.xls]B_______1197"/>
      <sheetName val="[97_207COSRP11.xls]_97_207_3526"/>
      <sheetName val="[97_207COSRP11.xls]_97_207_3527"/>
      <sheetName val="[97_207COSRP11.xls]_97_207_3541"/>
      <sheetName val="[97_207COSRP11.xls]_97_207_3542"/>
      <sheetName val="[97_207COSRP11.xls]_97_207_3543"/>
      <sheetName val="[97_207COSRP11.xls]_97_207_3538"/>
      <sheetName val="[97_207COSRP11.xls]_97_207_3539"/>
      <sheetName val="[97_207COSRP11.xls]_97_207_3540"/>
      <sheetName val="[97_207COSRP11.xls]B_______1201"/>
      <sheetName val="[97_207COSRP11.xls]B_______1202"/>
      <sheetName val="[97_207COSRP11.xls]_97_207_3551"/>
      <sheetName val="[97_207COSRP11.xls]_97_207_3544"/>
      <sheetName val="[97_207COSRP11.xls]_97_207_3545"/>
      <sheetName val="[97_207COSRP11.xls]_97_207_3552"/>
      <sheetName val="[97_207COSRP11.xls]B_______1203"/>
      <sheetName val="[97_207COSRP11.xls]_97_207_3546"/>
      <sheetName val="[97_207COSRP11.xls]_97_207_3547"/>
      <sheetName val="[97_207COSRP11.xls]_97_207_3553"/>
      <sheetName val="[97_207COSRP11.xls]_97_207_3548"/>
      <sheetName val="[97_207COSRP11.xls]_97_207_3549"/>
      <sheetName val="[97_207COSRP11.xls]_97_207_3550"/>
      <sheetName val="[97_207COSRP11.xls]_97_207_3554"/>
      <sheetName val="[97_207COSRP11.xls]_97_207_3555"/>
      <sheetName val="[97_207COSRP11.xls]_97_207_3556"/>
      <sheetName val="[97_207COSRP11.xls]_97_207_3563"/>
      <sheetName val="[97_207COSRP11.xls]_97_207_3564"/>
      <sheetName val="[97_207COSRP11.xls]_97_207_3565"/>
      <sheetName val="[97_207COSRP11.xls]_97_207_3557"/>
      <sheetName val="[97_207COSRP11.xls]_97_207_3558"/>
      <sheetName val="[97_207COSRP11.xls]_97_207_3559"/>
      <sheetName val="[97_207COSRP11.xls]_97_207_3560"/>
      <sheetName val="[97_207COSRP11.xls]_97_207_3561"/>
      <sheetName val="[97_207COSRP11.xls]_97_207_3562"/>
      <sheetName val="[97_207COSRP11.xls]_97_207_3573"/>
      <sheetName val="[97_207COSRP11.xls]_97_207_3574"/>
      <sheetName val="[97_207COSRP11.xls]B_______1207"/>
      <sheetName val="[97_207COSRP11.xls]B_______1208"/>
      <sheetName val="[97_207COSRP11.xls]_97_207_3598"/>
      <sheetName val="[97_207COSRP11.xls]_97_207_3575"/>
      <sheetName val="[97_207COSRP11.xls]_97_207_3576"/>
      <sheetName val="[97_207COSRP11.xls]_97_207_3599"/>
      <sheetName val="[97_207COSRP11.xls]B_______1209"/>
      <sheetName val="[97_207COSRP11.xls]_97_207_3577"/>
      <sheetName val="[97_207COSRP11.xls]_97_207_3578"/>
      <sheetName val="[97_207COSRP11.xls]_97_207_3600"/>
      <sheetName val="[97_207COSRP11.xls]_97_207_3579"/>
      <sheetName val="[97_207COSRP11.xls]_97_207_3566"/>
      <sheetName val="[97_207COSRP11.xls]_97_207_3567"/>
      <sheetName val="[97_207COSRP11.xls]B_______1204"/>
      <sheetName val="[97_207COSRP11.xls]B_______1205"/>
      <sheetName val="[97_207COSRP11.xls]_97_207_3568"/>
      <sheetName val="[97_207COSRP11.xls]_97_207_3569"/>
      <sheetName val="[97_207COSRP11.xls]B_______1206"/>
      <sheetName val="[97_207COSRP11.xls]_97_207_3570"/>
      <sheetName val="[97_207COSRP11.xls]_97_207_3571"/>
      <sheetName val="[97_207COSRP11.xls]_97_207_3572"/>
      <sheetName val="[97_207COSRP11.xls]_97_207_3580"/>
      <sheetName val="[97_207COSRP11.xls]_97_207_3581"/>
      <sheetName val="[97_207COSRP11.xls]_97_207_3582"/>
      <sheetName val="[97_207COSRP11.xls]_97_207_3583"/>
      <sheetName val="[97_207COSRP11.xls]_97_207_3584"/>
      <sheetName val="[97_207COSRP11.xls]_97_207_3585"/>
      <sheetName val="[97_207COSRP11.xls]_97_207_3586"/>
      <sheetName val="[97_207COSRP11.xls]_97_207_3587"/>
      <sheetName val="[97_207COSRP11.xls]_97_207_3588"/>
      <sheetName val="[97_207COSRP11.xls]_97_207_3589"/>
      <sheetName val="[97_207COSRP11.xls]_97_207_3590"/>
      <sheetName val="[97_207COSRP11.xls]_97_207_3591"/>
      <sheetName val="[97_207COSRP11.xls]_97_207_3592"/>
      <sheetName val="[97_207COSRP11.xls]_97_207_3593"/>
      <sheetName val="[97_207COSRP11.xls]_97_207_3594"/>
      <sheetName val="[97_207COSRP11.xls]_97_207_3595"/>
      <sheetName val="[97_207COSRP11.xls]_97_207_3596"/>
      <sheetName val="[97_207COSRP11.xls]_97_207_3597"/>
      <sheetName val="[97_207COSRP11.xls]_97_207_3601"/>
      <sheetName val="[97_207COSRP11.xls]_97_207_3602"/>
      <sheetName val="[97_207COSRP11.xls]_97_207_3603"/>
      <sheetName val="[97_207COSRP11.xls]B_______1210"/>
      <sheetName val="[97_207COSRP11.xls]B_______1211"/>
      <sheetName val="[97_207COSRP11.xls]_97_207_3608"/>
      <sheetName val="[97_207COSRP11.xls]_97_207_3604"/>
      <sheetName val="[97_207COSRP11.xls]_97_207_3605"/>
      <sheetName val="[97_207COSRP11.xls]_97_207_3609"/>
      <sheetName val="[97_207COSRP11.xls]B_______1212"/>
      <sheetName val="[97_207COSRP11.xls]_97_207_3606"/>
      <sheetName val="[97_207COSRP11.xls]_97_207_3607"/>
      <sheetName val="[97_207COSRP11.xls]_97_207_3610"/>
      <sheetName val="[97_207COSRP11.xls]_97_207_3618"/>
      <sheetName val="[97_207COSRP11.xls]_97_207_3619"/>
      <sheetName val="[97_207COSRP11.xls]_97_207_3620"/>
      <sheetName val="[97_207COSRP11.xls]B_______1216"/>
      <sheetName val="[97_207COSRP11.xls]B_______1217"/>
      <sheetName val="[97_207COSRP11.xls]_97_207_3680"/>
      <sheetName val="[97_207COSRP11.xls]_97_207_3621"/>
      <sheetName val="[97_207COSRP11.xls]_97_207_3622"/>
      <sheetName val="[97_207COSRP11.xls]_97_207_3681"/>
      <sheetName val="[97_207COSRP11.xls]B_______1218"/>
      <sheetName val="[97_207COSRP11.xls]_97_207_3623"/>
      <sheetName val="[97_207COSRP11.xls]_97_207_3624"/>
      <sheetName val="[97_207COSRP11.xls]_97_207_3682"/>
      <sheetName val="[97_207COSRP11.xls]_97_207_3611"/>
      <sheetName val="[97_207COSRP11.xls]_97_207_3612"/>
      <sheetName val="[97_207COSRP11.xls]_97_207_3613"/>
      <sheetName val="[97_207COSRP11.xls]B_______1213"/>
      <sheetName val="[97_207COSRP11.xls]B_______1214"/>
      <sheetName val="[97_207COSRP11.xls]_97_207_3614"/>
      <sheetName val="[97_207COSRP11.xls]_97_207_3615"/>
      <sheetName val="[97_207COSRP11.xls]B_______1215"/>
      <sheetName val="[97_207COSRP11.xls]_97_207_3616"/>
      <sheetName val="[97_207COSRP11.xls]_97_207_3617"/>
      <sheetName val="[97_207COSRP11.xls]_97_207_3646"/>
      <sheetName val="[97_207COSRP11.xls]_97_207_3647"/>
      <sheetName val="[97_207COSRP11.xls]_97_207_3648"/>
      <sheetName val="[97_207COSRP11.xls]_97_207_3639"/>
      <sheetName val="[97_207COSRP11.xls]_97_207_3640"/>
      <sheetName val="[97_207COSRP11.xls]_97_207_3641"/>
      <sheetName val="[97_207COSRP11.xls]B_______1225"/>
      <sheetName val="[97_207COSRP11.xls]B_______1226"/>
      <sheetName val="[97_207COSRP11.xls]_97_207_3642"/>
      <sheetName val="[97_207COSRP11.xls]_97_207_3643"/>
      <sheetName val="[97_207COSRP11.xls]B_______1227"/>
      <sheetName val="[97_207COSRP11.xls]_97_207_3644"/>
      <sheetName val="[97_207COSRP11.xls]_97_207_3645"/>
      <sheetName val="[97_207COSRP11.xls]_97_207_3625"/>
      <sheetName val="[97_207COSRP11.xls]_97_207_3626"/>
      <sheetName val="[97_207COSRP11.xls]_97_207_3627"/>
      <sheetName val="[97_207COSRP11.xls]B_______1219"/>
      <sheetName val="[97_207COSRP11.xls]B_______1220"/>
      <sheetName val="[97_207COSRP11.xls]_97_207_3628"/>
      <sheetName val="[97_207COSRP11.xls]_97_207_3629"/>
      <sheetName val="[97_207COSRP11.xls]B_______1221"/>
      <sheetName val="[97_207COSRP11.xls]_97_207_3630"/>
      <sheetName val="[97_207COSRP11.xls]_97_207_3631"/>
      <sheetName val="[97_207COSRP11.xls]_97_207_3632"/>
      <sheetName val="[97_207COSRP11.xls]_97_207_3633"/>
      <sheetName val="[97_207COSRP11.xls]_97_207_3634"/>
      <sheetName val="[97_207COSRP11.xls]B_______1222"/>
      <sheetName val="[97_207COSRP11.xls]B_______1223"/>
      <sheetName val="[97_207COSRP11.xls]_97_207_3635"/>
      <sheetName val="[97_207COSRP11.xls]_97_207_3636"/>
      <sheetName val="[97_207COSRP11.xls]B_______1224"/>
      <sheetName val="[97_207COSRP11.xls]_97_207_3637"/>
      <sheetName val="[97_207COSRP11.xls]_97_207_3638"/>
      <sheetName val="[97_207COSRP11.xls]_97_207_3649"/>
      <sheetName val="[97_207COSRP11.xls]_97_207_3650"/>
      <sheetName val="[97_207COSRP11.xls]_97_207_3651"/>
      <sheetName val="[97_207COSRP11.xls]B_______1240"/>
      <sheetName val="[97_207COSRP11.xls]B_______1241"/>
      <sheetName val="[97_207COSRP11.xls]_97_207_3734"/>
      <sheetName val="[97_207COSRP11.xls]_97_207_3683"/>
      <sheetName val="[97_207COSRP11.xls]_97_207_3684"/>
      <sheetName val="[97_207COSRP11.xls]_97_207_3735"/>
      <sheetName val="[97_207COSRP11.xls]B_______1242"/>
      <sheetName val="[97_207COSRP11.xls]_97_207_3685"/>
      <sheetName val="[97_207COSRP11.xls]_97_207_3686"/>
      <sheetName val="[97_207COSRP11.xls]_97_207_3736"/>
      <sheetName val="[97_207COSRP11.xls]_97_207_3652"/>
      <sheetName val="[97_207COSRP11.xls]_97_207_3653"/>
      <sheetName val="[97_207COSRP11.xls]_97_207_3654"/>
      <sheetName val="[97_207COSRP11.xls]B_______1228"/>
      <sheetName val="[97_207COSRP11.xls]B_______1229"/>
      <sheetName val="[97_207COSRP11.xls]_97_207_3655"/>
      <sheetName val="[97_207COSRP11.xls]_97_207_3656"/>
      <sheetName val="[97_207COSRP11.xls]B_______1230"/>
      <sheetName val="[97_207COSRP11.xls]_97_207_3657"/>
      <sheetName val="[97_207COSRP11.xls]_97_207_3658"/>
      <sheetName val="[97_207COSRP11.xls]_97_207_3659"/>
      <sheetName val="[97_207COSRP11.xls]_97_207_3660"/>
      <sheetName val="[97_207COSRP11.xls]_97_207_3661"/>
      <sheetName val="[97_207COSRP11.xls]B_______1231"/>
      <sheetName val="[97_207COSRP11.xls]B_______1232"/>
      <sheetName val="[97_207COSRP11.xls]_97_207_3662"/>
      <sheetName val="[97_207COSRP11.xls]_97_207_3663"/>
      <sheetName val="[97_207COSRP11.xls]B_______1233"/>
      <sheetName val="[97_207COSRP11.xls]_97_207_3664"/>
      <sheetName val="[97_207COSRP11.xls]_97_207_3665"/>
      <sheetName val="[97_207COSRP11.xls]_97_207_3666"/>
      <sheetName val="[97_207COSRP11.xls]_97_207_3667"/>
      <sheetName val="[97_207COSRP11.xls]_97_207_3668"/>
      <sheetName val="[97_207COSRP11.xls]B_______1234"/>
      <sheetName val="[97_207COSRP11.xls]B_______1235"/>
      <sheetName val="[97_207COSRP11.xls]_97_207_3669"/>
      <sheetName val="[97_207COSRP11.xls]_97_207_3670"/>
      <sheetName val="[97_207COSRP11.xls]B_______1236"/>
      <sheetName val="[97_207COSRP11.xls]_97_207_3671"/>
      <sheetName val="[97_207COSRP11.xls]_97_207_3672"/>
      <sheetName val="[97_207COSRP11.xls]_97_207_3673"/>
      <sheetName val="[97_207COSRP11.xls]_97_207_3674"/>
      <sheetName val="[97_207COSRP11.xls]_97_207_3675"/>
      <sheetName val="[97_207COSRP11.xls]B_______1237"/>
      <sheetName val="[97_207COSRP11.xls]B_______1238"/>
      <sheetName val="[97_207COSRP11.xls]_97_207_3676"/>
      <sheetName val="[97_207COSRP11.xls]_97_207_3677"/>
      <sheetName val="[97_207COSRP11.xls]B_______1239"/>
      <sheetName val="[97_207COSRP11.xls]_97_207_3678"/>
      <sheetName val="[97_207COSRP11.xls]_97_207_3679"/>
      <sheetName val="[97_207COSRP11.xls]_97_207_3731"/>
      <sheetName val="[97_207COSRP11.xls]_97_207_3732"/>
      <sheetName val="[97_207COSRP11.xls]_97_207_3733"/>
      <sheetName val="[97_207COSRP11.xls]_97_207_3715"/>
      <sheetName val="[97_207COSRP11.xls]_97_207_3716"/>
      <sheetName val="[97_207COSRP11.xls]_97_207_3717"/>
      <sheetName val="[97_207COSRP11.xls]B_______1255"/>
      <sheetName val="[97_207COSRP11.xls]B_______1256"/>
      <sheetName val="[97_207COSRP11.xls]_97_207_3722"/>
      <sheetName val="[97_207COSRP11.xls]_97_207_3718"/>
      <sheetName val="[97_207COSRP11.xls]_97_207_3719"/>
      <sheetName val="[97_207COSRP11.xls]_97_207_3723"/>
      <sheetName val="[97_207COSRP11.xls]B_______1257"/>
      <sheetName val="[97_207COSRP11.xls]_97_207_3720"/>
      <sheetName val="[97_207COSRP11.xls]_97_207_3721"/>
      <sheetName val="[97_207COSRP11.xls]_97_207_3724"/>
      <sheetName val="[97_207COSRP11.xls]_97_207_3687"/>
      <sheetName val="[97_207COSRP11.xls]_97_207_3688"/>
      <sheetName val="[97_207COSRP11.xls]_97_207_3689"/>
      <sheetName val="[97_207COSRP11.xls]B_______1243"/>
      <sheetName val="[97_207COSRP11.xls]B_______1244"/>
      <sheetName val="[97_207COSRP11.xls]_97_207_3690"/>
      <sheetName val="[97_207COSRP11.xls]_97_207_3691"/>
      <sheetName val="[97_207COSRP11.xls]B_______1245"/>
      <sheetName val="[97_207COSRP11.xls]_97_207_3692"/>
      <sheetName val="[97_207COSRP11.xls]_97_207_3693"/>
      <sheetName val="[97_207COSRP11.xls]_97_207_3694"/>
      <sheetName val="[97_207COSRP11.xls]_97_207_3695"/>
      <sheetName val="[97_207COSRP11.xls]_97_207_3696"/>
      <sheetName val="[97_207COSRP11.xls]B_______1246"/>
      <sheetName val="[97_207COSRP11.xls]B_______1247"/>
      <sheetName val="[97_207COSRP11.xls]_97_207_3697"/>
      <sheetName val="[97_207COSRP11.xls]_97_207_3698"/>
      <sheetName val="[97_207COSRP11.xls]B_______1248"/>
      <sheetName val="[97_207COSRP11.xls]_97_207_3699"/>
      <sheetName val="[97_207COSRP11.xls]_97_207_3700"/>
      <sheetName val="[97_207COSRP11.xls]_97_207_3701"/>
      <sheetName val="[97_207COSRP11.xls]_97_207_3702"/>
      <sheetName val="[97_207COSRP11.xls]_97_207_3703"/>
      <sheetName val="[97_207COSRP11.xls]B_______1249"/>
      <sheetName val="[97_207COSRP11.xls]B_______1250"/>
      <sheetName val="[97_207COSRP11.xls]_97_207_3704"/>
      <sheetName val="[97_207COSRP11.xls]_97_207_3705"/>
      <sheetName val="[97_207COSRP11.xls]B_______1251"/>
      <sheetName val="[97_207COSRP11.xls]_97_207_3706"/>
      <sheetName val="[97_207COSRP11.xls]_97_207_3707"/>
      <sheetName val="[97_207COSRP11.xls]_97_207_3708"/>
      <sheetName val="[97_207COSRP11.xls]_97_207_3709"/>
      <sheetName val="[97_207COSRP11.xls]_97_207_3710"/>
      <sheetName val="[97_207COSRP11.xls]B_______1252"/>
      <sheetName val="[97_207COSRP11.xls]B_______1253"/>
      <sheetName val="[97_207COSRP11.xls]_97_207_3711"/>
      <sheetName val="[97_207COSRP11.xls]_97_207_3712"/>
      <sheetName val="[97_207COSRP11.xls]B_______1254"/>
      <sheetName val="[97_207COSRP11.xls]_97_207_3713"/>
      <sheetName val="[97_207COSRP11.xls]_97_207_3714"/>
      <sheetName val="[97_207COSRP11.xls]_97_207_3725"/>
      <sheetName val="[97_207COSRP11.xls]_97_207_3726"/>
      <sheetName val="[97_207COSRP11.xls]_97_207_3727"/>
      <sheetName val="[97_207COSRP11.xls]_97_207_3728"/>
      <sheetName val="[97_207COSRP11.xls]_97_207_3729"/>
      <sheetName val="[97_207COSRP11.xls]_97_207_3730"/>
      <sheetName val="[97_207COSRP11.xls]_97_207_3750"/>
      <sheetName val="[97_207COSRP11.xls]_97_207_3751"/>
      <sheetName val="[97_207COSRP11.xls]_97_207_3752"/>
      <sheetName val="[97_207COSRP11.xls]B_______1260"/>
      <sheetName val="[97_207COSRP11.xls]B_______1261"/>
      <sheetName val="[97_207COSRP11.xls]_97_207_3743"/>
      <sheetName val="[97_207COSRP11.xls]_97_207_3744"/>
      <sheetName val="[97_207COSRP11.xls]_97_207_3745"/>
      <sheetName val="[97_207COSRP11.xls]_97_207_3746"/>
      <sheetName val="[97_207COSRP11.xls]B_______1262"/>
      <sheetName val="[97_207COSRP11.xls]_97_207_3747"/>
      <sheetName val="[97_207COSRP11.xls]_97_207_3748"/>
      <sheetName val="[97_207COSRP11.xls]_97_207_3749"/>
      <sheetName val="[97_207COSRP11.xls]_97_207_3737"/>
      <sheetName val="[97_207COSRP11.xls]_97_207_3738"/>
      <sheetName val="[97_207COSRP11.xls]_97_207_3739"/>
      <sheetName val="[97_207COSRP11.xls]B_______1258"/>
      <sheetName val="[97_207COSRP11.xls]B_______1259"/>
      <sheetName val="[97_207COSRP11.xls]_97_207_3740"/>
      <sheetName val="[97_207COSRP11.xls]_97_207_3741"/>
      <sheetName val="[97_207COSRP11.xls]_97_207_3742"/>
      <sheetName val="[97_207COSRP11.xls]_97_207_3753"/>
      <sheetName val="[97_207COSRP11.xls]_97_207_3754"/>
      <sheetName val="[97_207COSRP11.xls]_97_207_3755"/>
      <sheetName val="[97_207COSRP11.xls]_97_207_3756"/>
      <sheetName val="[97_207COSRP11.xls]_97_207_3757"/>
      <sheetName val="[97_207COSRP11.xls]_97_207_3758"/>
      <sheetName val="[97_207COSRP11.xls]_97_207_3760"/>
      <sheetName val="[97_207COSRP11.xls]_97_207_3761"/>
      <sheetName val="[97_207COSRP11.xls]_97_207_3762"/>
      <sheetName val="[97_207COSRP11.xls]_97_207_3763"/>
      <sheetName val="[97_207COSRP11.xls]B_______1263"/>
      <sheetName val="[97_207COSRP11.xls]B_______1264"/>
      <sheetName val="[97_207COSRP11.xls]_97_207_3768"/>
      <sheetName val="[97_207COSRP11.xls]_97_207_3764"/>
      <sheetName val="[97_207COSRP11.xls]_97_207_3765"/>
      <sheetName val="[97_207COSRP11.xls]_97_207_3769"/>
      <sheetName val="[97_207COSRP11.xls]B_______1265"/>
      <sheetName val="[97_207COSRP11.xls]_97_207_3766"/>
      <sheetName val="[97_207COSRP11.xls]_97_207_3767"/>
      <sheetName val="[97_207COSRP11.xls]_97_207_3770"/>
      <sheetName val="[97_207COSRP11.xls]_97_207_3771"/>
      <sheetName val="[97_207COSRP11.xls]_97_207_3772"/>
      <sheetName val="[97_207COSRP11.xls]_97_207_3773"/>
      <sheetName val="[97_207COSRP11.xls]B_______1266"/>
      <sheetName val="[97_207COSRP11.xls]B_______1267"/>
      <sheetName val="[97_207COSRP11.xls]_97_207_3778"/>
      <sheetName val="[97_207COSRP11.xls]_97_207_3774"/>
      <sheetName val="[97_207COSRP11.xls]_97_207_3775"/>
      <sheetName val="[97_207COSRP11.xls]_97_207_3779"/>
      <sheetName val="[97_207COSRP11.xls]B_______1268"/>
      <sheetName val="[97_207COSRP11.xls]_97_207_3776"/>
      <sheetName val="[97_207COSRP11.xls]_97_207_3777"/>
      <sheetName val="[97_207COSRP11.xls]_97_207_3780"/>
      <sheetName val="[97_207COSRP11.xls]_97_207_3791"/>
      <sheetName val="[97_207COSRP11.xls]_97_207_3792"/>
      <sheetName val="[97_207COSRP11.xls]B_______1294"/>
      <sheetName val="[97_207COSRP11.xls]B_______1295"/>
      <sheetName val="[97_207COSRP11.xls]_97_207_3814"/>
      <sheetName val="[97_207COSRP11.xls]_97_207_3810"/>
      <sheetName val="[97_207COSRP11.xls]_97_207_3811"/>
      <sheetName val="[97_207COSRP11.xls]_97_207_3812"/>
      <sheetName val="[97_207COSRP11.xls]_97_207_3813"/>
      <sheetName val="[97_207COSRP11.xls]_97_207_3815"/>
      <sheetName val="[97_207COSRP11.xls]B_______1280"/>
      <sheetName val="Brickwork "/>
      <sheetName val="SPILL OVER"/>
      <sheetName val="First Floor "/>
      <sheetName val="BP"/>
      <sheetName val="[97_207COSRP11.xls]_97_207_3797"/>
      <sheetName val="[97_207COSRP11.xls]B_______1281"/>
      <sheetName val="[97_207COSRP11.xls]_97_207_3798"/>
      <sheetName val="[97_207COSRP11.xls]B_______1272"/>
      <sheetName val="[97_207COSRP11.xls]_97_207_3793"/>
      <sheetName val="[97_207COSRP11.xls]B_______1273"/>
      <sheetName val="[97_207COSRP11.xls]B_______1274"/>
      <sheetName val="[97_207COSRP11.xls]_97_207_3794"/>
      <sheetName val="[97_207COSRP11.xls]B_______1275"/>
      <sheetName val="[97_207COSRP11.xls]B_______1276"/>
      <sheetName val="[97_207COSRP11.xls]_97_207_3795"/>
      <sheetName val="[97_207COSRP11.xls]B_______1277"/>
      <sheetName val="[97_207COSRP11.xls]B_______1278"/>
      <sheetName val="[97_207COSRP11.xls]_97_207_3796"/>
      <sheetName val="[97_207COSRP11.xls]B_______1279"/>
      <sheetName val="[97_207COSRP11.xls]B_______1284"/>
      <sheetName val="[97_207COSRP11.xls]B_______1285"/>
      <sheetName val="[97_207COSRP11.xls]_97_207_3801"/>
      <sheetName val="[97_207COSRP11.xls]_97_207_3800"/>
      <sheetName val="[97_207COSRP11.xls]B_______1282"/>
      <sheetName val="[97_207COSRP11.xls]B_______1283"/>
      <sheetName val="[97_207COSRP11.xls]_97_207_3799"/>
      <sheetName val="[97_207COSRP11.xls]_97_207_3803"/>
      <sheetName val="[97_207COSRP11.xls]B_______1288"/>
      <sheetName val="[97_207COSRP11.xls]B_______1289"/>
      <sheetName val="[97_207COSRP11.xls]_97_207_3805"/>
      <sheetName val="[97_207COSRP11.xls]_97_207_3802"/>
      <sheetName val="[97_207COSRP11.xls]B_______1286"/>
      <sheetName val="[97_207COSRP11.xls]B_______1287"/>
      <sheetName val="[97_207COSRP11.xls]_97_207_3804"/>
      <sheetName val="[97_207COSRP11.xls]B_______1290"/>
      <sheetName val="[97_207COSRP11.xls]B_______1291"/>
      <sheetName val="[97_207COSRP11.xls]B_______1292"/>
      <sheetName val="[97_207COSRP11.xls]B_______1293"/>
      <sheetName val="[97_207COSRP11.xls]_97_207_3806"/>
      <sheetName val="[97_207COSRP11.xls]_97_207_3807"/>
      <sheetName val="[97_207COSRP11.xls]_97_207_3808"/>
      <sheetName val="[97_207COSRP11.xls]_97_207_3809"/>
      <sheetName val="[97_207COSRP11.xls]B_______1296"/>
      <sheetName val="[97_207COSRP11.xls]B_______1297"/>
      <sheetName val="[97_207COSRP11.xls]_97_207_3820"/>
      <sheetName val="[97_207COSRP11.xls]_97_207_3816"/>
      <sheetName val="[97_207COSRP11.xls]_97_207_3817"/>
      <sheetName val="[97_207COSRP11.xls]B_______1298"/>
      <sheetName val="[97_207COSRP11.xls]B_______1299"/>
      <sheetName val="[97_207COSRP11.xls]_97_207_3826"/>
      <sheetName val="[97_207COSRP11.xls]_97_207_3821"/>
      <sheetName val="[97_207COSRP11.xls]_97_207_3822"/>
      <sheetName val="[97_207COSRP11.xls]_97_207_3823"/>
      <sheetName val="[97_207COSRP11.xls]_97_207_3827"/>
      <sheetName val="[97_207COSRP11.xls]_97_207_3818"/>
      <sheetName val="[97_207COSRP11.xls]_97_207_3819"/>
      <sheetName val="[97_207COSRP11.xls]B_______1300"/>
      <sheetName val="[97_207COSRP11.xls]B_______1301"/>
      <sheetName val="[97_207COSRP11.xls]_97_207_3829"/>
      <sheetName val="[97_207COSRP11.xls]_97_207_3824"/>
      <sheetName val="[97_207COSRP11.xls]_97_207_3825"/>
      <sheetName val="[97_207COSRP11.xls]_97_207_3828"/>
      <sheetName val="RCC-Rates"/>
      <sheetName val="[97_207COSRP11.xls]_97_207_3830"/>
      <sheetName val="I_x0016__x0000__x000b__x0000__x0014__x0000__x000c__x0000__x000e__x0000_"/>
      <sheetName val="_x0000__x001e__x0000__x0010__x0000__x0013__x0000__x0017__x0000__x0014__x0000__x0016_"/>
      <sheetName val="[97_207COSRP11.xls]B____x005f_x0004_3"/>
      <sheetName val="[97_207COSRP11.xls]B___x005f_x0000__3"/>
      <sheetName val="[97_207COSRP11.xls]B____x005f_x0004_4"/>
      <sheetName val="[97_207COSRP11.xls]B___x005f_x0000__4"/>
      <sheetName val="[97_207COSRP11.xls]B____x005f_x0004_5"/>
      <sheetName val="[97_207COSRP11.xls]B___x005f_x0000__5"/>
      <sheetName val="[97_207COSRP11.xls]B____x005f_x0004_7"/>
      <sheetName val="[97_207COSRP11.xls]B___x005f_x0000__7"/>
      <sheetName val="[97_207COSRP11.xls]B____x005f_x0004_6"/>
      <sheetName val="[97_207COSRP11.xls]B___x005f_x0000__6"/>
      <sheetName val="[97_207COSRP11.xls]B____x005f_x0004_8"/>
      <sheetName val="[97_207COSRP11.xls]B___x005f_x0000__8"/>
      <sheetName val="[97_207COSRP11.xls]B____x005f_x0004_9"/>
      <sheetName val="[97_207COSRP11.xls]B___x005f_x0000__9"/>
      <sheetName val="[97_207COSRP11.xls]B____x000_12"/>
      <sheetName val="[97_207COSRP11.xls]B___x005f_x0000_12"/>
      <sheetName val="[97_207COSRP11.xls]B____x000_10"/>
      <sheetName val="[97_207COSRP11.xls]B___x005f_x0000_10"/>
      <sheetName val="[97_207COSRP11.xls]B____x000_11"/>
      <sheetName val="[97_207COSRP11.xls]B___x005f_x0000_11"/>
      <sheetName val="[97_207COSRP11.xls]B____x000_14"/>
      <sheetName val="[97_207COSRP11.xls]B___x005f_x0000_14"/>
      <sheetName val="[97_207COSRP11.xls]B____x000_13"/>
      <sheetName val="[97_207COSRP11.xls]B___x005f_x0000_13"/>
      <sheetName val="[97_207COSRP11.xls]B____x000_15"/>
      <sheetName val="[97_207COSRP11.xls]B___x005f_x0000_15"/>
      <sheetName val="[97_207COSRP11.xls]B____x000_16"/>
      <sheetName val="[97_207COSRP11.xls]B___x005f_x0000_16"/>
      <sheetName val="[97_207COSRP11.xls]B____x000_17"/>
      <sheetName val="[97_207COSRP11.xls]B___x005f_x0000_17"/>
      <sheetName val="[97_207COSRP11.xls]B____x000_18"/>
      <sheetName val="[97_207COSRP11.xls]B___x005f_x0000_18"/>
      <sheetName val="[97_207COSRP11.xls]B____x000_19"/>
      <sheetName val="[97_207COSRP11.xls]B___x005f_x0000_19"/>
      <sheetName val="ANNEX-2-SUMMARY OF SWGR &amp; CTRL "/>
      <sheetName val="[97_207COSRP11.xls]_97_207_4507"/>
      <sheetName val="[97_207COSRP11.xls]_97_207_4508"/>
      <sheetName val="[97_207COSRP11.xls]_97_207_4509"/>
      <sheetName val="[97_207COSRP11.xls]B_______1481"/>
      <sheetName val="[97_207COSRP11.xls]B_______1482"/>
      <sheetName val="[97_207COSRP11.xls]_97_207_4514"/>
      <sheetName val="[97_207COSRP11.xls]_97_207_4510"/>
      <sheetName val="[97_207COSRP11.xls]_97_207_4511"/>
      <sheetName val="[97_207COSRP11.xls]_97_207_4515"/>
      <sheetName val="[97_207COSRP11.xls]B_______1483"/>
      <sheetName val="[97_207COSRP11.xls]_97_207_4512"/>
      <sheetName val="[97_207COSRP11.xls]_97_207_4513"/>
      <sheetName val="[97_207COSRP11.xls]_97_207_4516"/>
      <sheetName val="[97_207COSRP11.xls]_97_207_4093"/>
      <sheetName val="[97_207COSRP11.xls]_97_207_4094"/>
      <sheetName val="[97_207COSRP11.xls]_97_207_4095"/>
      <sheetName val="[97_207COSRP11.xls]B_______1367"/>
      <sheetName val="[97_207COSRP11.xls]B_______1368"/>
      <sheetName val="[97_207COSRP11.xls]_97_207_4096"/>
      <sheetName val="[97_207COSRP11.xls]_97_207_4097"/>
      <sheetName val="[97_207COSRP11.xls]B_______1369"/>
      <sheetName val="[97_207COSRP11.xls]_97_207_4098"/>
      <sheetName val="[97_207COSRP11.xls]_97_207_4099"/>
      <sheetName val="[97_207COSRP11.xls]_97_207_4086"/>
      <sheetName val="[97_207COSRP11.xls]_97_207_4087"/>
      <sheetName val="[97_207COSRP11.xls]B_______1364"/>
      <sheetName val="[97_207COSRP11.xls]B_______1365"/>
      <sheetName val="[97_207COSRP11.xls]_97_207_4088"/>
      <sheetName val="[97_207COSRP11.xls]_97_207_4089"/>
      <sheetName val="[97_207COSRP11.xls]B_______1366"/>
      <sheetName val="[97_207COSRP11.xls]_97_207_4090"/>
      <sheetName val="[97_207COSRP11.xls]_97_207_4091"/>
      <sheetName val="[97_207COSRP11.xls]_97_207_4092"/>
      <sheetName val="[97_207COSRP11.xls]_97_207_3840"/>
      <sheetName val="[97_207COSRP11.xls]_97_207_3841"/>
      <sheetName val="[97_207COSRP11.xls]_97_207_3842"/>
      <sheetName val="[97_207COSRP11.xls]_97_207_3831"/>
      <sheetName val="[97_207COSRP11.xls]_97_207_3832"/>
      <sheetName val="[97_207COSRP11.xls]_97_207_3833"/>
      <sheetName val="[97_207COSRP11.xls]_97_207_3834"/>
      <sheetName val="[97_207COSRP11.xls]_97_207_3835"/>
      <sheetName val="[97_207COSRP11.xls]_97_207_3836"/>
      <sheetName val="[97_207COSRP11.xls]_97_207_3837"/>
      <sheetName val="[97_207COSRP11.xls]_97_207_3838"/>
      <sheetName val="[97_207COSRP11.xls]_97_207_3839"/>
      <sheetName val="[97_207COSRP11.xls]_97_207_3843"/>
      <sheetName val="[97_207COSRP11.xls]_97_207_3844"/>
      <sheetName val="[97_207COSRP11.xls]_97_207_3845"/>
      <sheetName val="[97_207COSRP11.xls]_97_207_3853"/>
      <sheetName val="[97_207COSRP11.xls]_97_207_3846"/>
      <sheetName val="[97_207COSRP11.xls]_97_207_3847"/>
      <sheetName val="[97_207COSRP11.xls]_97_207_3848"/>
      <sheetName val="[97_207COSRP11.xls]_97_207_3854"/>
      <sheetName val="[97_207COSRP11.xls]_97_207_3849"/>
      <sheetName val="[97_207COSRP11.xls]_97_207_3850"/>
      <sheetName val="[97_207COSRP11.xls]_97_207_3851"/>
      <sheetName val="[97_207COSRP11.xls]_97_207_3855"/>
      <sheetName val="[97_207COSRP11.xls]_97_207_3852"/>
      <sheetName val="[97_207COSRP11.xls]_97_207_3860"/>
      <sheetName val="[97_207COSRP11.xls]_97_207_3856"/>
      <sheetName val="[97_207COSRP11.xls]_97_207_3857"/>
      <sheetName val="[97_207COSRP11.xls]_97_207_3861"/>
      <sheetName val="[97_207COSRP11.xls]_97_207_3858"/>
      <sheetName val="[97_207COSRP11.xls]_97_207_3859"/>
      <sheetName val="[97_207COSRP11.xls]_97_207_3862"/>
      <sheetName val="[97_207COSRP11.xls]_97_207_3870"/>
      <sheetName val="[97_207COSRP11.xls]_97_207_3863"/>
      <sheetName val="[97_207COSRP11.xls]_97_207_3864"/>
      <sheetName val="[97_207COSRP11.xls]_97_207_3865"/>
      <sheetName val="[97_207COSRP11.xls]_97_207_3871"/>
      <sheetName val="[97_207COSRP11.xls]_97_207_3866"/>
      <sheetName val="[97_207COSRP11.xls]_97_207_3867"/>
      <sheetName val="[97_207COSRP11.xls]_97_207_3868"/>
      <sheetName val="[97_207COSRP11.xls]_97_207_3872"/>
      <sheetName val="[97_207COSRP11.xls]_97_207_3869"/>
      <sheetName val="[97_207COSRP11.xls]_97_207_3873"/>
      <sheetName val="[97_207COSRP11.xls]_97_207_3874"/>
      <sheetName val="[97_207COSRP11.xls]_97_207_3875"/>
      <sheetName val="[97_207COSRP11.xls]_97_207_3883"/>
      <sheetName val="[97_207COSRP11.xls]_97_207_3876"/>
      <sheetName val="[97_207COSRP11.xls]_97_207_3877"/>
      <sheetName val="[97_207COSRP11.xls]_97_207_3884"/>
      <sheetName val="[97_207COSRP11.xls]_97_207_3878"/>
      <sheetName val="[97_207COSRP11.xls]_97_207_3879"/>
      <sheetName val="[97_207COSRP11.xls]_97_207_3885"/>
      <sheetName val="[97_207COSRP11.xls]_97_207_3880"/>
      <sheetName val="[97_207COSRP11.xls]_97_207_3881"/>
      <sheetName val="[97_207COSRP11.xls]_97_207_3882"/>
      <sheetName val="[97_207COSRP11.xls]_97_207_3890"/>
      <sheetName val="[97_207COSRP11.xls]_97_207_3886"/>
      <sheetName val="[97_207COSRP11.xls]_97_207_3887"/>
      <sheetName val="[97_207COSRP11.xls]_97_207_3891"/>
      <sheetName val="[97_207COSRP11.xls]_97_207_3888"/>
      <sheetName val="[97_207COSRP11.xls]_97_207_3889"/>
      <sheetName val="[97_207COSRP11.xls]_97_207_3892"/>
      <sheetName val="[97_207COSRP11.xls]_97_207_3900"/>
      <sheetName val="[97_207COSRP11.xls]_97_207_3893"/>
      <sheetName val="[97_207COSRP11.xls]_97_207_3894"/>
      <sheetName val="[97_207COSRP11.xls]_97_207_3901"/>
      <sheetName val="[97_207COSRP11.xls]_97_207_3895"/>
      <sheetName val="[97_207COSRP11.xls]_97_207_3896"/>
      <sheetName val="[97_207COSRP11.xls]_97_207_3902"/>
      <sheetName val="[97_207COSRP11.xls]_97_207_3897"/>
      <sheetName val="[97_207COSRP11.xls]_97_207_3898"/>
      <sheetName val="[97_207COSRP11.xls]_97_207_3899"/>
      <sheetName val="[97_207COSRP11.xls]_97_207_3903"/>
      <sheetName val="[97_207COSRP11.xls]_97_207_3904"/>
      <sheetName val="[97_207COSRP11.xls]_97_207_3905"/>
      <sheetName val="[97_207COSRP11.xls]_97_207_3906"/>
      <sheetName val="[97_207COSRP11.xls]_97_207_3907"/>
      <sheetName val="[97_207COSRP11.xls]_97_207_3908"/>
      <sheetName val="[97_207COSRP11.xls]_97_207_3909"/>
      <sheetName val="[97_207COSRP11.xls]_97_207_3910"/>
      <sheetName val="[97_207COSRP11.xls]_97_207_3911"/>
      <sheetName val="[97_207COSRP11.xls]_97_207_3919"/>
      <sheetName val="[97_207COSRP11.xls]_97_207_3920"/>
      <sheetName val="[97_207COSRP11.xls]B_______1308"/>
      <sheetName val="[97_207COSRP11.xls]B_______1309"/>
      <sheetName val="[97_207COSRP11.xls]_97_207_3926"/>
      <sheetName val="[97_207COSRP11.xls]_97_207_3921"/>
      <sheetName val="[97_207COSRP11.xls]_97_207_3922"/>
      <sheetName val="[97_207COSRP11.xls]_97_207_3927"/>
      <sheetName val="[97_207COSRP11.xls]B_______1310"/>
      <sheetName val="[97_207COSRP11.xls]_97_207_3923"/>
      <sheetName val="[97_207COSRP11.xls]_97_207_3924"/>
      <sheetName val="[97_207COSRP11.xls]_97_207_3928"/>
      <sheetName val="[97_207COSRP11.xls]_97_207_3925"/>
      <sheetName val="[97_207COSRP11.xls]B_______1302"/>
      <sheetName val="[97_207COSRP11.xls]B_______1303"/>
      <sheetName val="[97_207COSRP11.xls]B_______1304"/>
      <sheetName val="[97_207COSRP11.xls]_97_207_3912"/>
      <sheetName val="[97_207COSRP11.xls]_97_207_3913"/>
      <sheetName val="[97_207COSRP11.xls]B_______1305"/>
      <sheetName val="[97_207COSRP11.xls]B_______1306"/>
      <sheetName val="[97_207COSRP11.xls]_97_207_3914"/>
      <sheetName val="[97_207COSRP11.xls]_97_207_3915"/>
      <sheetName val="[97_207COSRP11.xls]B_______1307"/>
      <sheetName val="[97_207COSRP11.xls]_97_207_3916"/>
      <sheetName val="[97_207COSRP11.xls]_97_207_3917"/>
      <sheetName val="[97_207COSRP11.xls]_97_207_3918"/>
      <sheetName val="[97_207COSRP11.xls]B_______1326"/>
      <sheetName val="[97_207COSRP11.xls]B_______1327"/>
      <sheetName val="[97_207COSRP11.xls]_97_207_3997"/>
      <sheetName val="[97_207COSRP11.xls]_97_207_3990"/>
      <sheetName val="[97_207COSRP11.xls]_97_207_3991"/>
      <sheetName val="[97_207COSRP11.xls]_97_207_3992"/>
      <sheetName val="[97_207COSRP11.xls]_97_207_3998"/>
      <sheetName val="[97_207COSRP11.xls]B_______1328"/>
      <sheetName val="[97_207COSRP11.xls]_97_207_3993"/>
      <sheetName val="[97_207COSRP11.xls]_97_207_3994"/>
      <sheetName val="[97_207COSRP11.xls]_97_207_3995"/>
      <sheetName val="[97_207COSRP11.xls]_97_207_3932"/>
      <sheetName val="[97_207COSRP11.xls]_97_207_3933"/>
      <sheetName val="[97_207COSRP11.xls]_97_207_3934"/>
      <sheetName val="[97_207COSRP11.xls]_97_207_3929"/>
      <sheetName val="[97_207COSRP11.xls]_97_207_3930"/>
      <sheetName val="[97_207COSRP11.xls]_97_207_3931"/>
      <sheetName val="[97_207COSRP11.xls]_97_207_3935"/>
      <sheetName val="[97_207COSRP11.xls]_97_207_3936"/>
      <sheetName val="[97_207COSRP11.xls]B_______1311"/>
      <sheetName val="[97_207COSRP11.xls]B_______1312"/>
      <sheetName val="[97_207COSRP11.xls]_97_207_3945"/>
      <sheetName val="[97_207COSRP11.xls]_97_207_3937"/>
      <sheetName val="[97_207COSRP11.xls]_97_207_3938"/>
      <sheetName val="[97_207COSRP11.xls]_97_207_3946"/>
      <sheetName val="[97_207COSRP11.xls]B_______1313"/>
      <sheetName val="[97_207COSRP11.xls]_97_207_3939"/>
      <sheetName val="[97_207COSRP11.xls]_97_207_3940"/>
      <sheetName val="[97_207COSRP11.xls]_97_207_3947"/>
      <sheetName val="[97_207COSRP11.xls]_97_207_3941"/>
      <sheetName val="[97_207COSRP11.xls]B_______1314"/>
      <sheetName val="[97_207COSRP11.xls]B_______1315"/>
      <sheetName val="[97_207COSRP11.xls]_97_207_3952"/>
      <sheetName val="[97_207COSRP11.xls]_97_207_3948"/>
      <sheetName val="[97_207COSRP11.xls]_97_207_3949"/>
      <sheetName val="[97_207COSRP11.xls]_97_207_3953"/>
      <sheetName val="[97_207COSRP11.xls]B_______1316"/>
      <sheetName val="[97_207COSRP11.xls]_97_207_3950"/>
      <sheetName val="[97_207COSRP11.xls]_97_207_3951"/>
      <sheetName val="[97_207COSRP11.xls]_97_207_3954"/>
      <sheetName val="[97_207COSRP11.xls]_97_207_3942"/>
      <sheetName val="[97_207COSRP11.xls]_97_207_3943"/>
      <sheetName val="[97_207COSRP11.xls]_97_207_3944"/>
      <sheetName val="[97_207COSRP11.xls]_97_207_3958"/>
      <sheetName val="[97_207COSRP11.xls]_97_207_3959"/>
      <sheetName val="[97_207COSRP11.xls]_97_207_3960"/>
      <sheetName val="[97_207COSRP11.xls]_97_207_3955"/>
      <sheetName val="[97_207COSRP11.xls]_97_207_3956"/>
      <sheetName val="[97_207COSRP11.xls]_97_207_3957"/>
      <sheetName val="[97_207COSRP11.xls]_97_207_3967"/>
      <sheetName val="[97_207COSRP11.xls]_97_207_3968"/>
      <sheetName val="[97_207COSRP11.xls]_97_207_3969"/>
      <sheetName val="[97_207COSRP11.xls]_97_207_3961"/>
      <sheetName val="[97_207COSRP11.xls]_97_207_3962"/>
      <sheetName val="[97_207COSRP11.xls]_97_207_3963"/>
      <sheetName val="[97_207COSRP11.xls]_97_207_3964"/>
      <sheetName val="[97_207COSRP11.xls]_97_207_3965"/>
      <sheetName val="[97_207COSRP11.xls]_97_207_3966"/>
      <sheetName val="[97_207COSRP11.xls]B_______1317"/>
      <sheetName val="[97_207COSRP11.xls]B_______1318"/>
      <sheetName val="[97_207COSRP11.xls]_97_207_3970"/>
      <sheetName val="[97_207COSRP11.xls]_97_207_3971"/>
      <sheetName val="[97_207COSRP11.xls]_97_207_3972"/>
      <sheetName val="[97_207COSRP11.xls]B_______1319"/>
      <sheetName val="[97_207COSRP11.xls]_97_207_3973"/>
      <sheetName val="[97_207COSRP11.xls]_97_207_3974"/>
      <sheetName val="[97_207COSRP11.xls]_97_207_3975"/>
      <sheetName val="[97_207COSRP11.xls]_97_207_3996"/>
      <sheetName val="[97_207COSRP11.xls]_97_207_3999"/>
      <sheetName val="[97_207COSRP11.xls]B_______1320"/>
      <sheetName val="[97_207COSRP11.xls]B_______1321"/>
      <sheetName val="[97_207COSRP11.xls]_97_207_3976"/>
      <sheetName val="[97_207COSRP11.xls]_97_207_3977"/>
      <sheetName val="[97_207COSRP11.xls]_97_207_3978"/>
      <sheetName val="[97_207COSRP11.xls]B_______1322"/>
      <sheetName val="[97_207COSRP11.xls]_97_207_3979"/>
      <sheetName val="[97_207COSRP11.xls]_97_207_3980"/>
      <sheetName val="[97_207COSRP11.xls]_97_207_3981"/>
      <sheetName val="[97_207COSRP11.xls]_97_207_3982"/>
      <sheetName val="[97_207COSRP11.xls]B_______1323"/>
      <sheetName val="[97_207COSRP11.xls]B_______1324"/>
      <sheetName val="[97_207COSRP11.xls]_97_207_3983"/>
      <sheetName val="[97_207COSRP11.xls]_97_207_3984"/>
      <sheetName val="[97_207COSRP11.xls]_97_207_3985"/>
      <sheetName val="[97_207COSRP11.xls]B_______1325"/>
      <sheetName val="[97_207COSRP11.xls]_97_207_3986"/>
      <sheetName val="[97_207COSRP11.xls]_97_207_3987"/>
      <sheetName val="[97_207COSRP11.xls]_97_207_3988"/>
      <sheetName val="[97_207COSRP11.xls]_97_207_3989"/>
      <sheetName val="[97_207COSRP11.xls]B_______1343"/>
      <sheetName val="[97_207COSRP11.xls]B_______1344"/>
      <sheetName val="[97_207COSRP11.xls]_97_207_4031"/>
      <sheetName val="[97_207COSRP11.xls]_97_207_4032"/>
      <sheetName val="[97_207COSRP11.xls]_97_207_4033"/>
      <sheetName val="[97_207COSRP11.xls]B_______1329"/>
      <sheetName val="[97_207COSRP11.xls]B_______1330"/>
      <sheetName val="[97_207COSRP11.xls]_97_207_4000"/>
      <sheetName val="[97_207COSRP11.xls]_97_207_4001"/>
      <sheetName val="[97_207COSRP11.xls]_97_207_4002"/>
      <sheetName val="[97_207COSRP11.xls]_97_207_4034"/>
      <sheetName val="[97_207COSRP11.xls]_97_207_4035"/>
      <sheetName val="[97_207COSRP11.xls]B_______1345"/>
      <sheetName val="[97_207COSRP11.xls]_97_207_4036"/>
      <sheetName val="[97_207COSRP11.xls]_97_207_4037"/>
      <sheetName val="[97_207COSRP11.xls]B_______1331"/>
      <sheetName val="[97_207COSRP11.xls]B_______1332"/>
      <sheetName val="[97_207COSRP11.xls]_97_207_4003"/>
      <sheetName val="[97_207COSRP11.xls]_97_207_4004"/>
      <sheetName val="[97_207COSRP11.xls]_97_207_4005"/>
      <sheetName val="[97_207COSRP11.xls]_97_207_4006"/>
      <sheetName val="[97_207COSRP11.xls]_97_207_4007"/>
      <sheetName val="[97_207COSRP11.xls]B_______1333"/>
      <sheetName val="[97_207COSRP11.xls]_97_207_4008"/>
      <sheetName val="[97_207COSRP11.xls]_97_207_4009"/>
      <sheetName val="[97_207COSRP11.xls]B_______1334"/>
      <sheetName val="[97_207COSRP11.xls]B_______1335"/>
      <sheetName val="[97_207COSRP11.xls]_97_207_4010"/>
      <sheetName val="[97_207COSRP11.xls]_97_207_4011"/>
      <sheetName val="[97_207COSRP11.xls]_97_207_4012"/>
      <sheetName val="[97_207COSRP11.xls]_97_207_4013"/>
      <sheetName val="[97_207COSRP11.xls]_97_207_4014"/>
      <sheetName val="[97_207COSRP11.xls]B_______1336"/>
      <sheetName val="[97_207COSRP11.xls]_97_207_4015"/>
      <sheetName val="[97_207COSRP11.xls]_97_207_4016"/>
      <sheetName val="[97_207COSRP11.xls]_97_207_4017"/>
      <sheetName val="[97_207COSRP11.xls]_97_207_4018"/>
      <sheetName val="[97_207COSRP11.xls]_97_207_4019"/>
      <sheetName val="[97_207COSRP11.xls]B_______1337"/>
      <sheetName val="[97_207COSRP11.xls]B_______1338"/>
      <sheetName val="[97_207COSRP11.xls]_97_207_4020"/>
      <sheetName val="[97_207COSRP11.xls]_97_207_4021"/>
      <sheetName val="[97_207COSRP11.xls]B_______1339"/>
      <sheetName val="[97_207COSRP11.xls]_97_207_4022"/>
      <sheetName val="[97_207COSRP11.xls]_97_207_4023"/>
      <sheetName val="[97_207COSRP11.xls]B_______1340"/>
      <sheetName val="[97_207COSRP11.xls]B_______1341"/>
      <sheetName val="[97_207COSRP11.xls]_97_207_4024"/>
      <sheetName val="[97_207COSRP11.xls]_97_207_4025"/>
      <sheetName val="[97_207COSRP11.xls]_97_207_4026"/>
      <sheetName val="[97_207COSRP11.xls]_97_207_4027"/>
      <sheetName val="[97_207COSRP11.xls]_97_207_4028"/>
      <sheetName val="[97_207COSRP11.xls]B_______1342"/>
      <sheetName val="[97_207COSRP11.xls]_97_207_4029"/>
      <sheetName val="[97_207COSRP11.xls]_97_207_4030"/>
      <sheetName val="[97_207COSRP11.xls]_97_207_4038"/>
      <sheetName val="[97_207COSRP11.xls]_97_207_4039"/>
      <sheetName val="[97_207COSRP11.xls]_97_207_4040"/>
      <sheetName val="[97_207COSRP11.xls]_97_207_4041"/>
      <sheetName val="[97_207COSRP11.xls]_97_207_4042"/>
      <sheetName val="[97_207COSRP11.xls]_97_207_4043"/>
      <sheetName val="[97_207COSRP11.xls]B_______1355"/>
      <sheetName val="[97_207COSRP11.xls]B_______1356"/>
      <sheetName val="[97_207COSRP11.xls]_97_207_4065"/>
      <sheetName val="[97_207COSRP11.xls]_97_207_4066"/>
      <sheetName val="[97_207COSRP11.xls]_97_207_4067"/>
      <sheetName val="[97_207COSRP11.xls]_97_207_4068"/>
      <sheetName val="[97_207COSRP11.xls]B_______1357"/>
      <sheetName val="[97_207COSRP11.xls]_97_207_4069"/>
      <sheetName val="[97_207COSRP11.xls]_97_207_4070"/>
      <sheetName val="[97_207COSRP11.xls]_97_207_4071"/>
      <sheetName val="[97_207COSRP11.xls]B_______1346"/>
      <sheetName val="[97_207COSRP11.xls]B_______1347"/>
      <sheetName val="[97_207COSRP11.xls]_97_207_4044"/>
      <sheetName val="[97_207COSRP11.xls]_97_207_4045"/>
      <sheetName val="[97_207COSRP11.xls]_97_207_4046"/>
      <sheetName val="[97_207COSRP11.xls]_97_207_4047"/>
      <sheetName val="[97_207COSRP11.xls]B_______1348"/>
      <sheetName val="[97_207COSRP11.xls]_97_207_4048"/>
      <sheetName val="[97_207COSRP11.xls]_97_207_4049"/>
      <sheetName val="[97_207COSRP11.xls]_97_207_4050"/>
      <sheetName val="[97_207COSRP11.xls]B_______1349"/>
      <sheetName val="[97_207COSRP11.xls]B_______1350"/>
      <sheetName val="[97_207COSRP11.xls]_97_207_4051"/>
      <sheetName val="[97_207COSRP11.xls]_97_207_4052"/>
      <sheetName val="[97_207COSRP11.xls]_97_207_4053"/>
      <sheetName val="[97_207COSRP11.xls]_97_207_4054"/>
      <sheetName val="[97_207COSRP11.xls]B_______1351"/>
      <sheetName val="[97_207COSRP11.xls]_97_207_4055"/>
      <sheetName val="[97_207COSRP11.xls]_97_207_4056"/>
      <sheetName val="[97_207COSRP11.xls]_97_207_4057"/>
      <sheetName val="[97_207COSRP11.xls]B_______1352"/>
      <sheetName val="[97_207COSRP11.xls]B_______1353"/>
      <sheetName val="[97_207COSRP11.xls]_97_207_4058"/>
      <sheetName val="[97_207COSRP11.xls]_97_207_4059"/>
      <sheetName val="[97_207COSRP11.xls]_97_207_4060"/>
      <sheetName val="[97_207COSRP11.xls]_97_207_4061"/>
      <sheetName val="[97_207COSRP11.xls]B_______1354"/>
      <sheetName val="[97_207COSRP11.xls]_97_207_4062"/>
      <sheetName val="[97_207COSRP11.xls]_97_207_4063"/>
      <sheetName val="[97_207COSRP11.xls]_97_207_4064"/>
      <sheetName val="[97_207COSRP11.xls]_97_207_4072"/>
      <sheetName val="[97_207COSRP11.xls]_97_207_4073"/>
      <sheetName val="[97_207COSRP11.xls]B_______1358"/>
      <sheetName val="[97_207COSRP11.xls]B_______1359"/>
      <sheetName val="[97_207COSRP11.xls]_97_207_4074"/>
      <sheetName val="[97_207COSRP11.xls]_97_207_4075"/>
      <sheetName val="[97_207COSRP11.xls]B_______1360"/>
      <sheetName val="[97_207COSRP11.xls]_97_207_4076"/>
      <sheetName val="[97_207COSRP11.xls]_97_207_4077"/>
      <sheetName val="[97_207COSRP11.xls]_97_207_4078"/>
      <sheetName val="[97_207COSRP11.xls]_97_207_4079"/>
      <sheetName val="[97_207COSRP11.xls]_97_207_4080"/>
      <sheetName val="[97_207COSRP11.xls]B_______1361"/>
      <sheetName val="[97_207COSRP11.xls]B_______1362"/>
      <sheetName val="[97_207COSRP11.xls]_97_207_4081"/>
      <sheetName val="[97_207COSRP11.xls]_97_207_4082"/>
      <sheetName val="[97_207COSRP11.xls]B_______1363"/>
      <sheetName val="[97_207COSRP11.xls]_97_207_4083"/>
      <sheetName val="[97_207COSRP11.xls]_97_207_4084"/>
      <sheetName val="[97_207COSRP11.xls]_97_207_4085"/>
      <sheetName val="[97_207COSRP11.xls]_97_207_4112"/>
      <sheetName val="[97_207COSRP11.xls]_97_207_4105"/>
      <sheetName val="[97_207COSRP11.xls]_97_207_4106"/>
      <sheetName val="[97_207COSRP11.xls]_97_207_4107"/>
      <sheetName val="[97_207COSRP11.xls]_97_207_4113"/>
      <sheetName val="[97_207COSRP11.xls]_97_207_4108"/>
      <sheetName val="[97_207COSRP11.xls]_97_207_4114"/>
      <sheetName val="[97_207COSRP11.xls]_97_207_4109"/>
      <sheetName val="[97_207COSRP11.xls]_97_207_4110"/>
      <sheetName val="[97_207COSRP11.xls]_97_207_4111"/>
      <sheetName val="[97_207COSRP11.xls]_97_207_4102"/>
      <sheetName val="[97_207COSRP11.xls]_97_207_4103"/>
      <sheetName val="[97_207COSRP11.xls]_97_207_4104"/>
      <sheetName val="[97_207COSRP11.xls]_97_207_4100"/>
      <sheetName val="[97_207COSRP11.xls]_97_207_4101"/>
      <sheetName val="[97_207COSRP11.xls]B_______1448"/>
      <sheetName val="[97_207COSRP11.xls]B_______1449"/>
      <sheetName val="[97_207COSRP11.xls]_97_207_4396"/>
      <sheetName val="[97_207COSRP11.xls]_97_207_4389"/>
      <sheetName val="[97_207COSRP11.xls]_97_207_4390"/>
      <sheetName val="[97_207COSRP11.xls]_97_207_4391"/>
      <sheetName val="[97_207COSRP11.xls]_97_207_4397"/>
      <sheetName val="[97_207COSRP11.xls]B_______1450"/>
      <sheetName val="[97_207COSRP11.xls]_97_207_4392"/>
      <sheetName val="[97_207COSRP11.xls]_97_207_4393"/>
      <sheetName val="[97_207COSRP11.xls]_97_207_4394"/>
      <sheetName val="[97_207COSRP11.xls]_97_207_4398"/>
      <sheetName val="[97_207COSRP11.xls]_97_207_4395"/>
      <sheetName val="[97_207COSRP11.xls]B_______1370"/>
      <sheetName val="[97_207COSRP11.xls]B_______1371"/>
      <sheetName val="[97_207COSRP11.xls]B_______1372"/>
      <sheetName val="Entity Wide (Mar-04)"/>
      <sheetName val="[97_207COSRP11.xls]_97_207_4124"/>
      <sheetName val="[97_207COSRP11.xls]_97_207_4125"/>
      <sheetName val="[97_207COSRP11.xls]_97_207_4126"/>
      <sheetName val="[97_207COSRP11.xls]_97_207_4115"/>
      <sheetName val="[97_207COSRP11.xls]_97_207_4116"/>
      <sheetName val="[97_207COSRP11.xls]_97_207_4117"/>
      <sheetName val="[97_207COSRP11.xls]_97_207_4118"/>
      <sheetName val="[97_207COSRP11.xls]_97_207_4119"/>
      <sheetName val="[97_207COSRP11.xls]_97_207_4120"/>
      <sheetName val="[97_207COSRP11.xls]_97_207_4121"/>
      <sheetName val="[97_207COSRP11.xls]_97_207_4122"/>
      <sheetName val="[97_207COSRP11.xls]_97_207_4123"/>
      <sheetName val="[97_207COSRP11.xls]_97_207_4127"/>
      <sheetName val="[97_207COSRP11.xls]_97_207_4128"/>
      <sheetName val="[97_207COSRP11.xls]_97_207_4129"/>
      <sheetName val="[97_207COSRP11.xls]_97_207_4134"/>
      <sheetName val="[97_207COSRP11.xls]_97_207_4130"/>
      <sheetName val="[97_207COSRP11.xls]_97_207_4131"/>
      <sheetName val="[97_207COSRP11.xls]_97_207_4135"/>
      <sheetName val="[97_207COSRP11.xls]_97_207_4132"/>
      <sheetName val="[97_207COSRP11.xls]_97_207_4133"/>
      <sheetName val="[97_207COSRP11.xls]_97_207_4136"/>
      <sheetName val="[97_207COSRP11.xls]_97_207_4150"/>
      <sheetName val="[97_207COSRP11.xls]_97_207_4151"/>
      <sheetName val="[97_207COSRP11.xls]_97_207_4152"/>
      <sheetName val="[97_207COSRP11.xls]_97_207_4137"/>
      <sheetName val="[97_207COSRP11.xls]_97_207_4138"/>
      <sheetName val="[97_207COSRP11.xls]_97_207_4139"/>
      <sheetName val="[97_207COSRP11.xls]_97_207_4140"/>
      <sheetName val="[97_207COSRP11.xls]_97_207_4141"/>
      <sheetName val="[97_207COSRP11.xls]_97_207_4142"/>
      <sheetName val="[97_207COSRP11.xls]_97_207_4143"/>
      <sheetName val="[97_207COSRP11.xls]_97_207_4144"/>
      <sheetName val="[97_207COSRP11.xls]_97_207_4145"/>
      <sheetName val="[97_207COSRP11.xls]_97_207_4146"/>
      <sheetName val="[97_207COSRP11.xls]B_______1376"/>
      <sheetName val="[97_207COSRP11.xls]B_______1377"/>
      <sheetName val="[97_207COSRP11.xls]B_______1378"/>
      <sheetName val="[97_207COSRP11.xls]B_______1373"/>
      <sheetName val="[97_207COSRP11.xls]B_______1374"/>
      <sheetName val="[97_207COSRP11.xls]B_______1375"/>
      <sheetName val="[97_207COSRP11.xls]B_______1379"/>
      <sheetName val="[97_207COSRP11.xls]B_______1380"/>
      <sheetName val="[97_207COSRP11.xls]B_______1381"/>
      <sheetName val="[97_207COSRP11.xls]_97_207_4147"/>
      <sheetName val="[97_207COSRP11.xls]_97_207_4148"/>
      <sheetName val="[97_207COSRP11.xls]_97_207_4149"/>
      <sheetName val="[97_207COSRP11.xls]_97_207_4153"/>
      <sheetName val="[97_207COSRP11.xls]_97_207_4154"/>
      <sheetName val="[97_207COSRP11.xls]_97_207_4155"/>
      <sheetName val="[97_207COSRP11.xls]_97_207_4177"/>
      <sheetName val="[97_207COSRP11.xls]_97_207_4178"/>
      <sheetName val="[97_207COSRP11.xls]_97_207_4179"/>
      <sheetName val="[97_207COSRP11.xls]B_______1391"/>
      <sheetName val="[97_207COSRP11.xls]B_______1392"/>
      <sheetName val="[97_207COSRP11.xls]_97_207_4198"/>
      <sheetName val="[97_207COSRP11.xls]_97_207_4180"/>
      <sheetName val="[97_207COSRP11.xls]_97_207_4181"/>
      <sheetName val="[97_207COSRP11.xls]_97_207_4199"/>
      <sheetName val="[97_207COSRP11.xls]B_______1393"/>
      <sheetName val="[97_207COSRP11.xls]_97_207_4182"/>
      <sheetName val="[97_207COSRP11.xls]_97_207_4183"/>
      <sheetName val="[97_207COSRP11.xls]_97_207_4200"/>
      <sheetName val="[97_207COSRP11.xls]_97_207_4156"/>
      <sheetName val="[97_207COSRP11.xls]_97_207_4157"/>
      <sheetName val="[97_207COSRP11.xls]_97_207_4158"/>
      <sheetName val="[97_207COSRP11.xls]B_______1382"/>
      <sheetName val="[97_207COSRP11.xls]B_______1383"/>
      <sheetName val="[97_207COSRP11.xls]_97_207_4159"/>
      <sheetName val="[97_207COSRP11.xls]_97_207_4160"/>
      <sheetName val="[97_207COSRP11.xls]B_______1384"/>
      <sheetName val="[97_207COSRP11.xls]_97_207_4161"/>
      <sheetName val="[97_207COSRP11.xls]_97_207_4162"/>
      <sheetName val="[97_207COSRP11.xls]_97_207_4163"/>
      <sheetName val="[97_207COSRP11.xls]_97_207_4164"/>
      <sheetName val="[97_207COSRP11.xls]_97_207_4165"/>
      <sheetName val="[97_207COSRP11.xls]B_______1385"/>
      <sheetName val="[97_207COSRP11.xls]B_______1386"/>
      <sheetName val="[97_207COSRP11.xls]_97_207_4166"/>
      <sheetName val="[97_207COSRP11.xls]_97_207_4167"/>
      <sheetName val="[97_207COSRP11.xls]B_______1387"/>
      <sheetName val="[97_207COSRP11.xls]_97_207_4168"/>
      <sheetName val="[97_207COSRP11.xls]_97_207_4169"/>
      <sheetName val="[97_207COSRP11.xls]_97_207_4170"/>
      <sheetName val="[97_207COSRP11.xls]_97_207_4171"/>
      <sheetName val="[97_207COSRP11.xls]_97_207_4172"/>
      <sheetName val="[97_207COSRP11.xls]B_______1388"/>
      <sheetName val="[97_207COSRP11.xls]B_______1389"/>
      <sheetName val="[97_207COSRP11.xls]_97_207_4173"/>
      <sheetName val="[97_207COSRP11.xls]_97_207_4174"/>
      <sheetName val="[97_207COSRP11.xls]B_______1390"/>
      <sheetName val="[97_207COSRP11.xls]_97_207_4175"/>
      <sheetName val="[97_207COSRP11.xls]_97_207_4176"/>
      <sheetName val="[97_207COSRP11.xls]B_______1400"/>
      <sheetName val="[97_207COSRP11.xls]B_______1401"/>
      <sheetName val="[97_207COSRP11.xls]_97_207_4205"/>
      <sheetName val="[97_207COSRP11.xls]_97_207_4201"/>
      <sheetName val="[97_207COSRP11.xls]_97_207_4202"/>
      <sheetName val="[97_207COSRP11.xls]_97_207_4206"/>
      <sheetName val="[97_207COSRP11.xls]B_______1402"/>
      <sheetName val="[97_207COSRP11.xls]_97_207_4203"/>
      <sheetName val="[97_207COSRP11.xls]_97_207_4204"/>
      <sheetName val="[97_207COSRP11.xls]_97_207_4207"/>
      <sheetName val="[97_207COSRP11.xls]_97_207_4184"/>
      <sheetName val="[97_207COSRP11.xls]_97_207_4185"/>
      <sheetName val="[97_207COSRP11.xls]_97_207_4186"/>
      <sheetName val="[97_207COSRP11.xls]B_______1394"/>
      <sheetName val="[97_207COSRP11.xls]B_______1395"/>
      <sheetName val="[97_207COSRP11.xls]_97_207_4187"/>
      <sheetName val="[97_207COSRP11.xls]_97_207_4188"/>
      <sheetName val="[97_207COSRP11.xls]B_______1396"/>
      <sheetName val="[97_207COSRP11.xls]_97_207_4189"/>
      <sheetName val="[97_207COSRP11.xls]_97_207_4190"/>
      <sheetName val="[97_207COSRP11.xls]_97_207_4191"/>
      <sheetName val="[97_207COSRP11.xls]_97_207_4192"/>
      <sheetName val="[97_207COSRP11.xls]_97_207_4193"/>
      <sheetName val="[97_207COSRP11.xls]B_______1397"/>
      <sheetName val="[97_207COSRP11.xls]B_______1398"/>
      <sheetName val="[97_207COSRP11.xls]_97_207_4194"/>
      <sheetName val="[97_207COSRP11.xls]_97_207_4195"/>
      <sheetName val="[97_207COSRP11.xls]B_______1399"/>
      <sheetName val="[97_207COSRP11.xls]_97_207_4196"/>
      <sheetName val="[97_207COSRP11.xls]_97_207_4197"/>
      <sheetName val="[97_207COSRP11.xls]_97_207_4208"/>
      <sheetName val="[97_207COSRP11.xls]_97_207_4209"/>
      <sheetName val="[97_207COSRP11.xls]_97_207_4210"/>
      <sheetName val="[97_207COSRP11.xls]_97_207_4217"/>
      <sheetName val="[97_207COSRP11.xls]_97_207_4218"/>
      <sheetName val="[97_207COSRP11.xls]_97_207_4219"/>
      <sheetName val="[97_207COSRP11.xls]_97_207_4211"/>
      <sheetName val="[97_207COSRP11.xls]_97_207_4212"/>
      <sheetName val="[97_207COSRP11.xls]_97_207_4213"/>
      <sheetName val="[97_207COSRP11.xls]_97_207_4214"/>
      <sheetName val="[97_207COSRP11.xls]_97_207_4215"/>
      <sheetName val="[97_207COSRP11.xls]_97_207_4216"/>
      <sheetName val="[97_207COSRP11.xls]B_______1403"/>
      <sheetName val="[97_207COSRP11.xls]B_______1404"/>
      <sheetName val="[97_207COSRP11.xls]_97_207_4224"/>
      <sheetName val="[97_207COSRP11.xls]_97_207_4220"/>
      <sheetName val="[97_207COSRP11.xls]_97_207_4221"/>
      <sheetName val="[97_207COSRP11.xls]_97_207_4225"/>
      <sheetName val="[97_207COSRP11.xls]B_______1405"/>
      <sheetName val="[97_207COSRP11.xls]_97_207_4222"/>
      <sheetName val="[97_207COSRP11.xls]_97_207_4223"/>
      <sheetName val="[97_207COSRP11.xls]_97_207_4226"/>
      <sheetName val="[97_207COSRP11.xls]_97_207_4242"/>
      <sheetName val="[97_207COSRP11.xls]_97_207_4243"/>
      <sheetName val="[97_207COSRP11.xls]_97_207_4244"/>
      <sheetName val="[97_207COSRP11.xls]_97_207_4227"/>
      <sheetName val="[97_207COSRP11.xls]_97_207_4228"/>
      <sheetName val="[97_207COSRP11.xls]_97_207_4229"/>
      <sheetName val="[97_207COSRP11.xls]_97_207_4230"/>
      <sheetName val="[97_207COSRP11.xls]_97_207_4231"/>
      <sheetName val="[97_207COSRP11.xls]_97_207_4232"/>
      <sheetName val="[97_207COSRP11.xls]_97_207_4233"/>
      <sheetName val="[97_207COSRP11.xls]_97_207_4234"/>
      <sheetName val="[97_207COSRP11.xls]_97_207_4235"/>
      <sheetName val="[97_207COSRP11.xls]_97_207_4236"/>
      <sheetName val="[97_207COSRP11.xls]_97_207_4237"/>
      <sheetName val="[97_207COSRP11.xls]_97_207_4238"/>
      <sheetName val="[97_207COSRP11.xls]_97_207_4239"/>
      <sheetName val="[97_207COSRP11.xls]_97_207_4240"/>
      <sheetName val="[97_207COSRP11.xls]_97_207_4241"/>
      <sheetName val="[97_207COSRP11.xls]_97_207_4248"/>
      <sheetName val="[97_207COSRP11.xls]_97_207_4249"/>
      <sheetName val="[97_207COSRP11.xls]_97_207_4250"/>
      <sheetName val="[97_207COSRP11.xls]_97_207_4245"/>
      <sheetName val="[97_207COSRP11.xls]_97_207_4246"/>
      <sheetName val="[97_207COSRP11.xls]_97_207_4247"/>
      <sheetName val="[97_207COSRP11.xls]_97_207_4258"/>
      <sheetName val="[97_207COSRP11.xls]_97_207_4259"/>
      <sheetName val="[97_207COSRP11.xls]_97_207_4260"/>
      <sheetName val="[97_207COSRP11.xls]B_______1409"/>
      <sheetName val="[97_207COSRP11.xls]B_______1410"/>
      <sheetName val="[97_207COSRP11.xls]_97_207_4331"/>
      <sheetName val="[97_207COSRP11.xls]_97_207_4261"/>
      <sheetName val="[97_207COSRP11.xls]_97_207_4262"/>
      <sheetName val="[97_207COSRP11.xls]_97_207_4332"/>
      <sheetName val="[97_207COSRP11.xls]B_______1411"/>
      <sheetName val="[97_207COSRP11.xls]_97_207_4263"/>
      <sheetName val="[97_207COSRP11.xls]_97_207_4264"/>
      <sheetName val="[97_207COSRP11.xls]_97_207_4333"/>
      <sheetName val="[97_207COSRP11.xls]_97_207_4251"/>
      <sheetName val="[97_207COSRP11.xls]_97_207_4252"/>
      <sheetName val="[97_207COSRP11.xls]_97_207_4253"/>
      <sheetName val="[97_207COSRP11.xls]B_______1406"/>
      <sheetName val="[97_207COSRP11.xls]B_______1407"/>
      <sheetName val="[97_207COSRP11.xls]_97_207_4254"/>
      <sheetName val="[97_207COSRP11.xls]_97_207_4255"/>
      <sheetName val="[97_207COSRP11.xls]B_______1408"/>
      <sheetName val="[97_207COSRP11.xls]_97_207_4256"/>
      <sheetName val="[97_207COSRP11.xls]_97_207_4257"/>
      <sheetName val="[97_207COSRP11.xls]_97_207_4293"/>
      <sheetName val="[97_207COSRP11.xls]_97_207_4294"/>
      <sheetName val="[97_207COSRP11.xls]_97_207_4295"/>
      <sheetName val="[97_207COSRP11.xls]B_______1424"/>
      <sheetName val="[97_207COSRP11.xls]B_______1425"/>
      <sheetName val="[97_207COSRP11.xls]_97_207_4307"/>
      <sheetName val="[97_207COSRP11.xls]_97_207_4296"/>
      <sheetName val="[97_207COSRP11.xls]_97_207_4297"/>
      <sheetName val="[97_207COSRP11.xls]_97_207_4308"/>
      <sheetName val="[97_207COSRP11.xls]B_______1426"/>
      <sheetName val="[97_207COSRP11.xls]_97_207_4298"/>
      <sheetName val="[97_207COSRP11.xls]_97_207_4299"/>
      <sheetName val="[97_207COSRP11.xls]_97_207_4309"/>
      <sheetName val="[97_207COSRP11.xls]_97_207_4265"/>
      <sheetName val="[97_207COSRP11.xls]_97_207_4266"/>
      <sheetName val="[97_207COSRP11.xls]_97_207_4267"/>
      <sheetName val="[97_207COSRP11.xls]B_______1412"/>
      <sheetName val="[97_207COSRP11.xls]B_______1413"/>
      <sheetName val="[97_207COSRP11.xls]_97_207_4268"/>
      <sheetName val="[97_207COSRP11.xls]_97_207_4269"/>
      <sheetName val="[97_207COSRP11.xls]B_______1414"/>
      <sheetName val="[97_207COSRP11.xls]_97_207_4270"/>
      <sheetName val="[97_207COSRP11.xls]_97_207_4271"/>
      <sheetName val="[97_207COSRP11.xls]_97_207_4272"/>
      <sheetName val="[97_207COSRP11.xls]_97_207_4273"/>
      <sheetName val="[97_207COSRP11.xls]_97_207_4274"/>
      <sheetName val="[97_207COSRP11.xls]B_______1415"/>
      <sheetName val="[97_207COSRP11.xls]B_______1416"/>
      <sheetName val="[97_207COSRP11.xls]_97_207_4275"/>
      <sheetName val="[97_207COSRP11.xls]_97_207_4276"/>
      <sheetName val="[97_207COSRP11.xls]B_______1417"/>
      <sheetName val="[97_207COSRP11.xls]_97_207_4277"/>
      <sheetName val="[97_207COSRP11.xls]_97_207_4278"/>
      <sheetName val="[97_207COSRP11.xls]_97_207_4279"/>
      <sheetName val="[97_207COSRP11.xls]_97_207_4280"/>
      <sheetName val="[97_207COSRP11.xls]_97_207_4281"/>
      <sheetName val="[97_207COSRP11.xls]B_______1418"/>
      <sheetName val="[97_207COSRP11.xls]B_______1419"/>
      <sheetName val="[97_207COSRP11.xls]_97_207_4282"/>
      <sheetName val="[97_207COSRP11.xls]_97_207_4283"/>
      <sheetName val="[97_207COSRP11.xls]B_______1420"/>
      <sheetName val="[97_207COSRP11.xls]_97_207_4284"/>
      <sheetName val="[97_207COSRP11.xls]_97_207_4285"/>
      <sheetName val="[97_207COSRP11.xls]_97_207_4286"/>
      <sheetName val="[97_207COSRP11.xls]_97_207_4287"/>
      <sheetName val="[97_207COSRP11.xls]_97_207_4288"/>
      <sheetName val="[97_207COSRP11.xls]B_______1421"/>
      <sheetName val="[97_207COSRP11.xls]B_______1422"/>
      <sheetName val="[97_207COSRP11.xls]_97_207_4289"/>
      <sheetName val="[97_207COSRP11.xls]_97_207_4290"/>
      <sheetName val="[97_207COSRP11.xls]B_______1423"/>
      <sheetName val="[97_207COSRP11.xls]_97_207_4291"/>
      <sheetName val="[97_207COSRP11.xls]_97_207_4292"/>
      <sheetName val="[97_207COSRP11.xls]_97_207_4300"/>
      <sheetName val="[97_207COSRP11.xls]_97_207_4301"/>
      <sheetName val="[97_207COSRP11.xls]_97_207_4302"/>
      <sheetName val="[97_207COSRP11.xls]B_______1427"/>
      <sheetName val="[97_207COSRP11.xls]B_______1428"/>
      <sheetName val="[97_207COSRP11.xls]_97_207_4303"/>
      <sheetName val="[97_207COSRP11.xls]_97_207_4304"/>
      <sheetName val="[97_207COSRP11.xls]B_______1429"/>
      <sheetName val="[97_207COSRP11.xls]_97_207_4305"/>
      <sheetName val="[97_207COSRP11.xls]_97_207_4306"/>
      <sheetName val="[97_207COSRP11.xls]_97_207_4315"/>
      <sheetName val="[97_207COSRP11.xls]_97_207_4316"/>
      <sheetName val="[97_207COSRP11.xls]_97_207_4317"/>
      <sheetName val="[97_207COSRP11.xls]_97_207_4312"/>
      <sheetName val="[97_207COSRP11.xls]_97_207_4313"/>
      <sheetName val="[97_207COSRP11.xls]_97_207_4314"/>
      <sheetName val="[97_207COSRP11.xls]_97_207_4310"/>
      <sheetName val="[97_207COSRP11.xls]_97_207_4311"/>
      <sheetName val="[97_207COSRP11.xls]_97_207_4318"/>
      <sheetName val="[97_207COSRP11.xls]_97_207_4319"/>
      <sheetName val="[97_207COSRP11.xls]_97_207_4320"/>
      <sheetName val="[97_207COSRP11.xls]_97_207_4321"/>
      <sheetName val="[97_207COSRP11.xls]_97_207_4322"/>
      <sheetName val="[97_207COSRP11.xls]_97_207_4323"/>
      <sheetName val="[97_207COSRP11.xls]B_______1433"/>
      <sheetName val="[97_207COSRP11.xls]B_______1434"/>
      <sheetName val="[97_207COSRP11.xls]_97_207_4341"/>
      <sheetName val="[97_207COSRP11.xls]_97_207_4334"/>
      <sheetName val="[97_207COSRP11.xls]_97_207_4335"/>
      <sheetName val="[97_207COSRP11.xls]_97_207_4342"/>
      <sheetName val="[97_207COSRP11.xls]B_______1435"/>
      <sheetName val="[97_207COSRP11.xls]_97_207_4336"/>
      <sheetName val="[97_207COSRP11.xls]_97_207_4337"/>
      <sheetName val="[97_207COSRP11.xls]_97_207_4343"/>
      <sheetName val="[97_207COSRP11.xls]_97_207_4324"/>
      <sheetName val="[97_207COSRP11.xls]_97_207_4325"/>
      <sheetName val="[97_207COSRP11.xls]_97_207_4326"/>
      <sheetName val="[97_207COSRP11.xls]B_______1430"/>
      <sheetName val="[97_207COSRP11.xls]B_______1431"/>
      <sheetName val="[97_207COSRP11.xls]_97_207_4327"/>
      <sheetName val="[97_207COSRP11.xls]_97_207_4328"/>
      <sheetName val="[97_207COSRP11.xls]B_______1432"/>
      <sheetName val="[97_207COSRP11.xls]_97_207_4329"/>
      <sheetName val="[97_207COSRP11.xls]_97_207_4330"/>
      <sheetName val="[97_207COSRP11.xls]_97_207_4338"/>
      <sheetName val="[97_207COSRP11.xls]_97_207_4339"/>
      <sheetName val="[97_207COSRP11.xls]_97_207_4340"/>
      <sheetName val="[97_207COSRP11.xls]_97_207_4344"/>
      <sheetName val="[97_207COSRP11.xls]_97_207_4345"/>
      <sheetName val="[97_207COSRP11.xls]_97_207_4346"/>
      <sheetName val="[97_207COSRP11.xls]_97_207_4347"/>
      <sheetName val="[97_207COSRP11.xls]_97_207_4348"/>
      <sheetName val="[97_207COSRP11.xls]_97_207_4349"/>
      <sheetName val="[97_207COSRP11.xls]_97_207_4350"/>
      <sheetName val="[97_207COSRP11.xls]_97_207_4351"/>
      <sheetName val="[97_207COSRP11.xls]B_______1436"/>
      <sheetName val="[97_207COSRP11.xls]B_______1437"/>
      <sheetName val="[97_207COSRP11.xls]_97_207_4379"/>
      <sheetName val="[97_207COSRP11.xls]_97_207_4352"/>
      <sheetName val="[97_207COSRP11.xls]_97_207_4353"/>
      <sheetName val="[97_207COSRP11.xls]_97_207_4380"/>
      <sheetName val="[97_207COSRP11.xls]B_______1438"/>
      <sheetName val="[97_207COSRP11.xls]_97_207_4354"/>
      <sheetName val="[97_207COSRP11.xls]_97_207_4355"/>
      <sheetName val="[97_207COSRP11.xls]_97_207_4381"/>
      <sheetName val="[97_207COSRP11.xls]_97_207_4356"/>
      <sheetName val="[97_207COSRP11.xls]_97_207_4360"/>
      <sheetName val="[97_207COSRP11.xls]_97_207_4361"/>
      <sheetName val="[97_207COSRP11.xls]_97_207_4362"/>
      <sheetName val="[97_207COSRP11.xls]_97_207_4357"/>
      <sheetName val="[97_207COSRP11.xls]_97_207_4358"/>
      <sheetName val="[97_207COSRP11.xls]_97_207_4359"/>
      <sheetName val="[97_207COSRP11.xls]_97_207_4363"/>
      <sheetName val="[97_207COSRP11.xls]_97_207_4364"/>
      <sheetName val="[97_207COSRP11.xls]B_______1439"/>
      <sheetName val="[97_207COSRP11.xls]B_______1440"/>
      <sheetName val="[97_207COSRP11.xls]_97_207_4365"/>
      <sheetName val="[97_207COSRP11.xls]_97_207_4366"/>
      <sheetName val="[97_207COSRP11.xls]B_______1441"/>
      <sheetName val="[97_207COSRP11.xls]_97_207_4367"/>
      <sheetName val="[97_207COSRP11.xls]_97_207_4368"/>
      <sheetName val="[97_207COSRP11.xls]_97_207_4369"/>
      <sheetName val="[97_207COSRP11.xls]_97_207_4370"/>
      <sheetName val="[97_207COSRP11.xls]_97_207_4371"/>
      <sheetName val="[97_207COSRP11.xls]_97_207_4372"/>
      <sheetName val="[97_207COSRP11.xls]_97_207_4373"/>
      <sheetName val="[97_207COSRP11.xls]_97_207_4374"/>
      <sheetName val="[97_207COSRP11.xls]_97_207_4375"/>
      <sheetName val="[97_207COSRP11.xls]_97_207_4376"/>
      <sheetName val="[97_207COSRP11.xls]_97_207_4377"/>
      <sheetName val="[97_207COSRP11.xls]_97_207_4378"/>
      <sheetName val="[97_207COSRP11.xls]B_______1442"/>
      <sheetName val="[97_207COSRP11.xls]B_______1443"/>
      <sheetName val="[97_207COSRP11.xls]B_______1444"/>
      <sheetName val="[97_207COSRP11.xls]B_______1445"/>
      <sheetName val="[97_207COSRP11.xls]B_______1446"/>
      <sheetName val="[97_207COSRP11.xls]_97_207_4382"/>
      <sheetName val="[97_207COSRP11.xls]_97_207_4383"/>
      <sheetName val="[97_207COSRP11.xls]_97_207_4384"/>
      <sheetName val="[97_207COSRP11.xls]B_______1447"/>
      <sheetName val="[97_207COSRP11.xls]_97_207_4385"/>
      <sheetName val="[97_207COSRP11.xls]_97_207_4386"/>
      <sheetName val="[97_207COSRP11.xls]_97_207_4387"/>
      <sheetName val="[97_207COSRP11.xls]_97_207_4388"/>
      <sheetName val="[97_207COSRP11.xls]_97_207_4399"/>
      <sheetName val="[97_207COSRP11.xls]_97_207_4400"/>
      <sheetName val="[97_207COSRP11.xls]B_______1454"/>
      <sheetName val="[97_207COSRP11.xls]B_______1455"/>
      <sheetName val="[97_207COSRP11.xls]_97_207_4424"/>
      <sheetName val="[97_207COSRP11.xls]_97_207_4401"/>
      <sheetName val="[97_207COSRP11.xls]_97_207_4402"/>
      <sheetName val="[97_207COSRP11.xls]_97_207_4425"/>
      <sheetName val="[97_207COSRP11.xls]B_______1456"/>
      <sheetName val="[97_207COSRP11.xls]_97_207_4403"/>
      <sheetName val="[97_207COSRP11.xls]_97_207_4404"/>
      <sheetName val="[97_207COSRP11.xls]_97_207_4426"/>
      <sheetName val="[97_207COSRP11.xls]B_______1451"/>
      <sheetName val="[97_207COSRP11.xls]B_______1452"/>
      <sheetName val="[97_207COSRP11.xls]B_______1453"/>
      <sheetName val="[97_207COSRP11.xls]_97_207_4405"/>
      <sheetName val="[97_207COSRP11.xls]_97_207_4406"/>
      <sheetName val="[97_207COSRP11.xls]_97_207_4407"/>
      <sheetName val="[97_207COSRP11.xls]B_______1457"/>
      <sheetName val="[97_207COSRP11.xls]B_______1458"/>
      <sheetName val="[97_207COSRP11.xls]_97_207_4408"/>
      <sheetName val="[97_207COSRP11.xls]_97_207_4409"/>
      <sheetName val="[97_207COSRP11.xls]B_______1459"/>
      <sheetName val="[97_207COSRP11.xls]_97_207_4410"/>
      <sheetName val="[97_207COSRP11.xls]_97_207_4411"/>
      <sheetName val="[97_207COSRP11.xls]_97_207_4412"/>
      <sheetName val="[97_207COSRP11.xls]_97_207_4413"/>
      <sheetName val="[97_207COSRP11.xls]_97_207_4414"/>
      <sheetName val="[97_207COSRP11.xls]_97_207_4415"/>
      <sheetName val="[97_207COSRP11.xls]_97_207_4416"/>
      <sheetName val="[97_207COSRP11.xls]_97_207_4417"/>
      <sheetName val="[97_207COSRP11.xls]_97_207_4418"/>
      <sheetName val="[97_207COSRP11.xls]_97_207_4419"/>
      <sheetName val="[97_207COSRP11.xls]_97_207_4420"/>
      <sheetName val="[97_207COSRP11.xls]_97_207_4421"/>
      <sheetName val="[97_207COSRP11.xls]_97_207_4422"/>
      <sheetName val="[97_207COSRP11.xls]_97_207_4423"/>
      <sheetName val="[97_207COSRP11.xls]_97_207_4427"/>
      <sheetName val="[97_207COSRP11.xls]_97_207_4428"/>
      <sheetName val="[97_207COSRP11.xls]_97_207_4429"/>
      <sheetName val="[97_207COSRP11.xls]B_______1460"/>
      <sheetName val="[97_207COSRP11.xls]B_______1461"/>
      <sheetName val="[97_207COSRP11.xls]_97_207_4434"/>
      <sheetName val="[97_207COSRP11.xls]_97_207_4430"/>
      <sheetName val="[97_207COSRP11.xls]_97_207_4431"/>
      <sheetName val="[97_207COSRP11.xls]_97_207_4435"/>
      <sheetName val="[97_207COSRP11.xls]B_______1462"/>
      <sheetName val="[97_207COSRP11.xls]_97_207_4432"/>
      <sheetName val="[97_207COSRP11.xls]_97_207_4433"/>
      <sheetName val="[97_207COSRP11.xls]_97_207_4436"/>
      <sheetName val="[97_207COSRP11.xls]_97_207_4437"/>
      <sheetName val="[97_207COSRP11.xls]_97_207_4438"/>
      <sheetName val="[97_207COSRP11.xls]_97_207_4439"/>
      <sheetName val="[97_207COSRP11.xls]B_______1475"/>
      <sheetName val="[97_207COSRP11.xls]B_______1476"/>
      <sheetName val="[97_207COSRP11.xls]_97_207_4495"/>
      <sheetName val="[97_207COSRP11.xls]_97_207_4489"/>
      <sheetName val="[97_207COSRP11.xls]_97_207_4490"/>
      <sheetName val="[97_207COSRP11.xls]_97_207_4491"/>
      <sheetName val="[97_207COSRP11.xls]_97_207_4496"/>
      <sheetName val="[97_207COSRP11.xls]B_______1477"/>
      <sheetName val="[97_207COSRP11.xls]_97_207_4492"/>
      <sheetName val="[97_207COSRP11.xls]_97_207_4493"/>
      <sheetName val="[97_207COSRP11.xls]_97_207_4494"/>
      <sheetName val="[97_207COSRP11.xls]_97_207_4455"/>
      <sheetName val="[97_207COSRP11.xls]_97_207_4456"/>
      <sheetName val="[97_207COSRP11.xls]_97_207_4457"/>
      <sheetName val="[97_207COSRP11.xls]_97_207_4440"/>
      <sheetName val="[97_207COSRP11.xls]_97_207_4441"/>
      <sheetName val="[97_207COSRP11.xls]_97_207_4442"/>
      <sheetName val="[97_207COSRP11.xls]_97_207_4443"/>
      <sheetName val="[97_207COSRP11.xls]_97_207_4444"/>
      <sheetName val="[97_207COSRP11.xls]_97_207_4445"/>
      <sheetName val="[97_207COSRP11.xls]_97_207_4446"/>
      <sheetName val="[97_207COSRP11.xls]_97_207_4447"/>
      <sheetName val="[97_207COSRP11.xls]_97_207_4448"/>
      <sheetName val="[97_207COSRP11.xls]_97_207_4449"/>
      <sheetName val="[97_207COSRP11.xls]_97_207_4450"/>
      <sheetName val="[97_207COSRP11.xls]_97_207_4451"/>
      <sheetName val="[97_207COSRP11.xls]_97_207_4452"/>
      <sheetName val="[97_207COSRP11.xls]_97_207_4453"/>
      <sheetName val="[97_207COSRP11.xls]_97_207_4454"/>
      <sheetName val="[97_207COSRP11.xls]B_______1466"/>
      <sheetName val="[97_207COSRP11.xls]B_______1467"/>
      <sheetName val="[97_207COSRP11.xls]_97_207_4479"/>
      <sheetName val="[97_207COSRP11.xls]_97_207_4465"/>
      <sheetName val="[97_207COSRP11.xls]_97_207_4466"/>
      <sheetName val="[97_207COSRP11.xls]_97_207_4467"/>
      <sheetName val="[97_207COSRP11.xls]_97_207_4480"/>
      <sheetName val="[97_207COSRP11.xls]B_______1468"/>
      <sheetName val="[97_207COSRP11.xls]_97_207_4468"/>
      <sheetName val="[97_207COSRP11.xls]_97_207_4469"/>
      <sheetName val="[97_207COSRP11.xls]_97_207_4470"/>
      <sheetName val="[97_207COSRP11.xls]_97_207_4481"/>
      <sheetName val="[97_207COSRP11.xls]_97_207_4471"/>
      <sheetName val="[97_207COSRP11.xls]B_______1463"/>
      <sheetName val="[97_207COSRP11.xls]B_______1464"/>
      <sheetName val="[97_207COSRP11.xls]_97_207_4458"/>
      <sheetName val="[97_207COSRP11.xls]_97_207_4459"/>
      <sheetName val="[97_207COSRP11.xls]_97_207_4460"/>
      <sheetName val="[97_207COSRP11.xls]B_______1465"/>
      <sheetName val="[97_207COSRP11.xls]_97_207_4461"/>
      <sheetName val="[97_207COSRP11.xls]_97_207_4462"/>
      <sheetName val="[97_207COSRP11.xls]_97_207_4463"/>
      <sheetName val="[97_207COSRP11.xls]_97_207_4464"/>
      <sheetName val="[97_207COSRP11.xls]B_______1472"/>
      <sheetName val="[97_207COSRP11.xls]B_______1473"/>
      <sheetName val="[97_207COSRP11.xls]_97_207_4486"/>
      <sheetName val="[97_207COSRP11.xls]_97_207_4482"/>
      <sheetName val="[97_207COSRP11.xls]_97_207_4483"/>
      <sheetName val="[97_207COSRP11.xls]_97_207_4487"/>
      <sheetName val="[97_207COSRP11.xls]B_______1474"/>
      <sheetName val="[97_207COSRP11.xls]_97_207_4484"/>
      <sheetName val="[97_207COSRP11.xls]_97_207_4485"/>
      <sheetName val="[97_207COSRP11.xls]_97_207_4488"/>
      <sheetName val="[97_207COSRP11.xls]_97_207_4472"/>
      <sheetName val="[97_207COSRP11.xls]_97_207_4473"/>
      <sheetName val="[97_207COSRP11.xls]_97_207_4474"/>
      <sheetName val="[97_207COSRP11.xls]B_______1469"/>
      <sheetName val="[97_207COSRP11.xls]B_______1470"/>
      <sheetName val="[97_207COSRP11.xls]_97_207_4475"/>
      <sheetName val="[97_207COSRP11.xls]_97_207_4476"/>
      <sheetName val="[97_207COSRP11.xls]B_______1471"/>
      <sheetName val="[97_207COSRP11.xls]_97_207_4477"/>
      <sheetName val="[97_207COSRP11.xls]_97_207_4478"/>
      <sheetName val="[97_207COSRP11.xls]_97_207_4497"/>
      <sheetName val="[97_207COSRP11.xls]_97_207_4498"/>
      <sheetName val="[97_207COSRP11.xls]_97_207_4499"/>
      <sheetName val="[97_207COSRP11.xls]B_______1478"/>
      <sheetName val="[97_207COSRP11.xls]B_______1479"/>
      <sheetName val="[97_207COSRP11.xls]_97_207_4504"/>
      <sheetName val="[97_207COSRP11.xls]_97_207_4500"/>
      <sheetName val="[97_207COSRP11.xls]_97_207_4501"/>
      <sheetName val="[97_207COSRP11.xls]_97_207_4505"/>
      <sheetName val="[97_207COSRP11.xls]B_______1480"/>
      <sheetName val="[97_207COSRP11.xls]_97_207_4502"/>
      <sheetName val="[97_207COSRP11.xls]_97_207_4503"/>
      <sheetName val="[97_207COSRP11.xls]_97_207_4506"/>
      <sheetName val="[97_207COSRP11.xls]_97_207_4517"/>
      <sheetName val="[97_207COSRP11.xls]_97_207_4518"/>
      <sheetName val="[97_207COSRP11.xls]_97_207_4519"/>
      <sheetName val="[97_207COSRP11.xls]_97_207_4541"/>
      <sheetName val="[97_207COSRP11.xls]_97_207_4542"/>
      <sheetName val="[97_207COSRP11.xls]_97_207_4543"/>
      <sheetName val="[97_207COSRP11.xls]B_______1493"/>
      <sheetName val="[97_207COSRP11.xls]B_______1494"/>
      <sheetName val="[97_207COSRP11.xls]_97_207_4548"/>
      <sheetName val="[97_207COSRP11.xls]_97_207_4544"/>
      <sheetName val="[97_207COSRP11.xls]_97_207_4545"/>
      <sheetName val="[97_207COSRP11.xls]_97_207_4549"/>
      <sheetName val="[97_207COSRP11.xls]_97_207_4550"/>
      <sheetName val="[97_207COSRP11.xls]B_______1495"/>
      <sheetName val="[97_207COSRP11.xls]_97_207_4546"/>
      <sheetName val="[97_207COSRP11.xls]_97_207_4547"/>
      <sheetName val="[97_207COSRP11.xls]_97_207_4520"/>
      <sheetName val="[97_207COSRP11.xls]_97_207_4521"/>
      <sheetName val="[97_207COSRP11.xls]_97_207_4522"/>
      <sheetName val="[97_207COSRP11.xls]B_______1484"/>
      <sheetName val="[97_207COSRP11.xls]B_______1485"/>
      <sheetName val="[97_207COSRP11.xls]_97_207_4523"/>
      <sheetName val="[97_207COSRP11.xls]_97_207_4524"/>
      <sheetName val="[97_207COSRP11.xls]B_______1486"/>
      <sheetName val="[97_207COSRP11.xls]_97_207_4525"/>
      <sheetName val="[97_207COSRP11.xls]_97_207_4526"/>
      <sheetName val="[97_207COSRP11.xls]_97_207_4527"/>
      <sheetName val="[97_207COSRP11.xls]_97_207_4528"/>
      <sheetName val="[97_207COSRP11.xls]_97_207_4529"/>
      <sheetName val="[97_207COSRP11.xls]B_______1487"/>
      <sheetName val="[97_207COSRP11.xls]B_______1488"/>
      <sheetName val="[97_207COSRP11.xls]_97_207_4530"/>
      <sheetName val="[97_207COSRP11.xls]_97_207_4531"/>
      <sheetName val="[97_207COSRP11.xls]B_______1489"/>
      <sheetName val="[97_207COSRP11.xls]_97_207_4532"/>
      <sheetName val="[97_207COSRP11.xls]_97_207_4533"/>
      <sheetName val="[97_207COSRP11.xls]_97_207_4534"/>
      <sheetName val="[97_207COSRP11.xls]_97_207_4535"/>
      <sheetName val="[97_207COSRP11.xls]_97_207_4536"/>
      <sheetName val="[97_207COSRP11.xls]B_______1490"/>
      <sheetName val="[97_207COSRP11.xls]B_______1491"/>
      <sheetName val="[97_207COSRP11.xls]_97_207_4537"/>
      <sheetName val="[97_207COSRP11.xls]_97_207_4538"/>
      <sheetName val="[97_207COSRP11.xls]B_______1492"/>
      <sheetName val="[97_207COSRP11.xls]_97_207_4539"/>
      <sheetName val="[97_207COSRP11.xls]_97_207_4540"/>
      <sheetName val="[97_207COSRP11.xls]_97_207_4551"/>
      <sheetName val="[97_207COSRP11.xls]_97_207_4552"/>
      <sheetName val="[97_207COSRP11.xls]_97_207_4553"/>
      <sheetName val="[97_207COSRP11.xls]_97_207_4557"/>
      <sheetName val="[97_207COSRP11.xls]_97_207_4558"/>
      <sheetName val="[97_207COSRP11.xls]_97_207_4559"/>
      <sheetName val="[97_207COSRP11.xls]_97_207_4554"/>
      <sheetName val="[97_207COSRP11.xls]_97_207_4555"/>
      <sheetName val="[97_207COSRP11.xls]_97_207_4556"/>
      <sheetName val="[97_207COSRP11.xls]_97_207_4560"/>
      <sheetName val="[97_207COSRP11.xls]_97_207_4561"/>
      <sheetName val="[97_207COSRP11.xls]_97_207_4562"/>
      <sheetName val="[97_207COSRP11.xls]B_______1496"/>
      <sheetName val="[97_207COSRP11.xls]B_______1497"/>
      <sheetName val="[97_207COSRP11.xls]_97_207_4567"/>
      <sheetName val="[97_207COSRP11.xls]_97_207_4563"/>
      <sheetName val="[97_207COSRP11.xls]_97_207_4564"/>
      <sheetName val="[97_207COSRP11.xls]_97_207_4568"/>
      <sheetName val="[97_207COSRP11.xls]_97_207_4569"/>
      <sheetName val="[97_207COSRP11.xls]B_______1498"/>
      <sheetName val="[97_207COSRP11.xls]_97_207_4565"/>
      <sheetName val="[97_207COSRP11.xls]_97_207_4566"/>
      <sheetName val="[97_207COSRP11.xls]B_______1499"/>
      <sheetName val="[97_207COSRP11.xls]B_______1500"/>
      <sheetName val="[97_207COSRP11.xls]_97_207_4580"/>
      <sheetName val="[97_207COSRP11.xls]_97_207_4570"/>
      <sheetName val="[97_207COSRP11.xls]_97_207_4571"/>
      <sheetName val="[97_207COSRP11.xls]_97_207_4581"/>
      <sheetName val="[97_207COSRP11.xls]_97_207_4582"/>
      <sheetName val="[97_207COSRP11.xls]B_______1501"/>
      <sheetName val="[97_207COSRP11.xls]_97_207_4572"/>
      <sheetName val="[97_207COSRP11.xls]_97_207_4573"/>
      <sheetName val="[97_207COSRP11.xls]_97_207_4574"/>
      <sheetName val="[97_207COSRP11.xls]_97_207_4575"/>
      <sheetName val="[97_207COSRP11.xls]_97_207_4576"/>
      <sheetName val="[97_207COSRP11.xls]_97_207_4577"/>
      <sheetName val="[97_207COSRP11.xls]_97_207_4578"/>
      <sheetName val="[97_207COSRP11.xls]_97_207_4579"/>
      <sheetName val="[97_207COSRP11.xls]_97_207_4586"/>
      <sheetName val="[97_207COSRP11.xls]_97_207_4587"/>
      <sheetName val="[97_207COSRP11.xls]_97_207_4588"/>
      <sheetName val="[97_207COSRP11.xls]_97_207_4583"/>
      <sheetName val="[97_207COSRP11.xls]_97_207_4584"/>
      <sheetName val="[97_207COSRP11.xls]_97_207_4585"/>
      <sheetName val="EDRC-BOQ"/>
      <sheetName val="B@_?_x0004_@?__$_x0"/>
      <sheetName val="_97_207COSRP11.xls_B@_?_x"/>
      <sheetName val="B@_?_x0004_@_"/>
      <sheetName val="8. Cover"/>
      <sheetName val="Si_x0000__x0000__x0000__x0000__x0000__x0000__xffff__xffff_Statement"/>
      <sheetName val="AmeyM_x0000_NCES ON GM"/>
      <sheetName val="[97_207COSRPLatitude 3460?tails"/>
      <sheetName val="[97_207COSRPLatitude_3460tails"/>
      <sheetName val="B@__@__x0000"/>
      <sheetName val="PACK_(B)"/>
      <sheetName val="[97_207COSRP11_xls]_97_207_1054"/>
      <sheetName val="[97_207COSRP11_xls]_97_207_1055"/>
      <sheetName val="[97_207COSRP11_xls]_97_207_1056"/>
      <sheetName val="[97_207COSRP11_xls]_97_207_1061"/>
      <sheetName val="[97_207COSRP11_xls]_97_207_1057"/>
      <sheetName val="[97_207COSRP11_xls]_97_207_1058"/>
      <sheetName val="[97_207COSRP11_xls]_97_207_1062"/>
      <sheetName val="[97_207COSRP11_xls]_97_207_1059"/>
      <sheetName val="[97_207COSRP11_xls]_97_207_1060"/>
      <sheetName val="[97_207COSRP11_xls]_97_207_1063"/>
      <sheetName val="[97_207COSRP11_xls]_97_207_1044"/>
      <sheetName val="[97_207COSRP11_xls]_97_207_1037"/>
      <sheetName val="[97_207COSRP11_xls]_97_207_1038"/>
      <sheetName val="[97_207COSRP11_xls]_97_207_1039"/>
      <sheetName val="[97_207COSRP11_xls]_97_207_1040"/>
      <sheetName val="[97_207COSRP11_xls]_97_207_1045"/>
      <sheetName val="[97_207COSRP11_xls]_97_207_1041"/>
      <sheetName val="[97_207COSRP11_xls]_97_207_1042"/>
      <sheetName val="[97_207COSRP11_xls]_97_207_1046"/>
      <sheetName val="[97_207COSRP11_xls]_97_207_1043"/>
      <sheetName val="[97_207COSRP11_xls]_97_207_1006"/>
      <sheetName val="[97_207COSRP11_xls]_97_207_1007"/>
      <sheetName val="[97_207COSRP11_xls]_97_207_1008"/>
      <sheetName val="[97_207COSRP11_xls]_97_207_1009"/>
      <sheetName val="[97_207COSRP11_xls]_97_207_1010"/>
      <sheetName val="[97_207COSRP11_xls]_97_207_1011"/>
      <sheetName val="[97_207COSRP11_xls]_97_207_1012"/>
      <sheetName val="[97_207COSRP11_xls]_97_207_1003"/>
      <sheetName val="[97_207COSRP11_xls]_97_207_1000"/>
      <sheetName val="[97_207COSRP11_xls]_97_207_1004"/>
      <sheetName val="[97_207COSRP11_xls]_97_207_1001"/>
      <sheetName val="[97_207COSRP11_xls]_97_207_1002"/>
      <sheetName val="[97_207COSRP11_xls]_97_207_1005"/>
      <sheetName val="[97_207COSRP11_xls]_97_207_1013"/>
      <sheetName val="[97_207COSRP11_xls]_97_207_1014"/>
      <sheetName val="[97_207COSRP11_xls]_97_207_1015"/>
      <sheetName val="[97_207COSRP11_xls]_97_207_1016"/>
      <sheetName val="[97_207COSRP11_xls]_97_207_1017"/>
      <sheetName val="[97_207COSRP11_xls]_97_207_1018"/>
      <sheetName val="[97_207COSRP11_xls]_97_207_1019"/>
      <sheetName val="[97_207COSRP11_xls]_97_207_1020"/>
      <sheetName val="[97_207COSRP11_xls]_97_207_1021"/>
      <sheetName val="[97_207COSRP11_xls]_97_207_1022"/>
      <sheetName val="[97_207COSRP11_xls]_97_207_1027"/>
      <sheetName val="[97_207COSRP11_xls]_97_207_1023"/>
      <sheetName val="[97_207COSRP11_xls]_97_207_1024"/>
      <sheetName val="[97_207COSRP11_xls]_97_207_1028"/>
      <sheetName val="[97_207COSRP11_xls]_97_207_1025"/>
      <sheetName val="[97_207COSRP11_xls]_97_207_1026"/>
      <sheetName val="[97_207COSRP11_xls]_97_207_1029"/>
      <sheetName val="[97_207COSRP11_xls]_97_207_1030"/>
      <sheetName val="[97_207COSRP11_xls]_97_207_1031"/>
      <sheetName val="[97_207COSRP11_xls]_97_207_1032"/>
      <sheetName val="[97_207COSRP11_xls]_97_207_1033"/>
      <sheetName val="[97_207COSRP11_xls]_97_207_1034"/>
      <sheetName val="[97_207COSRP11_xls]_97_207_1035"/>
      <sheetName val="[97_207COSRP11_xls]_97_207_1036"/>
      <sheetName val="[97_207COSRP11_xls]_97_207_1047"/>
      <sheetName val="[97_207COSRP11_xls]_97_207_1048"/>
      <sheetName val="[97_207COSRP11_xls]_97_207_1049"/>
      <sheetName val="[97_207COSRP11_xls]_97_207_1050"/>
      <sheetName val="[97_207COSRP11_xls]_97_207_1051"/>
      <sheetName val="[97_207COSRP11_xls]_97_207_1052"/>
      <sheetName val="[97_207COSRP11_xls]_97_207_1053"/>
      <sheetName val="SEX"/>
      <sheetName val="[97_207COSRP11.xls]_97_207_4589"/>
      <sheetName val="[97_207COSRP11.xls]_97_207_4590"/>
      <sheetName val="[97_207COSRP11.xls]_97_207_4591"/>
      <sheetName val="[97_207COSRP11.xls]_97_207_4592"/>
      <sheetName val="[97_207COSRP11.xls]B_______1502"/>
      <sheetName val="[97_207COSRP11.xls]B_______1503"/>
      <sheetName val="[97_207COSRP11.xls]_97_207_4599"/>
      <sheetName val="[97_207COSRP11.xls]_97_207_4593"/>
      <sheetName val="[97_207COSRP11.xls]_97_207_4594"/>
      <sheetName val="[97_207COSRP11.xls]_97_207_4595"/>
      <sheetName val="[97_207COSRP11.xls]_97_207_4596"/>
      <sheetName val="[97_207COSRP11.xls]_97_207_4600"/>
      <sheetName val="[97_207COSRP11.xls]B_______1504"/>
      <sheetName val="[97_207COSRP11.xls]_97_207_4597"/>
      <sheetName val="[97_207COSRP11.xls]_97_207_4598"/>
      <sheetName val="[97_207COSRP11.xls]_97_207_4601"/>
      <sheetName val="[97_207COSRP11.xls]_97_207_4602"/>
      <sheetName val="[97_207COSRP11.xls]_97_207_4603"/>
      <sheetName val="[97_207COSRP11.xls]_97_207_4604"/>
      <sheetName val="[97_207COSRP11.xls]_97_207_4616"/>
      <sheetName val="[97_207COSRP11.xls]_97_207_4617"/>
      <sheetName val="[97_207COSRP11.xls]_97_207_4618"/>
      <sheetName val="[97_207COSRP11.xls]B_______1523"/>
      <sheetName val="[97_207COSRP11.xls]B_______1524"/>
      <sheetName val="[97_207COSRP11.xls]_97_207_4623"/>
      <sheetName val="[97_207COSRP11.xls]_97_207_4619"/>
      <sheetName val="[97_207COSRP11.xls]_97_207_4620"/>
      <sheetName val="[97_207COSRP11.xls]_97_207_4624"/>
      <sheetName val="[97_207COSRP11.xls]B_______1525"/>
      <sheetName val="[97_207COSRP11.xls]_97_207_4621"/>
      <sheetName val="[97_207COSRP11.xls]_97_207_4622"/>
      <sheetName val="[97_207COSRP11.xls]_97_207_4625"/>
      <sheetName val="Footing"/>
      <sheetName val="Col_up_to_plinth"/>
      <sheetName val="[97_207COSRP11.xls]_97_207_4609"/>
      <sheetName val="[97_207COSRP11.xls]_97_207_4610"/>
      <sheetName val="[97_207COSRP11.xls]_97_207_4611"/>
      <sheetName val="[97_207COSRP11.xls]B_______1520"/>
      <sheetName val="[97_207COSRP11.xls]B_______1521"/>
      <sheetName val="[97_207COSRP11.xls]_97_207_4612"/>
      <sheetName val="[97_207COSRP11.xls]_97_207_4613"/>
      <sheetName val="[97_207COSRP11.xls]B_______1522"/>
      <sheetName val="[97_207COSRP11.xls]_97_207_4614"/>
      <sheetName val="[97_207COSRP11.xls]_97_207_4615"/>
      <sheetName val="[97_207COSRP11.xls]B_______1511"/>
      <sheetName val="[97_207COSRP11.xls]B_______1512"/>
      <sheetName val="[97_207COSRP11.xls]B_______1513"/>
      <sheetName val="[97_207COSRP11.xls]B_______1505"/>
      <sheetName val="[97_207COSRP11.xls]B_______1506"/>
      <sheetName val="[97_207COSRP11.xls]B_______1507"/>
      <sheetName val="[97_207COSRP11.xls]B_______1508"/>
      <sheetName val="[97_207COSRP11.xls]B_______1509"/>
      <sheetName val="[97_207COSRP11.xls]B_______1510"/>
      <sheetName val="[97_207COSRP11.xls]B_______1514"/>
      <sheetName val="[97_207COSRP11.xls]B_______1515"/>
      <sheetName val="[97_207COSRP11.xls]B_______1516"/>
      <sheetName val="[97_207COSRP11.xls]B_______1517"/>
      <sheetName val="[97_207COSRP11.xls]B_______1518"/>
      <sheetName val="[97_207COSRP11.xls]_97_207_4605"/>
      <sheetName val="[97_207COSRP11.xls]_97_207_4606"/>
      <sheetName val="[97_207COSRP11.xls]B_______1519"/>
      <sheetName val="[97_207COSRP11.xls]_97_207_4607"/>
      <sheetName val="[97_207COSRP11.xls]_97_207_4608"/>
      <sheetName val="[97_207COSRP11.xls]_97_207_4626"/>
      <sheetName val="[97_207COSRP11.xls]_97_207_4627"/>
      <sheetName val="[97_207COSRP11.xls]_97_207_4628"/>
      <sheetName val="[97_207COSRP11.xls]B_______1526"/>
      <sheetName val="[97_207COSRP11.xls]B_______1527"/>
      <sheetName val="[97_207COSRP11.xls]_97_207_4633"/>
      <sheetName val="[97_207COSRP11.xls]_97_207_4629"/>
      <sheetName val="[97_207COSRP11.xls]_97_207_4630"/>
      <sheetName val="[97_207COSRP11.xls]_97_207_4634"/>
      <sheetName val="[97_207COSRP11.xls]B_______1528"/>
      <sheetName val="[97_207COSRP11.xls]_97_207_4631"/>
      <sheetName val="[97_207COSRP11.xls]_97_207_4632"/>
      <sheetName val="[97_207COSRP11.xls]_97_207_4635"/>
      <sheetName val="[97_207COSRP11.xls]_97_207_4639"/>
      <sheetName val="[97_207COSRP11.xls]_97_207_4640"/>
      <sheetName val="[97_207COSRP11.xls]_97_207_4641"/>
      <sheetName val="[97_207COSRP11.xls]_97_207_4636"/>
      <sheetName val="[97_207COSRP11.xls]_97_207_4637"/>
      <sheetName val="[97_207COSRP11.xls]_97_207_4638"/>
      <sheetName val="[97_207COSRP11.xls]B_______1529"/>
      <sheetName val="[97_207COSRP11.xls]B_______1530"/>
      <sheetName val="[97_207COSRP11.xls]_97_207_4646"/>
      <sheetName val="[97_207COSRP11.xls]_97_207_4642"/>
      <sheetName val="[97_207COSRP11.xls]_97_207_4643"/>
      <sheetName val="[97_207COSRP11.xls]_97_207_4647"/>
      <sheetName val="[97_207COSRP11.xls]B_______1531"/>
      <sheetName val="[97_207COSRP11.xls]_97_207_4644"/>
      <sheetName val="[97_207COSRP11.xls]_97_207_4645"/>
      <sheetName val="[97_207COSRP11.xls]_97_207_4648"/>
      <sheetName val="[97_207COSRP11.xls]B_______1532"/>
      <sheetName val="[97_207COSRP11.xls]B_______1533"/>
      <sheetName val="[97_207COSRP11.xls]B_______1534"/>
      <sheetName val="[97_207COSRP11.xls]_97_207_4650"/>
      <sheetName val="[97_207COSRP11.xls]_97_207_4651"/>
      <sheetName val="[97_207COSRP11.xls]_97_207_4652"/>
      <sheetName val="[97_207COSRP11.xls]B_______1535"/>
      <sheetName val="[97_207COSRP11.xls]_97_207_4649"/>
      <sheetName val="[97_207COSRP11.xls]B_______1536"/>
      <sheetName val="[97_207COSRP11.xls]B_______1537"/>
      <sheetName val="[97_207COSRP11.xls]_97_207_4660"/>
      <sheetName val="[97_207COSRP11.xls]_97_207_4653"/>
      <sheetName val="[97_207COSRP11.xls]_97_207_4654"/>
      <sheetName val="[97_207COSRP11.xls]_97_207_4655"/>
      <sheetName val="[97_207COSRP11.xls]_97_207_4661"/>
      <sheetName val="[97_207COSRP11.xls]_97_207_4656"/>
      <sheetName val="[97_207COSRP11.xls]_97_207_4657"/>
      <sheetName val="[97_207COSRP11.xls]_97_207_4662"/>
      <sheetName val="[97_207COSRP11.xls]B_______1538"/>
      <sheetName val="[97_207COSRP11.xls]_97_207_4658"/>
      <sheetName val="[97_207COSRP11.xls]_97_207_4659"/>
      <sheetName val="[97_207COSRP11.xls]_97_207_4663"/>
      <sheetName val="[97_207COSRP11.xls]_97_207_4733"/>
      <sheetName val="[97_207COSRP11.xls]_97_207_4734"/>
      <sheetName val="[97_207COSRP11.xls]_97_207_4735"/>
      <sheetName val="[97_207COSRP11.xls]_97_207_4665"/>
      <sheetName val="[97_207COSRP11.xls]_97_207_4666"/>
      <sheetName val="[97_207COSRP11.xls]_97_207_4667"/>
      <sheetName val="[97_207COSRP11.xls]_97_207_4664"/>
      <sheetName val="[97_207COSRP11.xls]_97_207_4672"/>
      <sheetName val="[97_207COSRP11.xls]_97_207_4668"/>
      <sheetName val="[97_207COSRP11.xls]_97_207_4669"/>
      <sheetName val="[97_207COSRP11.xls]_97_207_4673"/>
      <sheetName val="[97_207COSRP11.xls]_97_207_4670"/>
      <sheetName val="[97_207COSRP11.xls]_97_207_4671"/>
      <sheetName val="[97_207COSRP11.xls]_97_207_4674"/>
      <sheetName val="[97_207COSRP11.xls]B_______1539"/>
      <sheetName val="[97_207COSRP11.xls]_97_207_4682"/>
      <sheetName val="[97_207COSRP11.xls]_97_207_4675"/>
      <sheetName val="[97_207COSRP11.xls]_97_207_4676"/>
      <sheetName val="[97_207COSRP11.xls]_97_207_4683"/>
      <sheetName val="[97_207COSRP11.xls]B_______1540"/>
      <sheetName val="[97_207COSRP11.xls]_97_207_4677"/>
      <sheetName val="[97_207COSRP11.xls]_97_207_4678"/>
      <sheetName val="[97_207COSRP11.xls]_97_207_4684"/>
      <sheetName val="[97_207COSRP11.xls]_97_207_4679"/>
      <sheetName val="[97_207COSRP11.xls]_97_207_4680"/>
      <sheetName val="[97_207COSRP11.xls]_97_207_4681"/>
      <sheetName val="[97_207COSRP11.xls]B_______1541"/>
      <sheetName val="[97_207COSRP11.xls]B_______1542"/>
      <sheetName val="[97_207COSRP11.xls]_97_207_4696"/>
      <sheetName val="[97_207COSRP11.xls]_97_207_4685"/>
      <sheetName val="[97_207COSRP11.xls]_97_207_4686"/>
      <sheetName val="[97_207COSRP11.xls]_97_207_4697"/>
      <sheetName val="[97_207COSRP11.xls]B_______1543"/>
      <sheetName val="[97_207COSRP11.xls]_97_207_4687"/>
      <sheetName val="[97_207COSRP11.xls]_97_207_4688"/>
      <sheetName val="[97_207COSRP11.xls]_97_207_4698"/>
      <sheetName val="[97_207COSRP11.xls]B_______1547"/>
      <sheetName val="[97_207COSRP11.xls]B_______1548"/>
      <sheetName val="[97_207COSRP11.xls]_97_207_4703"/>
      <sheetName val="[97_207COSRP11.xls]_97_207_4699"/>
      <sheetName val="[97_207COSRP11.xls]_97_207_4700"/>
      <sheetName val="[97_207COSRP11.xls]_97_207_4704"/>
      <sheetName val="[97_207COSRP11.xls]B_______1549"/>
      <sheetName val="[97_207COSRP11.xls]_97_207_4701"/>
      <sheetName val="[97_207COSRP11.xls]_97_207_4702"/>
      <sheetName val="[97_207COSRP11.xls]_97_207_4705"/>
      <sheetName val="[97_207COSRP11.xls]_97_207_4689"/>
      <sheetName val="[97_207COSRP11.xls]_97_207_4690"/>
      <sheetName val="[97_207COSRP11.xls]_97_207_4691"/>
      <sheetName val="[97_207COSRP11.xls]B_______1544"/>
      <sheetName val="[97_207COSRP11.xls]B_______1545"/>
      <sheetName val="[97_207COSRP11.xls]_97_207_4692"/>
      <sheetName val="[97_207COSRP11.xls]_97_207_4693"/>
      <sheetName val="[97_207COSRP11.xls]B_______1546"/>
      <sheetName val="[97_207COSRP11.xls]_97_207_4694"/>
      <sheetName val="[97_207COSRP11.xls]_97_207_4695"/>
      <sheetName val="[97_207COSRP11.xls]B_______1550"/>
      <sheetName val="[97_207COSRP11.xls]B_______1551"/>
      <sheetName val="[97_207COSRP11.xls]_97_207_4710"/>
      <sheetName val="[97_207COSRP11.xls]_97_207_4706"/>
      <sheetName val="[97_207COSRP11.xls]_97_207_4707"/>
      <sheetName val="[97_207COSRP11.xls]_97_207_4711"/>
      <sheetName val="[97_207COSRP11.xls]B_______1552"/>
      <sheetName val="[97_207COSRP11.xls]_97_207_4708"/>
      <sheetName val="[97_207COSRP11.xls]_97_207_4709"/>
      <sheetName val="[97_207COSRP11.xls]_97_207_4712"/>
      <sheetName val="[97_207COSRP11.xls]_97_207_4713"/>
      <sheetName val="[97_207COSRP11.xls]_97_207_4714"/>
      <sheetName val="[97_207COSRP11.xls]_97_207_4715"/>
      <sheetName val="[97_207COSRP11.xls]B_______1553"/>
      <sheetName val="[97_207COSRP11.xls]B_______1554"/>
      <sheetName val="[97_207COSRP11.xls]_97_207_4720"/>
      <sheetName val="[97_207COSRP11.xls]_97_207_4716"/>
      <sheetName val="[97_207COSRP11.xls]_97_207_4717"/>
      <sheetName val="[97_207COSRP11.xls]_97_207_4721"/>
      <sheetName val="[97_207COSRP11.xls]B_______1555"/>
      <sheetName val="[97_207COSRP11.xls]_97_207_4718"/>
      <sheetName val="[97_207COSRP11.xls]_97_207_4719"/>
      <sheetName val="[97_207COSRP11.xls]_97_207_4722"/>
      <sheetName val="[97_207COSRP11.xls]B_______1556"/>
      <sheetName val="[97_207COSRP11.xls]B_______1557"/>
      <sheetName val="[97_207COSRP11.xls]_97_207_4730"/>
      <sheetName val="[97_207COSRP11.xls]_97_207_4723"/>
      <sheetName val="[97_207COSRP11.xls]_97_207_4724"/>
      <sheetName val="[97_207COSRP11.xls]_97_207_4731"/>
      <sheetName val="[97_207COSRP11.xls]B_______1558"/>
      <sheetName val="[97_207COSRP11.xls]_97_207_4725"/>
      <sheetName val="[97_207COSRP11.xls]_97_207_4726"/>
      <sheetName val="[97_207COSRP11.xls]_97_207_4732"/>
      <sheetName val="[97_207COSRP11.xls]_97_207_4727"/>
      <sheetName val="[97_207COSRP11.xls]_97_207_4728"/>
      <sheetName val="[97_207COSRP11.xls]_97_207_4729"/>
      <sheetName val="[97_207COSRP11.xls]B_______1559"/>
      <sheetName val="[97_207COSRP11.xls]B_______1560"/>
      <sheetName val="[97_207COSRP11.xls]_97_207_4743"/>
      <sheetName val="[97_207COSRP11.xls]_97_207_4736"/>
      <sheetName val="[97_207COSRP11.xls]_97_207_4737"/>
      <sheetName val="[97_207COSRP11.xls]_97_207_4738"/>
      <sheetName val="[97_207COSRP11.xls]_97_207_4739"/>
      <sheetName val="[97_207COSRP11.xls]_97_207_4740"/>
      <sheetName val="[97_207COSRP11.xls]_97_207_4744"/>
      <sheetName val="[97_207COSRP11.xls]B_______1561"/>
      <sheetName val="[97_207COSRP11.xls]_97_207_4741"/>
      <sheetName val="[97_207COSRP11.xls]_97_207_4742"/>
      <sheetName val="[97_207COSRP11.xls]_97_207_4745"/>
      <sheetName val="[97_207COSRP11.xls]_97_207_4746"/>
      <sheetName val="[97_207COSRP11.xls]_97_207_4752"/>
      <sheetName val="[97_207COSRP11.xls]B_______1564"/>
      <sheetName val="[97_207COSRP11.xls]B_______1565"/>
      <sheetName val="[97_207COSRP11.xls]_97_207_4756"/>
      <sheetName val="[97_207COSRP11.xls]_97_207_4753"/>
      <sheetName val="[97_207COSRP11.xls]_97_207_4754"/>
      <sheetName val="[97_207COSRP11.xls]_97_207_4755"/>
      <sheetName val="[97_207COSRP11.xls]_97_207_4757"/>
      <sheetName val="[97_207COSRP11.xls]B_______1566"/>
      <sheetName val="[97_207COSRP11.xls]B_______1567"/>
      <sheetName val="[97_207COSRP11.xls]_97_207_4761"/>
      <sheetName val="[97_207COSRP11.xls]_97_207_4758"/>
      <sheetName val="[97_207COSRP11.xls]_97_207_4759"/>
      <sheetName val="[97_207COSRP11.xls]_97_207_4760"/>
      <sheetName val="[97_207COSRP11.xls]_97_207_4762"/>
      <sheetName val="[97_207COSRP11.xls]_97_207_4766"/>
      <sheetName val="[97_207COSRP11.xls]B_______1570"/>
      <sheetName val="[97_207COSRP11.xls]B_______1571"/>
      <sheetName val="[97_207COSRP11.xls]_97_207_4770"/>
      <sheetName val="[97_207COSRP11.xls]_97_207_4767"/>
      <sheetName val="[97_207COSRP11.xls]_97_207_4768"/>
      <sheetName val="[97_207COSRP11.xls]_97_207_4769"/>
      <sheetName val="[97_207COSRP11.xls]B_______1568"/>
      <sheetName val="[97_207COSRP11.xls]B_______1569"/>
      <sheetName val="[97_207COSRP11.xls]_97_207_4763"/>
      <sheetName val="[97_207COSRP11.xls]_97_207_4764"/>
      <sheetName val="[97_207COSRP11.xls]_97_207_4765"/>
      <sheetName val="[97_207COSRP11.xls]_97_207_4771"/>
      <sheetName val="[97_207COSRP11.xls]_97_207_4773"/>
      <sheetName val="[97_207COSRP11.xls]_97_207_4772"/>
      <sheetName val="[97_207COSRP11.xls]_97_207_4787"/>
      <sheetName val="[97_207COSRP11.xls]B_______1578"/>
      <sheetName val="[97_207COSRP11.xls]B_______1579"/>
      <sheetName val="[97_207COSRP11.xls]_97_207_4791"/>
      <sheetName val="[97_207COSRP11.xls]_97_207_4788"/>
      <sheetName val="[97_207COSRP11.xls]_97_207_4789"/>
      <sheetName val="[97_207COSRP11.xls]_97_207_4790"/>
      <sheetName val="[97_207COSRP11.xls]_97_207_4778"/>
      <sheetName val="[97_207COSRP11.xls]B_______1574"/>
      <sheetName val="[97_207COSRP11.xls]B_______1575"/>
      <sheetName val="[97_207COSRP11.xls]_97_207_4782"/>
      <sheetName val="[97_207COSRP11.xls]_97_207_4779"/>
      <sheetName val="[97_207COSRP11.xls]_97_207_4780"/>
      <sheetName val="[97_207COSRP11.xls]_97_207_4781"/>
      <sheetName val="[97_207COSRP11.xls]_97_207_4774"/>
      <sheetName val="[97_207COSRP11.xls]B_______1572"/>
      <sheetName val="[97_207COSRP11.xls]B_______1573"/>
      <sheetName val="[97_207COSRP11.xls]_97_207_4775"/>
      <sheetName val="[97_207COSRP11.xls]_97_207_4776"/>
      <sheetName val="[97_207COSRP11.xls]_97_207_4777"/>
      <sheetName val="[97_207COSRP11.xls]_97_207_4783"/>
      <sheetName val="[97_207COSRP11.xls]B_______1576"/>
      <sheetName val="[97_207COSRP11.xls]B_______1577"/>
      <sheetName val="[97_207COSRP11.xls]_97_207_4784"/>
      <sheetName val="[97_207COSRP11.xls]_97_207_4785"/>
      <sheetName val="[97_207COSRP11.xls]_97_207_4786"/>
      <sheetName val="450 x 350"/>
      <sheetName val="[97_207COSRP11.xls]_97_207_4996"/>
      <sheetName val="[97_207COSRP11.xls]B_______1639"/>
      <sheetName val="[97_207COSRP11.xls]B_______1640"/>
      <sheetName val="[97_207COSRP11.xls]_97_207_5000"/>
      <sheetName val="[97_207COSRP11.xls]_97_207_4997"/>
      <sheetName val="[97_207COSRP11.xls]_97_207_4998"/>
      <sheetName val="[97_207COSRP11.xls]_97_207_4999"/>
      <sheetName val="[97_207COSRP11.xls]_97_207_4792"/>
      <sheetName val="[97_207COSRP11.xls]B_______1580"/>
      <sheetName val="[97_207COSRP11.xls]B_______1581"/>
      <sheetName val="[97_207COSRP11.xls]_97_207_4793"/>
      <sheetName val="[97_207COSRP11.xls]_97_207_4794"/>
      <sheetName val="[97_207COSRP11.xls]_97_207_4795"/>
      <sheetName val="_97_207COSRP11.xls_B________148"/>
      <sheetName val="_97_207COSRP11.xls_B________149"/>
      <sheetName val="_97_207COSRP11.xls_B________144"/>
      <sheetName val="_97_207COSRP11.xls_B________145"/>
      <sheetName val="_97_207COSRP11.xls_B________146"/>
      <sheetName val="_97_207COSRP11.xls_B________147"/>
      <sheetName val="_97_207COSRP11.xls_B________150"/>
      <sheetName val="_97_207COSRP11.xls_B________151"/>
      <sheetName val="_97_207COSRP11.xls_B________152"/>
      <sheetName val="_97_207COSRP11.xls_B________153"/>
      <sheetName val="_97_207COSRP11.xls_B________154"/>
      <sheetName val="_97_207COSRP11.xls_B________155"/>
      <sheetName val="_97_207COSRP11.xls_B________156"/>
      <sheetName val="_97_207COSRP11.xls_B________157"/>
      <sheetName val="_97_207COSRP11.xls__97_207C_456"/>
      <sheetName val="_97_207COSRP11.xls_B________165"/>
      <sheetName val="_97_207COSRP11.xls_B________166"/>
      <sheetName val="_97_207COSRP11.xls__97_207C_459"/>
      <sheetName val="_97_207COSRP11.xls__97_207C_457"/>
      <sheetName val="_97_207COSRP11.xls__97_207C_458"/>
      <sheetName val="_97_207COSRP11.xls__97_207C_440"/>
      <sheetName val="_97_207COSRP11.xls__97_207C_441"/>
      <sheetName val="_97_207COSRP11.xls__97_207C_442"/>
      <sheetName val="_97_207COSRP11.xls_B________158"/>
      <sheetName val="_97_207COSRP11.xls__97_207C_433"/>
      <sheetName val="_97_207COSRP11.xls__97_207C_434"/>
      <sheetName val="_97_207COSRP11.xls__97_207C_435"/>
      <sheetName val="_97_207COSRP11.xls__97_207C_436"/>
      <sheetName val="_97_207COSRP11.xls_B________159"/>
      <sheetName val="_97_207COSRP11.xls__97_207C_437"/>
      <sheetName val="_97_207COSRP11.xls__97_207C_438"/>
      <sheetName val="_97_207COSRP11.xls__97_207C_439"/>
      <sheetName val="_97_207COSRP11.xls__97_207C_426"/>
      <sheetName val="_97_207COSRP11.xls__97_207C_427"/>
      <sheetName val="_97_207COSRP11.xls__97_207C_428"/>
      <sheetName val="_97_207COSRP11.xls__97_207C_429"/>
      <sheetName val="_97_207COSRP11.xls__97_207C_430"/>
      <sheetName val="_97_207COSRP11.xls__97_207C_431"/>
      <sheetName val="_97_207COSRP11.xls__97_207C_432"/>
      <sheetName val="_97_207COSRP11.xls__97_207C_416"/>
      <sheetName val="_97_207COSRP11.xls__97_207C_417"/>
      <sheetName val="_97_207COSRP11.xls__97_207C_418"/>
      <sheetName val="_97_207COSRP11.xls__97_207C_423"/>
      <sheetName val="_97_207COSRP11.xls__97_207C_419"/>
      <sheetName val="_97_207COSRP11.xls__97_207C_420"/>
      <sheetName val="_97_207COSRP11.xls__97_207C_424"/>
      <sheetName val="_97_207COSRP11.xls__97_207C_421"/>
      <sheetName val="_97_207COSRP11.xls__97_207C_422"/>
      <sheetName val="_97_207COSRP11.xls__97_207C_425"/>
      <sheetName val="_97_207COSRP11.xls__97_207C_389"/>
      <sheetName val="_97_207COSRP11.xls__97_207C_390"/>
      <sheetName val="_97_207COSRP11.xls__97_207C_396"/>
      <sheetName val="_97_207COSRP11.xls__97_207C_391"/>
      <sheetName val="_97_207COSRP11.xls__97_207C_392"/>
      <sheetName val="_97_207COSRP11.xls__97_207C_397"/>
      <sheetName val="_97_207COSRP11.xls__97_207C_393"/>
      <sheetName val="_97_207COSRP11.xls__97_207C_394"/>
      <sheetName val="_97_207COSRP11.xls__97_207C_398"/>
      <sheetName val="_97_207COSRP11.xls__97_207C_395"/>
      <sheetName val="_97_207COSRP11.xls__97_207C_379"/>
      <sheetName val="_97_207COSRP11.xls__97_207C_380"/>
      <sheetName val="_97_207COSRP11.xls__97_207C_381"/>
      <sheetName val="_97_207COSRP11.xls__97_207C_375"/>
      <sheetName val="_97_207COSRP11.xls__97_207C_376"/>
      <sheetName val="_97_207COSRP11.xls__97_207C_377"/>
      <sheetName val="_97_207COSRP11.xls__97_207C_378"/>
      <sheetName val="_97_207COSRP11.xls__97_207C_382"/>
      <sheetName val="_97_207COSRP11.xls__97_207C_383"/>
      <sheetName val="_97_207COSRP11.xls__97_207C_384"/>
      <sheetName val="_97_207COSRP11.xls__97_207C_385"/>
      <sheetName val="_97_207COSRP11.xls__97_207C_386"/>
      <sheetName val="_97_207COSRP11.xls__97_207C_387"/>
      <sheetName val="_97_207COSRP11.xls__97_207C_388"/>
      <sheetName val="_97_207COSRP11.xls__97_207C_399"/>
      <sheetName val="_97_207COSRP11.xls__97_207C_400"/>
      <sheetName val="_97_207COSRP11.xls__97_207C_406"/>
      <sheetName val="_97_207COSRP11.xls__97_207C_401"/>
      <sheetName val="_97_207COSRP11.xls__97_207C_402"/>
      <sheetName val="_97_207COSRP11.xls__97_207C_407"/>
      <sheetName val="_97_207COSRP11.xls__97_207C_403"/>
      <sheetName val="_97_207COSRP11.xls__97_207C_404"/>
      <sheetName val="_97_207COSRP11.xls__97_207C_408"/>
      <sheetName val="_97_207COSRP11.xls__97_207C_405"/>
      <sheetName val="_97_207COSRP11.xls__97_207C_409"/>
      <sheetName val="_97_207COSRP11.xls__97_207C_410"/>
      <sheetName val="_97_207COSRP11.xls__97_207C_411"/>
      <sheetName val="_97_207COSRP11.xls__97_207C_412"/>
      <sheetName val="_97_207COSRP11.xls__97_207C_413"/>
      <sheetName val="_97_207COSRP11.xls__97_207C_414"/>
      <sheetName val="_97_207COSRP11.xls__97_207C_415"/>
      <sheetName val="_97_207COSRP11.xls__97_207C_446"/>
      <sheetName val="_97_207COSRP11.xls__97_207C_447"/>
      <sheetName val="_97_207COSRP11.xls__97_207C_448"/>
      <sheetName val="_97_207COSRP11.xls__97_207C_443"/>
      <sheetName val="_97_207COSRP11.xls__97_207C_444"/>
      <sheetName val="_97_207COSRP11.xls__97_207C_445"/>
      <sheetName val="_97_207COSRP11.xls_B________160"/>
      <sheetName val="_97_207COSRP11.xls_B________161"/>
      <sheetName val="_97_207COSRP11.xls__97_207C_450"/>
      <sheetName val="_97_207COSRP11.xls__97_207C_451"/>
      <sheetName val="_97_207COSRP11.xls_B________162"/>
      <sheetName val="_97_207COSRP11.xls__97_207C_452"/>
      <sheetName val="_97_207COSRP11.xls__97_207C_449"/>
      <sheetName val="_97_207COSRP11.xls__97_207C_453"/>
      <sheetName val="_97_207COSRP11.xls_B________163"/>
      <sheetName val="_97_207COSRP11.xls_B________164"/>
      <sheetName val="_97_207COSRP11.xls__97_207C_454"/>
      <sheetName val="_97_207COSRP11.xls__97_207C_455"/>
      <sheetName val="_97_207COSRP11.xls__97_207C_460"/>
      <sheetName val="_97_207COSRP11.xls__97_207C_468"/>
      <sheetName val="_97_207COSRP11.xls__97_207C_465"/>
      <sheetName val="_97_207COSRP11.xls__97_207C_461"/>
      <sheetName val="_97_207COSRP11.xls__97_207C_462"/>
      <sheetName val="_97_207COSRP11.xls__97_207C_463"/>
      <sheetName val="_97_207COSRP11.xls__97_207C_464"/>
      <sheetName val="_97_207COSRPLatitude 3460"/>
      <sheetName val="_97_207COSRP11.xls__97_207C_467"/>
      <sheetName val="_97_207COSRP11.xls__97_207C_466"/>
      <sheetName val="_97_207COSRP11.xls__97_207C_491"/>
      <sheetName val="_97_207COSRP11.xls__97_207C_484"/>
      <sheetName val="_97_207COSRP11.xls_B________177"/>
      <sheetName val="_97_207COSRP11.xls_B________178"/>
      <sheetName val="_97_207COSRP11.xls__97_207C_487"/>
      <sheetName val="_97_207COSRP11.xls__97_207C_485"/>
      <sheetName val="_97_207COSRP11.xls__97_207C_486"/>
      <sheetName val="_97_207COSRP11.xls__97_207C_473"/>
      <sheetName val="_97_207COSRP11.xls_B________169"/>
      <sheetName val="_97_207COSRP11.xls_B________170"/>
      <sheetName val="_97_207COSRP11.xls__97_207C_476"/>
      <sheetName val="_97_207COSRP11.xls__97_207C_474"/>
      <sheetName val="_97_207COSRP11.xls__97_207C_475"/>
      <sheetName val="_97_207COSRP11.xls_B________167"/>
      <sheetName val="_97_207COSRP11.xls_B________168"/>
      <sheetName val="_97_207COSRP11.xls__97_207C_472"/>
      <sheetName val="_97_207COSRP11.xls__97_207C_469"/>
      <sheetName val="_97_207COSRP11.xls__97_207C_470"/>
      <sheetName val="_97_207COSRP11.xls__97_207C_471"/>
      <sheetName val="_97_207COSRP11.xls__97_207C_477"/>
      <sheetName val="_97_207COSRP11.xls_B________171"/>
      <sheetName val="_97_207COSRP11.xls_B________172"/>
      <sheetName val="_97_207COSRP11.xls__97_207C_478"/>
      <sheetName val="_97_207COSRP11.xls_B________173"/>
      <sheetName val="_97_207COSRP11.xls_B________174"/>
      <sheetName val="_97_207COSRP11.xls__97_207C_479"/>
      <sheetName val="_97_207COSRP11.xls__97_207C_480"/>
      <sheetName val="_97_207COSRP11.xls__97_207C_481"/>
      <sheetName val="_97_207COSRP11.xls_B________175"/>
      <sheetName val="_97_207COSRP11.xls_B________176"/>
      <sheetName val="_97_207COSRP11.xls__97_207C_482"/>
      <sheetName val="_97_207COSRP11.xls__97_207C_483"/>
      <sheetName val="_97_207COSRP11.xls__97_207C_488"/>
      <sheetName val="_97_207COSRP11.xls__97_207C_489"/>
      <sheetName val="_97_207COSRP11.xls__97_207C_490"/>
      <sheetName val="_97_207COSRP11.xls__97_207C_653"/>
      <sheetName val="_97_207COSRP11.xls__97_207C_492"/>
      <sheetName val="_97_207COSRP11.xls__97_207C_493"/>
      <sheetName val="_97_207COSRP11.xls__97_207C_494"/>
      <sheetName val="_97_207COSRP11.xls__97_207C_502"/>
      <sheetName val="_97_207COSRP11.xls__97_207C_495"/>
      <sheetName val="_97_207COSRP11.xls__97_207C_496"/>
      <sheetName val="_97_207COSRP11.xls__97_207C_503"/>
      <sheetName val="_97_207COSRP11.xls__97_207C_497"/>
      <sheetName val="_97_207COSRP11.xls__97_207C_498"/>
      <sheetName val="_97_207COSRP11.xls__97_207C_504"/>
      <sheetName val="_97_207COSRP11.xls__97_207C_499"/>
      <sheetName val="_97_207COSRP11.xls__97_207C_500"/>
      <sheetName val="_97_207COSRP11.xls__97_207C_501"/>
      <sheetName val="_97_207COSRP11.xls__97_207C_505"/>
      <sheetName val="_97_207COSRP11.xls__97_207C_506"/>
      <sheetName val="_97_207COSRP11.xls__97_207C_507"/>
      <sheetName val="_97_207COSRP11.xls__97_207C_515"/>
      <sheetName val="_97_207COSRP11.xls__97_207C_508"/>
      <sheetName val="_97_207COSRP11.xls__97_207C_509"/>
      <sheetName val="_97_207COSRP11.xls__97_207C_516"/>
      <sheetName val="_97_207COSRP11.xls__97_207C_510"/>
      <sheetName val="_97_207COSRP11.xls__97_207C_511"/>
      <sheetName val="_97_207COSRP11.xls__97_207C_517"/>
      <sheetName val="_97_207COSRP11.xls__97_207C_512"/>
      <sheetName val="_97_207COSRP11.xls__97_207C_513"/>
      <sheetName val="_97_207COSRP11.xls__97_207C_514"/>
      <sheetName val="_97_207COSRP11.xls__97_207C_518"/>
      <sheetName val="_97_207COSRP11.xls__97_207C_519"/>
      <sheetName val="_97_207COSRP11.xls__97_207C_520"/>
      <sheetName val="_97_207COSRP11.xls_B________179"/>
      <sheetName val="_97_207COSRP11.xls__97_207C_525"/>
      <sheetName val="_97_207COSRP11.xls__97_207C_521"/>
      <sheetName val="_97_207COSRP11.xls__97_207C_522"/>
      <sheetName val="_97_207COSRP11.xls__97_207C_526"/>
      <sheetName val="_97_207COSRP11.xls_B________180"/>
      <sheetName val="_97_207COSRP11.xls__97_207C_523"/>
      <sheetName val="_97_207COSRP11.xls__97_207C_524"/>
      <sheetName val="_97_207COSRP11.xls__97_207C_527"/>
      <sheetName val="_97_207COSRP11.xls__97_207C_528"/>
      <sheetName val="_97_207COSRP11.xls__97_207C_529"/>
      <sheetName val="_97_207COSRP11.xls__97_207C_530"/>
      <sheetName val="_97_207COSRP11.xls_B________181"/>
      <sheetName val="_97_207COSRP11.xls_B________182"/>
      <sheetName val="_97_207COSRP11.xls__97_207C_535"/>
      <sheetName val="_97_207COSRP11.xls__97_207C_531"/>
      <sheetName val="_97_207COSRP11.xls__97_207C_532"/>
      <sheetName val="_97_207COSRP11.xls__97_207C_536"/>
      <sheetName val="_97_207COSRP11.xls_B________183"/>
      <sheetName val="_97_207COSRP11.xls__97_207C_533"/>
      <sheetName val="_97_207COSRP11.xls__97_207C_534"/>
      <sheetName val="_97_207COSRP11.xls__97_207C_537"/>
      <sheetName val="_97_207COSRP11.xls__97_207C_545"/>
      <sheetName val="_97_207COSRP11.xls__97_207C_546"/>
      <sheetName val="_97_207COSRP11.xls__97_207C_547"/>
      <sheetName val="_97_207COSRP11.xls_B________187"/>
      <sheetName val="_97_207COSRP11.xls_B________188"/>
      <sheetName val="_97_207COSRP11.xls__97_207C_552"/>
      <sheetName val="_97_207COSRP11.xls__97_207C_548"/>
      <sheetName val="_97_207COSRP11.xls__97_207C_549"/>
      <sheetName val="_97_207COSRP11.xls__97_207C_553"/>
      <sheetName val="_97_207COSRP11.xls_B________189"/>
      <sheetName val="_97_207COSRP11.xls__97_207C_550"/>
      <sheetName val="_97_207COSRP11.xls__97_207C_551"/>
      <sheetName val="_97_207COSRP11.xls__97_207C_554"/>
      <sheetName val="_97_207COSRP11.xls__97_207C_538"/>
      <sheetName val="_97_207COSRP11.xls__97_207C_539"/>
      <sheetName val="_97_207COSRP11.xls__97_207C_540"/>
      <sheetName val="_97_207COSRP11.xls_B________184"/>
      <sheetName val="_97_207COSRP11.xls_B________185"/>
      <sheetName val="_97_207COSRP11.xls__97_207C_541"/>
      <sheetName val="_97_207COSRP11.xls__97_207C_542"/>
      <sheetName val="_97_207COSRP11.xls_B________186"/>
      <sheetName val="_97_207COSRP11.xls__97_207C_543"/>
      <sheetName val="_97_207COSRP11.xls__97_207C_544"/>
      <sheetName val="_97_207COSRP11.xls__97_207C_562"/>
      <sheetName val="_97_207COSRP11.xls__97_207C_563"/>
      <sheetName val="_97_207COSRP11.xls__97_207C_564"/>
      <sheetName val="_97_207COSRP11.xls_B________193"/>
      <sheetName val="_97_207COSRP11.xls_B________194"/>
      <sheetName val="_97_207COSRP11.xls__97_207C_591"/>
      <sheetName val="_97_207COSRP11.xls__97_207C_565"/>
      <sheetName val="_97_207COSRP11.xls__97_207C_566"/>
      <sheetName val="_97_207COSRP11.xls__97_207C_592"/>
      <sheetName val="_97_207COSRP11.xls_B________195"/>
      <sheetName val="_97_207COSRP11.xls__97_207C_567"/>
      <sheetName val="_97_207COSRP11.xls__97_207C_568"/>
      <sheetName val="_97_207COSRP11.xls__97_207C_593"/>
      <sheetName val="_97_207COSRP11.xls__97_207C_555"/>
      <sheetName val="_97_207COSRP11.xls__97_207C_556"/>
      <sheetName val="_97_207COSRP11.xls__97_207C_557"/>
      <sheetName val="_97_207COSRP11.xls_B________190"/>
      <sheetName val="_97_207COSRP11.xls_B________191"/>
      <sheetName val="_97_207COSRP11.xls__97_207C_558"/>
      <sheetName val="_97_207COSRP11.xls__97_207C_559"/>
      <sheetName val="_97_207COSRP11.xls_B________192"/>
      <sheetName val="_97_207COSRP11.xls__97_207C_560"/>
      <sheetName val="_97_207COSRP11.xls__97_207C_561"/>
      <sheetName val="_97_207COSRP11.xls__97_207C_569"/>
      <sheetName val="_97_207COSRP11.xls__97_207C_570"/>
      <sheetName val="_97_207COSRP11.xls__97_207C_571"/>
      <sheetName val="_97_207COSRP11.xls__97_207C_575"/>
      <sheetName val="_97_207COSRP11.xls__97_207C_576"/>
      <sheetName val="_97_207COSRP11.xls__97_207C_577"/>
      <sheetName val="_97_207COSRP11.xls_B________196"/>
      <sheetName val="_97_207COSRP11.xls_B________197"/>
      <sheetName val="_97_207COSRP11.xls__97_207C_585"/>
      <sheetName val="_97_207COSRP11.xls__97_207C_578"/>
      <sheetName val="_97_207COSRP11.xls__97_207C_579"/>
      <sheetName val="_97_207COSRP11.xls__97_207C_586"/>
      <sheetName val="_97_207COSRP11.xls_B________198"/>
      <sheetName val="_97_207COSRP11.xls__97_207C_580"/>
      <sheetName val="_97_207COSRP11.xls__97_207C_581"/>
      <sheetName val="_97_207COSRP11.xls__97_207C_587"/>
      <sheetName val="_97_207COSRP11.xls__97_207C_572"/>
      <sheetName val="_97_207COSRP11.xls__97_207C_573"/>
      <sheetName val="_97_207COSRP11.xls__97_207C_574"/>
      <sheetName val="_97_207COSRP11.xls__97_207C_582"/>
      <sheetName val="_97_207COSRP11.xls__97_207C_583"/>
      <sheetName val="_97_207COSRP11.xls__97_207C_584"/>
      <sheetName val="_97_207COSRP11.xls__97_207C_588"/>
      <sheetName val="_97_207COSRP11.xls__97_207C_589"/>
      <sheetName val="_97_207COSRP11.xls__97_207C_590"/>
      <sheetName val="_97_207COSRP11.xls__97_207C_597"/>
      <sheetName val="_97_207COSRP11.xls__97_207C_598"/>
      <sheetName val="_97_207COSRP11.xls__97_207C_599"/>
      <sheetName val="_97_207COSRP11.xls__97_207C_594"/>
      <sheetName val="_97_207COSRP11.xls__97_207C_595"/>
      <sheetName val="_97_207COSRP11.xls__97_207C_596"/>
      <sheetName val="_97_207COSRP11.xls_B________199"/>
      <sheetName val="_97_207COSRP11.xls_B________200"/>
      <sheetName val="_97_207COSRP11.xls__97_207C_601"/>
      <sheetName val="_97_207COSRP11.xls_B________203"/>
      <sheetName val="_97_207COSRP11.xls_B________204"/>
      <sheetName val="_97_207COSRP11.xls__97_207C_604"/>
      <sheetName val="_97_207COSRP11.xls__97_207C_602"/>
      <sheetName val="_97_207COSRP11.xls__97_207C_603"/>
      <sheetName val="_97_207COSRP11.xls_B________201"/>
      <sheetName val="_97_207COSRP11.xls_B________202"/>
      <sheetName val="_97_207COSRP11.xls__97_207C_600"/>
      <sheetName val="_97_207COSRP11.xls__97_207C_610"/>
      <sheetName val="_97_207COSRP11.xls__97_207C_611"/>
      <sheetName val="_97_207COSRP11.xls__97_207C_612"/>
      <sheetName val="_97_207COSRP11.xls__97_207C_617"/>
      <sheetName val="_97_207COSRP11.xls__97_207C_613"/>
      <sheetName val="_97_207COSRP11.xls__97_207C_614"/>
      <sheetName val="_97_207COSRP11.xls__97_207C_618"/>
      <sheetName val="_97_207COSRP11.xls__97_207C_615"/>
      <sheetName val="_97_207COSRP11.xls__97_207C_616"/>
      <sheetName val="_97_207COSRP11.xls__97_207C_619"/>
      <sheetName val="_97_207COSRP11.xls__97_207C_605"/>
      <sheetName val="_97_207COSRP11.xls__97_207C_606"/>
      <sheetName val="_97_207COSRP11.xls__97_207C_607"/>
      <sheetName val="_97_207COSRP11.xls__97_207C_608"/>
      <sheetName val="_97_207COSRP11.xls__97_207C_609"/>
      <sheetName val="_97_207COSRP11.xls_B________205"/>
      <sheetName val="_97_207COSRP11.xls_B________206"/>
      <sheetName val="_97_207COSRP11.xls__97_207C_624"/>
      <sheetName val="_97_207COSRP11.xls__97_207C_620"/>
      <sheetName val="_97_207COSRP11.xls__97_207C_621"/>
      <sheetName val="_97_207COSRP11.xls__97_207C_625"/>
      <sheetName val="_97_207COSRP11.xls_B________207"/>
      <sheetName val="_97_207COSRP11.xls__97_207C_622"/>
      <sheetName val="_97_207COSRP11.xls__97_207C_623"/>
      <sheetName val="_97_207COSRP11.xls__97_207C_626"/>
      <sheetName val="_97_207COSRP11.xls__97_207C_627"/>
      <sheetName val="_97_207COSRP11.xls__97_207C_630"/>
      <sheetName val="_97_207COSRP11.xls__97_207C_631"/>
      <sheetName val="_97_207COSRP11.xls__97_207C_632"/>
      <sheetName val="_97_207COSRP11.xls_B________208"/>
      <sheetName val="_97_207COSRP11.xls_B________209"/>
      <sheetName val="_97_207COSRP11.xls__97_207C_637"/>
      <sheetName val="_97_207COSRP11.xls__97_207C_633"/>
      <sheetName val="_97_207COSRP11.xls__97_207C_634"/>
      <sheetName val="_97_207COSRP11.xls__97_207C_638"/>
      <sheetName val="_97_207COSRP11.xls_B________210"/>
      <sheetName val="_97_207COSRP11.xls__97_207C_635"/>
      <sheetName val="_97_207COSRP11.xls__97_207C_636"/>
      <sheetName val="_97_207COSRP11.xls__97_207C_639"/>
      <sheetName val="_97_207COSRP11.xls__97_207C_628"/>
      <sheetName val="_97_207COSRP11.xls__97_207C_629"/>
      <sheetName val="_97_207COSRP11.xls__97_207C_643"/>
      <sheetName val="_97_207COSRP11.xls__97_207C_644"/>
      <sheetName val="_97_207COSRP11.xls__97_207C_645"/>
      <sheetName val="_97_207COSRP11.xls__97_207C_640"/>
      <sheetName val="_97_207COSRP11.xls__97_207C_641"/>
      <sheetName val="_97_207COSRP11.xls__97_207C_642"/>
      <sheetName val="_97_207COSRP11.xls__97_207C_646"/>
      <sheetName val="_97_207COSRP11.xls__97_207C_647"/>
      <sheetName val="_97_207COSRP11.xls__97_207C_648"/>
      <sheetName val="_97_207COSRP11.xls__97_207C_649"/>
      <sheetName val="_97_207COSRP11.xls__97_207C_650"/>
      <sheetName val="_97_207COSRP11.xls__97_207C_651"/>
      <sheetName val="_97_207COSRP11.xls__97_207C_652"/>
      <sheetName val="_97_207COSRP11.xls__97_207C_654"/>
      <sheetName val="_97_207COSRP11.xls__97_207C_656"/>
      <sheetName val="_97_207COSRP11.xls__97_207C_655"/>
      <sheetName val="_97_207COSRP11.xls_B________211"/>
      <sheetName val="_97_207COSRP11.xls_B________212"/>
      <sheetName val="_97_207COSRP11.xls__97_207C_657"/>
      <sheetName val="_97_207COSRP11.xls_B________213"/>
      <sheetName val="_97_207COSRP11.xls_B________214"/>
      <sheetName val="_97_207COSRP11.xls__97_207C_661"/>
      <sheetName val="_97_207COSRP11.xls__97_207C_658"/>
      <sheetName val="_97_207COSRP11.xls__97_207C_659"/>
      <sheetName val="_97_207COSRP11.xls__97_207C_660"/>
      <sheetName val="_97_207COSRP11.xls_B________215"/>
      <sheetName val="_97_207COSRP11.xls_B________216"/>
      <sheetName val="_97_207COSRP11.xls__97_207C_669"/>
      <sheetName val="_97_207COSRP11.xls__97_207C_665"/>
      <sheetName val="_97_207COSRP11.xls__97_207C_662"/>
      <sheetName val="_97_207COSRP11.xls__97_207C_663"/>
      <sheetName val="_97_207COSRP11.xls__97_207C_664"/>
      <sheetName val="_97_207COSRP11.xls_B________217"/>
      <sheetName val="_97_207COSRP11.xls_B________218"/>
      <sheetName val="_97_207COSRP11.xls__97_207C_668"/>
      <sheetName val="_97_207COSRP11.xls__97_207C_666"/>
      <sheetName val="_97_207COSRP11.xls__97_207C_667"/>
      <sheetName val="_97_207COSRP11.xls__97_207C_670"/>
      <sheetName val="_97_207COSRP11.xls_B________219"/>
      <sheetName val="_97_207COSRP11.xls_B________220"/>
      <sheetName val="_97_207COSRP11.xls_B________221"/>
      <sheetName val="_97_207COSRP11.xls_B________222"/>
      <sheetName val="_97_207COSRP11.xls_B________223"/>
      <sheetName val="_97_207COSRP11.xls_B________224"/>
      <sheetName val="_97_207COSRP11.xls__97_207C_671"/>
      <sheetName val="_97_207COSRP11.xls__97_207C_681"/>
      <sheetName val="_97_207COSRP11.xls__97_207C_676"/>
      <sheetName val="_97_207COSRP11.xls__97_207C_680"/>
      <sheetName val="_97_207COSRP11.xls__97_207C_677"/>
      <sheetName val="_97_207COSRP11.xls__97_207C_678"/>
      <sheetName val="_97_207COSRP11.xls__97_207C_672"/>
      <sheetName val="_97_207COSRP11.xls__97_207C_673"/>
      <sheetName val="_97_207COSRP11.xls__97_207C_674"/>
      <sheetName val="_97_207COSRP11.xls__97_207C_675"/>
      <sheetName val="_97_207COSRP11.xls__97_207C_679"/>
      <sheetName val="_97_207COSRP11.xls_B________225"/>
      <sheetName val="_97_207COSRP11.xls_B________226"/>
      <sheetName val="_97_207COSRP11.xls__97_207C_683"/>
      <sheetName val="_97_207COSRP11.xls__97_207C_682"/>
      <sheetName val="_97_207COSRP11.xls__97_207C_685"/>
      <sheetName val="_97_207COSRP11.xls__97_207C_684"/>
      <sheetName val="_97_207COSRP11.xls__97_207C_688"/>
      <sheetName val="_97_207COSRP11.xls__97_207C_686"/>
      <sheetName val="_97_207COSRP11.xls__97_207C_687"/>
      <sheetName val="_97_207COSRP11.xls__97_207_1034"/>
      <sheetName val="_97_207COSRP11.xls__97_207_1035"/>
      <sheetName val="_97_207COSRP11.xls__97_207_1036"/>
      <sheetName val="_97_207COSRP11.xls_B________341"/>
      <sheetName val="_97_207COSRP11.xls_B________342"/>
      <sheetName val="_97_207COSRP11.xls__97_207_1037"/>
      <sheetName val="_97_207COSRP11.xls__97_207_1038"/>
      <sheetName val="_97_207COSRP11.xls_B________343"/>
      <sheetName val="_97_207COSRP11.xls__97_207_1039"/>
      <sheetName val="_97_207COSRP11.xls__97_207_1040"/>
      <sheetName val="_97_207COSRP11.xls__97_207C_731"/>
      <sheetName val="_97_207COSRP11.xls__97_207C_732"/>
      <sheetName val="_97_207COSRP11.xls__97_207C_733"/>
      <sheetName val="_97_207COSRP11.xls_B________245"/>
      <sheetName val="_97_207COSRP11.xls_B________246"/>
      <sheetName val="_97_207COSRP11.xls__97_207C_738"/>
      <sheetName val="_97_207COSRP11.xls__97_207C_734"/>
      <sheetName val="_97_207COSRP11.xls__97_207C_735"/>
      <sheetName val="_97_207COSRP11.xls__97_207C_739"/>
      <sheetName val="_97_207COSRP11.xls_B________247"/>
      <sheetName val="_97_207COSRP11.xls__97_207C_736"/>
      <sheetName val="_97_207COSRP11.xls__97_207C_737"/>
      <sheetName val="_97_207COSRP11.xls__97_207C_740"/>
      <sheetName val="_97_207COSRP11.xls__97_207C_724"/>
      <sheetName val="_97_207COSRP11.xls__97_207C_725"/>
      <sheetName val="_97_207COSRP11.xls__97_207C_726"/>
      <sheetName val="_97_207COSRP11.xls_B________242"/>
      <sheetName val="_97_207COSRP11.xls_B________243"/>
      <sheetName val="_97_207COSRP11.xls__97_207C_727"/>
      <sheetName val="_97_207COSRP11.xls__97_207C_728"/>
      <sheetName val="_97_207COSRP11.xls_B________244"/>
      <sheetName val="_97_207COSRP11.xls__97_207C_729"/>
      <sheetName val="_97_207COSRP11.xls__97_207C_730"/>
      <sheetName val="_97_207COSRP11.xls__97_207C_707"/>
      <sheetName val="_97_207COSRP11.xls__97_207C_708"/>
      <sheetName val="_97_207COSRP11.xls__97_207C_709"/>
      <sheetName val="_97_207COSRP11.xls_B________227"/>
      <sheetName val="_97_207COSRP11.xls_B________228"/>
      <sheetName val="_97_207COSRP11.xls_B________229"/>
      <sheetName val="_97_207COSRP11.xls__97_207C_689"/>
      <sheetName val="_97_207COSRP11.xls__97_207C_690"/>
      <sheetName val="_97_207COSRP11.xls__97_207C_691"/>
      <sheetName val="_97_207COSRP11.xls__97_207C_692"/>
      <sheetName val="_97_207COSRP11.xls_B________236"/>
      <sheetName val="_97_207COSRP11.xls_B________237"/>
      <sheetName val="_97_207COSRP11.xls__97_207C_714"/>
      <sheetName val="_97_207COSRP11.xls__97_207C_710"/>
      <sheetName val="_97_207COSRP11.xls__97_207C_711"/>
      <sheetName val="_97_207COSRP11.xls__97_207C_715"/>
      <sheetName val="_97_207COSRP11.xls_B________238"/>
      <sheetName val="_97_207COSRP11.xls__97_207C_712"/>
      <sheetName val="_97_207COSRP11.xls__97_207C_713"/>
      <sheetName val="_97_207COSRP11.xls__97_207C_716"/>
      <sheetName val="_97_207COSRP11.xls_B________230"/>
      <sheetName val="_97_207COSRP11.xls_B________231"/>
      <sheetName val="_97_207COSRP11.xls_B________232"/>
      <sheetName val="_97_207COSRP11.xls__97_207C_693"/>
      <sheetName val="_97_207COSRP11.xls__97_207C_694"/>
      <sheetName val="_97_207COSRP11.xls__97_207C_695"/>
      <sheetName val="_97_207COSRP11.xls__97_207C_696"/>
      <sheetName val="_97_207COSRP11.xls__97_207C_700"/>
      <sheetName val="_97_207COSRP11.xls__97_207C_701"/>
      <sheetName val="_97_207COSRP11.xls__97_207C_702"/>
      <sheetName val="_97_207COSRP11.xls_B________233"/>
      <sheetName val="_97_207COSRP11.xls_B________234"/>
      <sheetName val="_97_207COSRP11.xls__97_207C_703"/>
      <sheetName val="_97_207COSRP11.xls__97_207C_704"/>
      <sheetName val="_97_207COSRP11.xls_B________235"/>
      <sheetName val="_97_207COSRP11.xls__97_207C_705"/>
      <sheetName val="_97_207COSRP11.xls__97_207C_706"/>
      <sheetName val="_97_207COSRP11.xls__97_207C_697"/>
      <sheetName val="_97_207COSRP11.xls__97_207C_698"/>
      <sheetName val="_97_207COSRP11.xls__97_207C_699"/>
      <sheetName val="_97_207COSRP11.xls_B________239"/>
      <sheetName val="_97_207COSRP11.xls_B________240"/>
      <sheetName val="_97_207COSRP11.xls__97_207C_721"/>
      <sheetName val="_97_207COSRP11.xls__97_207C_717"/>
      <sheetName val="_97_207COSRP11.xls__97_207C_718"/>
      <sheetName val="_97_207COSRP11.xls__97_207C_722"/>
      <sheetName val="_97_207COSRP11.xls_B________241"/>
      <sheetName val="_97_207COSRP11.xls__97_207C_719"/>
      <sheetName val="_97_207COSRP11.xls__97_207C_720"/>
      <sheetName val="_97_207COSRP11.xls__97_207C_723"/>
      <sheetName val="_97_207COSRP11.xls_B________251"/>
      <sheetName val="_97_207COSRP11.xls_B________252"/>
      <sheetName val="_97_207COSRP11.xls__97_207C_755"/>
      <sheetName val="_97_207COSRP11.xls__97_207C_748"/>
      <sheetName val="_97_207COSRP11.xls__97_207C_749"/>
      <sheetName val="_97_207COSRP11.xls__97_207C_750"/>
      <sheetName val="_97_207COSRP11.xls__97_207C_756"/>
      <sheetName val="_97_207COSRP11.xls_B________253"/>
      <sheetName val="_97_207COSRP11.xls__97_207C_751"/>
      <sheetName val="_97_207COSRP11.xls__97_207C_752"/>
      <sheetName val="_97_207COSRP11.xls__97_207C_753"/>
      <sheetName val="_97_207COSRP11.xls__97_207C_757"/>
      <sheetName val="_97_207COSRP11.xls__97_207C_754"/>
      <sheetName val="_97_207COSRP11.xls_B________248"/>
      <sheetName val="_97_207COSRP11.xls_B________249"/>
      <sheetName val="_97_207COSRP11.xls__97_207C_741"/>
      <sheetName val="_97_207COSRP11.xls__97_207C_742"/>
      <sheetName val="_97_207COSRP11.xls__97_207C_743"/>
      <sheetName val="_97_207COSRP11.xls_B________250"/>
      <sheetName val="_97_207COSRP11.xls__97_207C_744"/>
      <sheetName val="_97_207COSRP11.xls__97_207C_745"/>
      <sheetName val="_97_207COSRP11.xls__97_207C_746"/>
      <sheetName val="_97_207COSRP11.xls__97_207C_747"/>
      <sheetName val="_97_207COSRP11.xls__97_207C_762"/>
      <sheetName val="_97_207COSRP11.xls__97_207C_763"/>
      <sheetName val="_97_207COSRP11.xls__97_207C_764"/>
      <sheetName val="_97_207COSRP11.xls_B________257"/>
      <sheetName val="_97_207COSRP11.xls_B________258"/>
      <sheetName val="_97_207COSRP11.xls__97_207C_765"/>
      <sheetName val="_97_207COSRP11.xls__97_207C_766"/>
      <sheetName val="_97_207COSRP11.xls_B________259"/>
      <sheetName val="_97_207COSRP11.xls__97_207C_767"/>
      <sheetName val="_97_207COSRP11.xls__97_207C_768"/>
      <sheetName val="_97_207COSRP11.xls_B________254"/>
      <sheetName val="_97_207COSRP11.xls_B________255"/>
      <sheetName val="_97_207COSRP11.xls__97_207C_758"/>
      <sheetName val="_97_207COSRP11.xls__97_207C_759"/>
      <sheetName val="_97_207COSRP11.xls_B________256"/>
      <sheetName val="_97_207COSRP11.xls__97_207C_760"/>
      <sheetName val="_97_207COSRP11.xls__97_207C_761"/>
      <sheetName val="_97_207COSRP11.xls__97_207C_933"/>
      <sheetName val="_97_207COSRP11.xls__97_207C_934"/>
      <sheetName val="_97_207COSRP11.xls__97_207C_935"/>
      <sheetName val="_97_207COSRP11.xls_B________302"/>
      <sheetName val="_97_207COSRP11.xls_B________303"/>
      <sheetName val="_97_207COSRP11.xls__97_207C_940"/>
      <sheetName val="_97_207COSRP11.xls__97_207C_936"/>
      <sheetName val="_97_207COSRP11.xls__97_207C_937"/>
      <sheetName val="_97_207COSRP11.xls__97_207C_941"/>
      <sheetName val="_97_207COSRP11.xls__97_207C_942"/>
      <sheetName val="_97_207COSRP11.xls_B________304"/>
      <sheetName val="_97_207COSRP11.xls__97_207C_938"/>
      <sheetName val="_97_207COSRP11.xls__97_207C_939"/>
      <sheetName val="_97_207COSRP11.xls__97_207C_923"/>
      <sheetName val="_97_207COSRP11.xls__97_207C_924"/>
      <sheetName val="_97_207COSRP11.xls__97_207C_925"/>
      <sheetName val="_97_207COSRP11.xls_B________299"/>
      <sheetName val="_97_207COSRP11.xls_B________300"/>
      <sheetName val="_97_207COSRP11.xls__97_207C_930"/>
      <sheetName val="_97_207COSRP11.xls__97_207C_926"/>
      <sheetName val="_97_207COSRP11.xls__97_207C_927"/>
      <sheetName val="_97_207COSRP11.xls__97_207C_931"/>
      <sheetName val="_97_207COSRP11.xls_B________301"/>
      <sheetName val="_97_207COSRP11.xls__97_207C_928"/>
      <sheetName val="_97_207COSRP11.xls__97_207C_929"/>
      <sheetName val="_97_207COSRP11.xls__97_207C_932"/>
      <sheetName val="_97_207COSRP11.xls__97_207C_769"/>
      <sheetName val="_97_207COSRP11.xls__97_207C_770"/>
      <sheetName val="_97_207COSRP11.xls__97_207C_771"/>
      <sheetName val="_97_207COSRP11.xls__97_207C_888"/>
      <sheetName val="_97_207COSRP11.xls__97_207C_772"/>
      <sheetName val="_97_207COSRP11.xls__97_207C_773"/>
      <sheetName val="_97_207COSRP11.xls__97_207C_774"/>
      <sheetName val="_97_207COSRP11.xls__97_207C_889"/>
      <sheetName val="_97_207COSRP11.xls__97_207C_775"/>
      <sheetName val="_97_207COSRP11.xls__97_207C_776"/>
      <sheetName val="_97_207COSRP11.xls__97_207C_777"/>
      <sheetName val="_97_207COSRP11.xls__97_207C_890"/>
      <sheetName val="_97_207COSRP11.xls__97_207C_778"/>
      <sheetName val="_97_207COSRP11.xls__97_207C_836"/>
      <sheetName val="_97_207COSRP11.xls__97_207C_837"/>
      <sheetName val="_97_207COSRP11.xls__97_207C_838"/>
      <sheetName val="_97_207COSRP11.xls_B________275"/>
      <sheetName val="_97_207COSRP11.xls_B________276"/>
      <sheetName val="_97_207COSRP11.xls__97_207C_830"/>
      <sheetName val="_97_207COSRP11.xls__97_207C_816"/>
      <sheetName val="_97_207COSRP11.xls__97_207C_817"/>
      <sheetName val="_97_207COSRP11.xls__97_207C_818"/>
      <sheetName val="_97_207COSRP11.xls__97_207C_831"/>
      <sheetName val="_97_207COSRP11.xls_B________277"/>
      <sheetName val="_97_207COSRP11.xls__97_207C_819"/>
      <sheetName val="_97_207COSRP11.xls__97_207C_820"/>
      <sheetName val="_97_207COSRP11.xls__97_207C_821"/>
      <sheetName val="_97_207COSRP11.xls__97_207C_832"/>
      <sheetName val="_97_207COSRP11.xls__97_207C_822"/>
      <sheetName val="_97_207COSRP11.xls__97_207C_779"/>
      <sheetName val="_97_207COSRP11.xls__97_207C_780"/>
      <sheetName val="_97_207COSRP11.xls_B________260"/>
      <sheetName val="_97_207COSRP11.xls_B________261"/>
      <sheetName val="_97_207COSRP11.xls__97_207C_781"/>
      <sheetName val="_97_207COSRP11.xls__97_207C_782"/>
      <sheetName val="_97_207COSRP11.xls__97_207C_783"/>
      <sheetName val="_97_207COSRP11.xls_B________262"/>
      <sheetName val="_97_207COSRP11.xls__97_207C_784"/>
      <sheetName val="_97_207COSRP11.xls__97_207C_785"/>
      <sheetName val="_97_207COSRP11.xls__97_207C_786"/>
      <sheetName val="_97_207COSRP11.xls__97_207C_787"/>
      <sheetName val="_97_207COSRP11.xls_B________263"/>
      <sheetName val="_97_207COSRP11.xls_B________264"/>
      <sheetName val="_97_207COSRP11.xls__97_207C_788"/>
      <sheetName val="_97_207COSRP11.xls__97_207C_789"/>
      <sheetName val="_97_207COSRP11.xls__97_207C_790"/>
      <sheetName val="_97_207COSRP11.xls_B________265"/>
      <sheetName val="_97_207COSRP11.xls__97_207C_791"/>
      <sheetName val="_97_207COSRP11.xls__97_207C_792"/>
      <sheetName val="_97_207COSRP11.xls__97_207C_793"/>
      <sheetName val="_97_207COSRP11.xls__97_207C_794"/>
      <sheetName val="_97_207COSRP11.xls_B________266"/>
      <sheetName val="_97_207COSRP11.xls_B________267"/>
      <sheetName val="_97_207COSRP11.xls__97_207C_795"/>
      <sheetName val="_97_207COSRP11.xls__97_207C_796"/>
      <sheetName val="_97_207COSRP11.xls__97_207C_797"/>
      <sheetName val="_97_207COSRP11.xls_B________268"/>
      <sheetName val="_97_207COSRP11.xls__97_207C_798"/>
      <sheetName val="_97_207COSRP11.xls__97_207C_799"/>
      <sheetName val="_97_207COSRP11.xls__97_207C_800"/>
      <sheetName val="_97_207COSRP11.xls__97_207C_801"/>
      <sheetName val="_97_207COSRP11.xls_B________269"/>
      <sheetName val="_97_207COSRP11.xls_B________270"/>
      <sheetName val="_97_207COSRP11.xls__97_207C_802"/>
      <sheetName val="_97_207COSRP11.xls__97_207C_803"/>
      <sheetName val="_97_207COSRP11.xls__97_207C_804"/>
      <sheetName val="_97_207COSRP11.xls_B________271"/>
      <sheetName val="_97_207COSRP11.xls__97_207C_805"/>
      <sheetName val="_97_207COSRP11.xls__97_207C_806"/>
      <sheetName val="_97_207COSRP11.xls__97_207C_807"/>
      <sheetName val="_97_207COSRP11.xls__97_207C_808"/>
      <sheetName val="_97_207COSRP11.xls_B________272"/>
      <sheetName val="_97_207COSRP11.xls_B________273"/>
      <sheetName val="_97_207COSRP11.xls__97_207C_809"/>
      <sheetName val="_97_207COSRP11.xls__97_207C_810"/>
      <sheetName val="_97_207COSRP11.xls__97_207C_811"/>
      <sheetName val="_97_207COSRP11.xls_B________274"/>
      <sheetName val="_97_207COSRP11.xls__97_207C_812"/>
      <sheetName val="_97_207COSRP11.xls__97_207C_813"/>
      <sheetName val="_97_207COSRP11.xls__97_207C_814"/>
      <sheetName val="_97_207COSRP11.xls__97_207C_815"/>
      <sheetName val="_97_207COSRP11.xls__97_207C_823"/>
      <sheetName val="_97_207COSRP11.xls_B________278"/>
      <sheetName val="_97_207COSRP11.xls_B________279"/>
      <sheetName val="_97_207COSRP11.xls__97_207C_824"/>
      <sheetName val="_97_207COSRP11.xls__97_207C_825"/>
      <sheetName val="_97_207COSRP11.xls_B________280"/>
      <sheetName val="_97_207COSRP11.xls__97_207C_826"/>
      <sheetName val="_97_207COSRP11.xls__97_207C_827"/>
      <sheetName val="_97_207COSRP11.xls__97_207C_828"/>
      <sheetName val="_97_207COSRP11.xls__97_207C_829"/>
      <sheetName val="_97_207COSRP11.xls__97_207C_833"/>
      <sheetName val="_97_207COSRP11.xls__97_207C_834"/>
      <sheetName val="_97_207COSRP11.xls__97_207C_835"/>
      <sheetName val="_97_207COSRP11.xls__97_207C_845"/>
      <sheetName val="_97_207COSRP11.xls__97_207C_846"/>
      <sheetName val="_97_207COSRP11.xls__97_207C_847"/>
      <sheetName val="_97_207COSRP11.xls__97_207C_839"/>
      <sheetName val="_97_207COSRP11.xls__97_207C_840"/>
      <sheetName val="_97_207COSRP11.xls__97_207C_841"/>
      <sheetName val="_97_207COSRP11.xls__97_207C_842"/>
      <sheetName val="_97_207COSRP11.xls__97_207C_843"/>
      <sheetName val="_97_207COSRP11.xls__97_207C_844"/>
      <sheetName val="_97_207COSRP11.xls_B________281"/>
      <sheetName val="_97_207COSRP11.xls_B________282"/>
      <sheetName val="_97_207COSRP11.xls__97_207C_861"/>
      <sheetName val="_97_207COSRP11.xls__97_207C_848"/>
      <sheetName val="_97_207COSRP11.xls__97_207C_849"/>
      <sheetName val="_97_207COSRP11.xls__97_207C_850"/>
      <sheetName val="_97_207COSRP11.xls__97_207C_862"/>
      <sheetName val="_97_207COSRP11.xls_B________283"/>
      <sheetName val="_97_207COSRP11.xls__97_207C_851"/>
      <sheetName val="_97_207COSRP11.xls__97_207C_852"/>
      <sheetName val="_97_207COSRP11.xls__97_207C_853"/>
      <sheetName val="_97_207COSRP11.xls__97_207C_863"/>
      <sheetName val="_97_207COSRP11.xls__97_207C_854"/>
      <sheetName val="_97_207COSRP11.xls__97_207C_855"/>
      <sheetName val="_97_207COSRP11.xls__97_207C_856"/>
      <sheetName val="_97_207COSRP11.xls__97_207C_857"/>
      <sheetName val="_97_207COSRP11.xls__97_207C_858"/>
      <sheetName val="_97_207COSRP11.xls__97_207C_859"/>
      <sheetName val="_97_207COSRP11.xls__97_207C_860"/>
      <sheetName val="_97_207COSRP11.xls_B________284"/>
      <sheetName val="_97_207COSRP11.xls_B________285"/>
      <sheetName val="_97_207COSRP11.xls__97_207C_881"/>
      <sheetName val="_97_207COSRP11.xls__97_207C_864"/>
      <sheetName val="_97_207COSRP11.xls__97_207C_865"/>
      <sheetName val="_97_207COSRP11.xls__97_207C_866"/>
      <sheetName val="_97_207COSRP11.xls__97_207C_882"/>
      <sheetName val="_97_207COSRP11.xls_B________286"/>
      <sheetName val="_97_207COSRP11.xls__97_207C_867"/>
      <sheetName val="_97_207COSRP11.xls__97_207C_868"/>
      <sheetName val="_97_207COSRP11.xls__97_207C_869"/>
      <sheetName val="_97_207COSRP11.xls__97_207C_883"/>
      <sheetName val="_97_207COSRP11.xls__97_207C_870"/>
      <sheetName val="_97_207COSRP11.xls_B________290"/>
      <sheetName val="_97_207COSRP11.xls_B________291"/>
      <sheetName val="_97_207COSRP11.xls__97_207C_884"/>
      <sheetName val="_97_207COSRP11.xls__97_207C_885"/>
      <sheetName val="_97_207COSRP11.xls_B________292"/>
      <sheetName val="_97_207COSRP11.xls__97_207C_886"/>
      <sheetName val="_97_207COSRP11.xls__97_207C_887"/>
      <sheetName val="_97_207COSRP11.xls__97_207C_871"/>
      <sheetName val="_97_207COSRP11.xls__97_207C_872"/>
      <sheetName val="_97_207COSRP11.xls__97_207C_873"/>
      <sheetName val="_97_207COSRP11.xls__97_207C_874"/>
      <sheetName val="_97_207COSRP11.xls__97_207C_875"/>
      <sheetName val="_97_207COSRP11.xls__97_207C_876"/>
      <sheetName val="_97_207COSRP11.xls_B________287"/>
      <sheetName val="_97_207COSRP11.xls_B________288"/>
      <sheetName val="_97_207COSRP11.xls__97_207C_877"/>
      <sheetName val="_97_207COSRP11.xls__97_207C_878"/>
      <sheetName val="_97_207COSRP11.xls_B________289"/>
      <sheetName val="_97_207COSRP11.xls__97_207C_879"/>
      <sheetName val="_97_207COSRP11.xls__97_207C_880"/>
      <sheetName val="_97_207COSRP11.xls__97_207C_891"/>
      <sheetName val="_97_207COSRP11.xls__97_207C_892"/>
      <sheetName val="_97_207COSRP11.xls__97_207C_893"/>
      <sheetName val="_97_207COSRP11.xls_B________293"/>
      <sheetName val="_97_207COSRP11.xls_B________294"/>
      <sheetName val="_97_207COSRP11.xls__97_207C_894"/>
      <sheetName val="_97_207COSRP11.xls__97_207C_895"/>
      <sheetName val="_97_207COSRP11.xls_B________295"/>
      <sheetName val="_97_207COSRP11.xls__97_207C_896"/>
      <sheetName val="_97_207COSRP11.xls__97_207C_897"/>
      <sheetName val="_97_207COSRP11.xls__97_207C_898"/>
      <sheetName val="_97_207COSRP11.xls__97_207C_899"/>
      <sheetName val="_97_207COSRP11.xls__97_207C_900"/>
      <sheetName val="_97_207COSRP11.xls_B________296"/>
      <sheetName val="_97_207COSRP11.xls_B________297"/>
      <sheetName val="_97_207COSRP11.xls__97_207C_901"/>
      <sheetName val="_97_207COSRP11.xls__97_207C_902"/>
      <sheetName val="_97_207COSRP11.xls_B________298"/>
      <sheetName val="_97_207COSRP11.xls__97_207C_903"/>
      <sheetName val="_97_207COSRP11.xls__97_207C_904"/>
      <sheetName val="_97_207COSRP11.xls__97_207C_908"/>
      <sheetName val="_97_207COSRP11.xls__97_207C_909"/>
      <sheetName val="_97_207COSRP11.xls__97_207C_910"/>
      <sheetName val="_97_207COSRP11.xls__97_207C_905"/>
      <sheetName val="_97_207COSRP11.xls__97_207C_906"/>
      <sheetName val="_97_207COSRP11.xls__97_207C_907"/>
      <sheetName val="_97_207COSRP11.xls__97_207C_920"/>
      <sheetName val="_97_207COSRP11.xls__97_207C_921"/>
      <sheetName val="_97_207COSRP11.xls__97_207C_922"/>
      <sheetName val="_97_207COSRP11.xls__97_207C_911"/>
      <sheetName val="_97_207COSRP11.xls__97_207C_912"/>
      <sheetName val="_97_207COSRP11.xls__97_207C_913"/>
      <sheetName val="_97_207COSRP11.xls__97_207C_914"/>
      <sheetName val="_97_207COSRP11.xls__97_207C_915"/>
      <sheetName val="_97_207COSRP11.xls__97_207C_916"/>
      <sheetName val="_97_207COSRP11.xls__97_207C_917"/>
      <sheetName val="_97_207COSRP11.xls__97_207C_918"/>
      <sheetName val="_97_207COSRP11.xls__97_207C_919"/>
      <sheetName val="_97_207COSRP11.xls_B________305"/>
      <sheetName val="_97_207COSRP11.xls_B________306"/>
      <sheetName val="_97_207COSRP11.xls__97_207C_943"/>
      <sheetName val="_97_207COSRP11.xls__97_207C_944"/>
      <sheetName val="_97_207COSRP11.xls_B________307"/>
      <sheetName val="_97_207COSRP11.xls__97_207C_945"/>
      <sheetName val="_97_207COSRP11.xls__97_207C_946"/>
      <sheetName val="_97_207COSRP11.xls_B________323"/>
      <sheetName val="_97_207COSRP11.xls_B________324"/>
      <sheetName val="_97_207COSRP11.xls__97_207_1006"/>
      <sheetName val="_97_207COSRP11.xls__97_207_1007"/>
      <sheetName val="_97_207COSRP11.xls__97_207_1008"/>
      <sheetName val="_97_207COSRP11.xls_B________325"/>
      <sheetName val="_97_207COSRP11.xls__97_207_1009"/>
      <sheetName val="_97_207COSRP11.xls__97_207_1010"/>
      <sheetName val="_97_207COSRP11.xls__97_207_1011"/>
      <sheetName val="_97_207COSRP11.xls__97_207_1012"/>
      <sheetName val="_97_207COSRP11.xls__97_207C_949"/>
      <sheetName val="_97_207COSRP11.xls__97_207C_950"/>
      <sheetName val="_97_207COSRP11.xls__97_207C_951"/>
      <sheetName val="_97_207COSRP11.xls__97_207C_947"/>
      <sheetName val="_97_207COSRP11.xls__97_207C_948"/>
      <sheetName val="_97_207COSRP11.xls__97_207C_952"/>
      <sheetName val="_97_207COSRP11.xls__97_207C_953"/>
      <sheetName val="_97_207COSRP11.xls__97_207C_954"/>
      <sheetName val="_97_207COSRP11.xls__97_207C_955"/>
      <sheetName val="_97_207COSRP11.xls__97_207C_956"/>
      <sheetName val="_97_207COSRP11.xls__97_207C_957"/>
      <sheetName val="_97_207COSRP11.xls__97_207C_958"/>
      <sheetName val="_97_207COSRP11.xls__97_207C_959"/>
      <sheetName val="_97_207COSRP11.xls__97_207C_960"/>
      <sheetName val="_97_207COSRP11.xls_B________308"/>
      <sheetName val="_97_207COSRP11.xls_B________309"/>
      <sheetName val="_97_207COSRP11.xls__97_207C_969"/>
      <sheetName val="_97_207COSRP11.xls__97_207C_962"/>
      <sheetName val="_97_207COSRP11.xls__97_207C_963"/>
      <sheetName val="_97_207COSRP11.xls__97_207C_964"/>
      <sheetName val="_97_207COSRP11.xls__97_207C_970"/>
      <sheetName val="_97_207COSRP11.xls_B________310"/>
      <sheetName val="_97_207COSRP11.xls__97_207C_965"/>
      <sheetName val="_97_207COSRP11.xls__97_207C_966"/>
      <sheetName val="_97_207COSRP11.xls__97_207C_967"/>
      <sheetName val="_97_207COSRP11.xls__97_207C_971"/>
      <sheetName val="_97_207COSRP11.xls__97_207C_968"/>
      <sheetName val="_97_207COSRP11.xls__97_207C_961"/>
      <sheetName val="_97_207COSRP11.xls_B________311"/>
      <sheetName val="_97_207COSRP11.xls_B________312"/>
      <sheetName val="_97_207COSRP11.xls__97_207C_976"/>
      <sheetName val="_97_207COSRP11.xls__97_207C_972"/>
      <sheetName val="_97_207COSRP11.xls__97_207C_973"/>
      <sheetName val="_97_207COSRP11.xls__97_207C_977"/>
      <sheetName val="_97_207COSRP11.xls_B________313"/>
      <sheetName val="_97_207COSRP11.xls__97_207C_974"/>
      <sheetName val="_97_207COSRP11.xls__97_207C_975"/>
      <sheetName val="_97_207COSRP11.xls__97_207C_978"/>
      <sheetName val="_97_207COSRP11.xls_B________314"/>
      <sheetName val="_97_207COSRP11.xls_B________315"/>
      <sheetName val="_97_207COSRP11.xls__97_207C_983"/>
      <sheetName val="_97_207COSRP11.xls__97_207C_979"/>
      <sheetName val="_97_207COSRP11.xls__97_207C_980"/>
      <sheetName val="_97_207COSRP11.xls__97_207C_984"/>
      <sheetName val="_97_207COSRP11.xls_B________316"/>
      <sheetName val="_97_207COSRP11.xls__97_207C_981"/>
      <sheetName val="_97_207COSRP11.xls__97_207C_982"/>
      <sheetName val="_97_207COSRP11.xls__97_207C_985"/>
      <sheetName val="_97_207COSRP11.xls__97_207C_996"/>
      <sheetName val="_97_207COSRP11.xls__97_207C_997"/>
      <sheetName val="_97_207COSRP11.xls__97_207C_998"/>
      <sheetName val="_97_207COSRP11.xls__97_207C_986"/>
      <sheetName val="_97_207COSRP11.xls__97_207C_987"/>
      <sheetName val="_97_207COSRP11.xls__97_207C_988"/>
      <sheetName val="_97_207COSRP11.xls_B________320"/>
      <sheetName val="_97_207COSRP11.xls_B________321"/>
      <sheetName val="_97_207COSRP11.xls__97_207_1003"/>
      <sheetName val="_97_207COSRP11.xls__97_207C_999"/>
      <sheetName val="_97_207COSRP11.xls__97_207_1000"/>
      <sheetName val="_97_207COSRP11.xls__97_207_1004"/>
      <sheetName val="_97_207COSRP11.xls_B________322"/>
      <sheetName val="_97_207COSRP11.xls__97_207_1001"/>
      <sheetName val="_97_207COSRP11.xls__97_207_1002"/>
      <sheetName val="_97_207COSRP11.xls__97_207_1005"/>
      <sheetName val="_97_207COSRP11.xls__97_207C_989"/>
      <sheetName val="_97_207COSRP11.xls__97_207C_990"/>
      <sheetName val="_97_207COSRP11.xls__97_207C_991"/>
      <sheetName val="_97_207COSRP11.xls_B________317"/>
      <sheetName val="_97_207COSRP11.xls_B________318"/>
      <sheetName val="_97_207COSRP11.xls__97_207C_992"/>
      <sheetName val="_97_207COSRP11.xls__97_207C_993"/>
      <sheetName val="_97_207COSRP11.xls_B________319"/>
      <sheetName val="_97_207COSRP11.xls__97_207C_994"/>
      <sheetName val="_97_207COSRP11.xls__97_207C_995"/>
      <sheetName val="_97_207COSRP11.xls_B________326"/>
      <sheetName val="_97_207COSRP11.xls_B________327"/>
      <sheetName val="_97_207COSRP11.xls_B________328"/>
      <sheetName val="_97_207COSRP11.xls_B________329"/>
      <sheetName val="_97_207COSRP11.xls_B________330"/>
      <sheetName val="_97_207COSRP11.xls_B________331"/>
      <sheetName val="_97_207COSRP11.xls_B________332"/>
      <sheetName val="_97_207COSRP11.xls_B________333"/>
      <sheetName val="_97_207COSRP11.xls_B________334"/>
      <sheetName val="_97_207COSRP11.xls__97_207_1013"/>
      <sheetName val="_97_207COSRP11.xls__97_207_1014"/>
      <sheetName val="_97_207COSRP11.xls__97_207_1015"/>
      <sheetName val="_97_207COSRP11.xls__97_207_1016"/>
      <sheetName val="_97_207COSRP11.xls__97_207_1017"/>
      <sheetName val="_97_207COSRP11.xls__97_207_1018"/>
      <sheetName val="_97_207COSRP11.xls__97_207_1019"/>
      <sheetName val="_97_207COSRP11.xls__97_207_1020"/>
      <sheetName val="_97_207COSRP11.xls__97_207_1021"/>
      <sheetName val="_97_207COSRP11.xls__97_207_1022"/>
      <sheetName val="_97_207COSRP11.xls_B________335"/>
      <sheetName val="_97_207COSRP11.xls_B________336"/>
      <sheetName val="_97_207COSRP11.xls__97_207_1023"/>
      <sheetName val="_97_207COSRP11.xls__97_207_1024"/>
      <sheetName val="_97_207COSRP11.xls_B________337"/>
      <sheetName val="_97_207COSRP11.xls__97_207_1025"/>
      <sheetName val="_97_207COSRP11.xls__97_207_1026"/>
      <sheetName val="_97_207COSRP11.xls__97_207_1027"/>
      <sheetName val="_97_207COSRP11.xls__97_207_1028"/>
      <sheetName val="_97_207COSRP11.xls__97_207_1029"/>
      <sheetName val="_97_207COSRP11.xls_B________338"/>
      <sheetName val="_97_207COSRP11.xls_B________339"/>
      <sheetName val="_97_207COSRP11.xls__97_207_1030"/>
      <sheetName val="_97_207COSRP11.xls__97_207_1031"/>
      <sheetName val="_97_207COSRP11.xls_B________340"/>
      <sheetName val="_97_207COSRP11.xls__97_207_1032"/>
      <sheetName val="_97_207COSRP11.xls__97_207_1033"/>
      <sheetName val="_97_207COSRP11.xls__97_207_1041"/>
      <sheetName val="_97_207COSRP11.xls_B________344"/>
      <sheetName val="_97_207COSRP11.xls_B________345"/>
      <sheetName val="_97_207COSRP11.xls__97_207_1042"/>
      <sheetName val="_97_207COSRP11.xls_B________346"/>
      <sheetName val="_97_207COSRP11.xls_B________347"/>
      <sheetName val="_97_207COSRP11.xls__97_207_1043"/>
      <sheetName val="_97_207COSRP11.xls__97_207_1044"/>
      <sheetName val="_97_207COSRP11.xls_B________348"/>
      <sheetName val="_97_207COSRP11.xls_B________349"/>
      <sheetName val="_97_207COSRP11.xls__97_207_1045"/>
      <sheetName val="_97_207COSRP11.xls__97_207_1051"/>
      <sheetName val="_97_207COSRP11.xls_B________356"/>
      <sheetName val="_97_207COSRP11.xls_B________357"/>
      <sheetName val="_97_207COSRP11.xls__97_207_1055"/>
      <sheetName val="_97_207COSRP11.xls__97_207_1046"/>
      <sheetName val="_97_207COSRP11.xls_B________350"/>
      <sheetName val="_97_207COSRP11.xls_B________351"/>
      <sheetName val="_97_207COSRP11.xls__97_207_1047"/>
      <sheetName val="_97_207COSRP11.xls__97_207_1048"/>
      <sheetName val="_97_207COSRP11.xls_B________352"/>
      <sheetName val="_97_207COSRP11.xls_B________353"/>
      <sheetName val="_97_207COSRP11.xls__97_207_1049"/>
      <sheetName val="_97_207COSRP11.xls_B________354"/>
      <sheetName val="_97_207COSRP11.xls_B________355"/>
      <sheetName val="_97_207COSRP11.xls__97_207_1050"/>
      <sheetName val="_97_207COSRP11.xls__97_207_1053"/>
      <sheetName val="_97_207COSRP11.xls__97_207_1052"/>
      <sheetName val="_97_207COSRP11.xls__97_207_1054"/>
      <sheetName val="_97_207COSRP11.xls__97_207_1056"/>
      <sheetName val="_97_207COSRP11.xls__97_207_1057"/>
      <sheetName val="_97_207COSRP11.xls__97_207_1060"/>
      <sheetName val="_97_207COSRP11.xls__97_207_1058"/>
      <sheetName val="_97_207COSRP11.xls__97_207_1059"/>
      <sheetName val="_97_207COSRP11.xls__97_207_1062"/>
      <sheetName val="_97_207COSRP11.xls__97_207_1061"/>
      <sheetName val="_97_207COSRP11.xls__97_207_1063"/>
      <sheetName val="_97_207COSRP11.xls__97_207_1064"/>
      <sheetName val="Material "/>
      <sheetName val="Labour &amp; Plant"/>
      <sheetName val="Database"/>
      <sheetName val="SCHEDULE"/>
      <sheetName val="schedule nos"/>
      <sheetName val="Non-Factory"/>
      <sheetName val="ABB"/>
      <sheetName val="GE"/>
      <sheetName val="Cash Flow Working"/>
      <sheetName val="Summary week wise"/>
      <sheetName val="Si"/>
      <sheetName val="AmeyM"/>
      <sheetName val="Item-wise summary"/>
      <sheetName val="hist&amp;proj"/>
      <sheetName val="1C Data"/>
      <sheetName val="organi synthesis lab"/>
      <sheetName val="1) COMMON FACILITIES"/>
      <sheetName val="labour coeff"/>
      <sheetName val="산근"/>
      <sheetName val="대비표"/>
      <sheetName val="[97_207COSRP11.xls]B_______1636"/>
      <sheetName val="[97_207COSRP11.xls]B_______1637"/>
      <sheetName val="[97_207COSRP11.xls]_97_207_4993"/>
      <sheetName val="[97_207COSRP11.xls]_97_207_4986"/>
      <sheetName val="[97_207COSRP11.xls]_97_207_4987"/>
      <sheetName val="[97_207COSRP11.xls]_97_207_4988"/>
      <sheetName val="[97_207COSRP11.xls]_97_207_4994"/>
      <sheetName val="[97_207COSRP11.xls]_97_207_4989"/>
      <sheetName val="[97_207COSRP11.xls]_97_207_4990"/>
      <sheetName val="[97_207COSRP11.xls]_97_207_4995"/>
      <sheetName val="[97_207COSRP11.xls]B_______1638"/>
      <sheetName val="[97_207COSRP11.xls]_97_207_4991"/>
      <sheetName val="[97_207COSRP11.xls]_97_207_4992"/>
      <sheetName val="[97_207COSRP11.xls]_97_207_4948"/>
      <sheetName val="[97_207COSRP11.xls]_97_207_4949"/>
      <sheetName val="[97_207COSRP11.xls]_97_207_4950"/>
      <sheetName val="[97_207COSRP11.xls]B_______1625"/>
      <sheetName val="[97_207COSRP11.xls]B_______1626"/>
      <sheetName val="[97_207COSRP11.xls]_97_207_4955"/>
      <sheetName val="[97_207COSRP11.xls]_97_207_4951"/>
      <sheetName val="[97_207COSRP11.xls]_97_207_4956"/>
      <sheetName val="[97_207COSRP11.xls]B_______1627"/>
      <sheetName val="[97_207COSRP11.xls]_97_207_4952"/>
      <sheetName val="[97_207COSRP11.xls]_97_207_4953"/>
      <sheetName val="[97_207COSRP11.xls]_97_207_4954"/>
      <sheetName val="[97_207COSRP11.xls]_97_207_4957"/>
      <sheetName val="[97_207COSRP11.xls]_97_207_4850"/>
      <sheetName val="[97_207COSRP11.xls]_97_207_4851"/>
      <sheetName val="[97_207COSRP11.xls]_97_207_4852"/>
      <sheetName val="[97_207COSRP11.xls]_97_207_4796"/>
      <sheetName val="[97_207COSRP11.xls]_97_207_4797"/>
      <sheetName val="[97_207COSRP11.xls]_97_207_4798"/>
      <sheetName val="[97_207COSRP11.xls]_97_207_4799"/>
      <sheetName val="[97_207COSRP11.xls]_97_207_4800"/>
      <sheetName val="[97_207COSRP11.xls]_97_207_4801"/>
      <sheetName val="[97_207COSRP11.xls]_97_207_4833"/>
      <sheetName val="[97_207COSRP11.xls]_97_207_4802"/>
      <sheetName val="[97_207COSRP11.xls]_97_207_4803"/>
      <sheetName val="[97_207COSRP11.xls]_97_207_4834"/>
      <sheetName val="[97_207COSRP11.xls]_97_207_4804"/>
      <sheetName val="[97_207COSRP11.xls]_97_207_4805"/>
      <sheetName val="[97_207COSRP11.xls]_97_207_4835"/>
      <sheetName val="[97_207COSRP11.xls]_97_207_4820"/>
      <sheetName val="[97_207COSRP11.xls]_97_207_4821"/>
      <sheetName val="[97_207COSRP11.xls]_97_207_4822"/>
      <sheetName val="[97_207COSRP11.xls]B_______1583"/>
      <sheetName val="[97_207COSRP11.xls]B_______1584"/>
      <sheetName val="[97_207COSRP11.xls]_97_207_4827"/>
      <sheetName val="[97_207COSRP11.xls]_97_207_4823"/>
      <sheetName val="[97_207COSRP11.xls]_97_207_4824"/>
      <sheetName val="[97_207COSRP11.xls]_97_207_4828"/>
      <sheetName val="[97_207COSRP11.xls]B_______1585"/>
      <sheetName val="[97_207COSRP11.xls]_97_207_4825"/>
      <sheetName val="[97_207COSRP11.xls]_97_207_4826"/>
      <sheetName val="[97_207COSRP11.xls]_97_207_4829"/>
      <sheetName val="[97_207COSRP11.xls]_97_207_4806"/>
      <sheetName val="[97_207COSRP11.xls]_97_207_4807"/>
      <sheetName val="[97_207COSRP11.xls]_97_207_4808"/>
      <sheetName val="[97_207COSRP11.xls]_97_207_4809"/>
      <sheetName val="[97_207COSRP11.xls]_97_207_4810"/>
      <sheetName val="[97_207COSRP11.xls]_97_207_4811"/>
      <sheetName val="[97_207COSRP11.xls]_97_207_4812"/>
      <sheetName val="[97_207COSRP11.xls]_97_207_4813"/>
      <sheetName val="[97_207COSRP11.xls]_97_207_4814"/>
      <sheetName val="[97_207COSRP11.xls]_97_207_4815"/>
      <sheetName val="[97_207COSRP11.xls]_97_207_4816"/>
      <sheetName val="[97_207COSRP11.xls]_97_207_4817"/>
      <sheetName val="[97_207COSRP11.xls]B_______1582"/>
      <sheetName val="[97_207COSRP11.xls]_97_207_4818"/>
      <sheetName val="[97_207COSRP11.xls]_97_207_4819"/>
      <sheetName val="[97_207COSRP11.xls]_97_207_4830"/>
      <sheetName val="[97_207COSRP11.xls]_97_207_4831"/>
      <sheetName val="[97_207COSRP11.xls]_97_207_4832"/>
      <sheetName val="[97_207COSRP11.xls]B_______1586"/>
      <sheetName val="[97_207COSRP11.xls]B_______1587"/>
      <sheetName val="[97_207COSRP11.xls]_97_207_4840"/>
      <sheetName val="[97_207COSRP11.xls]_97_207_4836"/>
      <sheetName val="[97_207COSRP11.xls]_97_207_4837"/>
      <sheetName val="[97_207COSRP11.xls]_97_207_4841"/>
      <sheetName val="[97_207COSRP11.xls]B_______1588"/>
      <sheetName val="[97_207COSRP11.xls]_97_207_4838"/>
      <sheetName val="[97_207COSRP11.xls]_97_207_4839"/>
      <sheetName val="[97_207COSRP11.xls]_97_207_4842"/>
      <sheetName val="[97_207COSRP11.xls]B_______1589"/>
      <sheetName val="[97_207COSRP11.xls]B_______1590"/>
      <sheetName val="[97_207COSRP11.xls]_97_207_4847"/>
      <sheetName val="[97_207COSRP11.xls]_97_207_4843"/>
      <sheetName val="[97_207COSRP11.xls]_97_207_4844"/>
      <sheetName val="[97_207COSRP11.xls]_97_207_4848"/>
      <sheetName val="[97_207COSRP11.xls]B_______1591"/>
      <sheetName val="[97_207COSRP11.xls]_97_207_4845"/>
      <sheetName val="[97_207COSRP11.xls]_97_207_4846"/>
      <sheetName val="[97_207COSRP11.xls]_97_207_4849"/>
      <sheetName val="[97_207COSRP11.xls]_97_207_4931"/>
      <sheetName val="[97_207COSRP11.xls]_97_207_4932"/>
      <sheetName val="[97_207COSRP11.xls]_97_207_4933"/>
      <sheetName val="[97_207COSRP11.xls]_97_207_4914"/>
      <sheetName val="[97_207COSRP11.xls]_97_207_4915"/>
      <sheetName val="[97_207COSRP11.xls]_97_207_4916"/>
      <sheetName val="[97_207COSRP11.xls]B_______1613"/>
      <sheetName val="[97_207COSRP11.xls]B_______1614"/>
      <sheetName val="[97_207COSRP11.xls]_97_207_4921"/>
      <sheetName val="[97_207COSRP11.xls]_97_207_4917"/>
      <sheetName val="[97_207COSRP11.xls]_97_207_4918"/>
      <sheetName val="[97_207COSRP11.xls]_97_207_4922"/>
      <sheetName val="[97_207COSRP11.xls]B_______1615"/>
      <sheetName val="[97_207COSRP11.xls]_97_207_4919"/>
      <sheetName val="[97_207COSRP11.xls]_97_207_4920"/>
      <sheetName val="[97_207COSRP11.xls]_97_207_4923"/>
      <sheetName val="[97_207COSRP11.xls]B_______1592"/>
      <sheetName val="[97_207COSRP11.xls]B_______1593"/>
      <sheetName val="[97_207COSRP11.xls]_97_207_4872"/>
      <sheetName val="[97_207COSRP11.xls]_97_207_4873"/>
      <sheetName val="[97_207COSRP11.xls]B_______1594"/>
      <sheetName val="[97_207COSRP11.xls]_97_207_4874"/>
      <sheetName val="[97_207COSRP11.xls]B_______1604"/>
      <sheetName val="[97_207COSRP11.xls]B_______1605"/>
      <sheetName val="[97_207COSRP11.xls]_97_207_4879"/>
      <sheetName val="[97_207COSRP11.xls]_97_207_4875"/>
      <sheetName val="[97_207COSRP11.xls]_97_207_4876"/>
      <sheetName val="[97_207COSRP11.xls]_97_207_4880"/>
      <sheetName val="[97_207COSRP11.xls]B_______1606"/>
      <sheetName val="[97_207COSRP11.xls]_97_207_4877"/>
      <sheetName val="[97_207COSRP11.xls]_97_207_4878"/>
      <sheetName val="[97_207COSRP11.xls]_97_207_4881"/>
      <sheetName val="[97_207COSRP11.xls]_97_207_4853"/>
      <sheetName val="[97_207COSRP11.xls]B_______1595"/>
      <sheetName val="[97_207COSRP11.xls]B_______1596"/>
      <sheetName val="[97_207COSRP11.xls]_97_207_4854"/>
      <sheetName val="[97_207COSRP11.xls]_97_207_4855"/>
      <sheetName val="[97_207COSRP11.xls]B_______1597"/>
      <sheetName val="[97_207COSRP11.xls]_97_207_4856"/>
      <sheetName val="[97_207COSRP11.xls]_97_207_4857"/>
      <sheetName val="[97_207COSRP11.xls]_97_207_4858"/>
      <sheetName val="[97_207COSRP11.xls]_97_207_4859"/>
      <sheetName val="[97_207COSRP11.xls]_97_207_4860"/>
      <sheetName val="[97_207COSRP11.xls]B_______1598"/>
      <sheetName val="[97_207COSRP11.xls]B_______1599"/>
      <sheetName val="[97_207COSRP11.xls]_97_207_4861"/>
      <sheetName val="[97_207COSRP11.xls]_97_207_4862"/>
      <sheetName val="[97_207COSRP11.xls]B_______1600"/>
      <sheetName val="[97_207COSRP11.xls]_97_207_4863"/>
      <sheetName val="[97_207COSRP11.xls]_97_207_4864"/>
      <sheetName val="[97_207COSRP11.xls]_97_207_4865"/>
      <sheetName val="[97_207COSRP11.xls]_97_207_4866"/>
      <sheetName val="[97_207COSRP11.xls]_97_207_4867"/>
      <sheetName val="[97_207COSRP11.xls]B_______1601"/>
      <sheetName val="[97_207COSRP11.xls]B_______1602"/>
      <sheetName val="[97_207COSRP11.xls]_97_207_4868"/>
      <sheetName val="[97_207COSRP11.xls]_97_207_4869"/>
      <sheetName val="[97_207COSRP11.xls]B_______1603"/>
      <sheetName val="[97_207COSRP11.xls]_97_207_4870"/>
      <sheetName val="[97_207COSRP11.xls]_97_207_4871"/>
      <sheetName val="[97_207COSRP11.xls]_97_207_4889"/>
      <sheetName val="[97_207COSRP11.xls]_97_207_4890"/>
      <sheetName val="[97_207COSRP11.xls]_97_207_4891"/>
      <sheetName val="[97_207COSRP11.xls]B_______1610"/>
      <sheetName val="[97_207COSRP11.xls]B_______1611"/>
      <sheetName val="[97_207COSRP11.xls]_97_207_4911"/>
      <sheetName val="[97_207COSRP11.xls]_97_207_4892"/>
      <sheetName val="[97_207COSRP11.xls]_97_207_4893"/>
      <sheetName val="[97_207COSRP11.xls]_97_207_4912"/>
      <sheetName val="[97_207COSRP11.xls]B_______1612"/>
      <sheetName val="[97_207COSRP11.xls]_97_207_4894"/>
      <sheetName val="[97_207COSRP11.xls]_97_207_4895"/>
      <sheetName val="[97_207COSRP11.xls]_97_207_4913"/>
      <sheetName val="[97_207COSRP11.xls]_97_207_4882"/>
      <sheetName val="[97_207COSRP11.xls]_97_207_4883"/>
      <sheetName val="[97_207COSRP11.xls]_97_207_4884"/>
      <sheetName val="[97_207COSRP11.xls]B_______1607"/>
      <sheetName val="[97_207COSRP11.xls]B_______1608"/>
      <sheetName val="[97_207COSRP11.xls]_97_207_4885"/>
      <sheetName val="[97_207COSRP11.xls]_97_207_4886"/>
      <sheetName val="[97_207COSRP11.xls]B_______1609"/>
      <sheetName val="[97_207COSRP11.xls]_97_207_4887"/>
      <sheetName val="[97_207COSRP11.xls]_97_207_4888"/>
      <sheetName val="[97_207COSRP11.xls]_97_207_4896"/>
      <sheetName val="[97_207COSRP11.xls]_97_207_4897"/>
      <sheetName val="[97_207COSRP11.xls]_97_207_4898"/>
      <sheetName val="[97_207COSRP11.xls]_97_207_4899"/>
      <sheetName val="[97_207COSRP11.xls]_97_207_4900"/>
      <sheetName val="[97_207COSRP11.xls]_97_207_4901"/>
      <sheetName val="[97_207COSRP11.xls]_97_207_4902"/>
      <sheetName val="[97_207COSRP11.xls]_97_207_4903"/>
      <sheetName val="[97_207COSRP11.xls]_97_207_4904"/>
      <sheetName val="[97_207COSRP11.xls]_97_207_4905"/>
      <sheetName val="[97_207COSRP11.xls]_97_207_4906"/>
      <sheetName val="[97_207COSRP11.xls]_97_207_4907"/>
      <sheetName val="[97_207COSRP11.xls]_97_207_4908"/>
      <sheetName val="[97_207COSRP11.xls]_97_207_4909"/>
      <sheetName val="[97_207COSRP11.xls]_97_207_4910"/>
      <sheetName val="[97_207COSRP11.xls]B_______1619"/>
      <sheetName val="[97_207COSRP11.xls]B_______1620"/>
      <sheetName val="[97_207COSRP11.xls]_97_207_4938"/>
      <sheetName val="[97_207COSRP11.xls]_97_207_4934"/>
      <sheetName val="[97_207COSRP11.xls]_97_207_4935"/>
      <sheetName val="[97_207COSRP11.xls]_97_207_4939"/>
      <sheetName val="[97_207COSRP11.xls]B_______1621"/>
      <sheetName val="[97_207COSRP11.xls]_97_207_4936"/>
      <sheetName val="[97_207COSRP11.xls]_97_207_4937"/>
      <sheetName val="[97_207COSRP11.xls]_97_207_4940"/>
      <sheetName val="[97_207COSRP11.xls]_97_207_4924"/>
      <sheetName val="[97_207COSRP11.xls]_97_207_4925"/>
      <sheetName val="[97_207COSRP11.xls]_97_207_4926"/>
      <sheetName val="[97_207COSRP11.xls]B_______1616"/>
      <sheetName val="[97_207COSRP11.xls]B_______1617"/>
      <sheetName val="[97_207COSRP11.xls]_97_207_4927"/>
      <sheetName val="[97_207COSRP11.xls]_97_207_4928"/>
      <sheetName val="[97_207COSRP11.xls]B_______1618"/>
      <sheetName val="[97_207COSRP11.xls]_97_207_4929"/>
      <sheetName val="[97_207COSRP11.xls]_97_207_4930"/>
      <sheetName val="[97_207COSRP11.xls]_97_207_4941"/>
      <sheetName val="[97_207COSRP11.xls]_97_207_4942"/>
      <sheetName val="[97_207COSRP11.xls]_97_207_4943"/>
      <sheetName val="[97_207COSRP11.xls]B_______1622"/>
      <sheetName val="[97_207COSRP11.xls]B_______1623"/>
      <sheetName val="[97_207COSRP11.xls]_97_207_4944"/>
      <sheetName val="[97_207COSRP11.xls]B_______1624"/>
      <sheetName val="[97_207COSRP11.xls]_97_207_4945"/>
      <sheetName val="[97_207COSRP11.xls]_97_207_4946"/>
      <sheetName val="[97_207COSRP11.xls]_97_207_4947"/>
      <sheetName val="[97_207COSRP11.xls]_97_207_4961"/>
      <sheetName val="[97_207COSRP11.xls]_97_207_4962"/>
      <sheetName val="[97_207COSRP11.xls]_97_207_4963"/>
      <sheetName val="[97_207COSRP11.xls]_97_207_4958"/>
      <sheetName val="[97_207COSRP11.xls]_97_207_4959"/>
      <sheetName val="[97_207COSRP11.xls]_97_207_4960"/>
      <sheetName val="[97_207COSRP11.xls]_97_207_4973"/>
      <sheetName val="[97_207COSRP11.xls]B_______1633"/>
      <sheetName val="[97_207COSRP11.xls]B_______1634"/>
      <sheetName val="[97_207COSRP11.xls]_97_207_4983"/>
      <sheetName val="[97_207COSRP11.xls]_97_207_4974"/>
      <sheetName val="[97_207COSRP11.xls]_97_207_4975"/>
      <sheetName val="[97_207COSRP11.xls]_97_207_4984"/>
      <sheetName val="[97_207COSRP11.xls]_97_207_4976"/>
      <sheetName val="[97_207COSRP11.xls]_97_207_4977"/>
      <sheetName val="[97_207COSRP11.xls]_97_207_4985"/>
      <sheetName val="[97_207COSRP11.xls]B_______1635"/>
      <sheetName val="[97_207COSRP11.xls]_97_207_4978"/>
      <sheetName val="[97_207COSRP11.xls]_97_207_4979"/>
      <sheetName val="[97_207COSRP11.xls]_97_207_4964"/>
      <sheetName val="[97_207COSRP11.xls]B_______1628"/>
      <sheetName val="[97_207COSRP11.xls]B_______1629"/>
      <sheetName val="[97_207COSRP11.xls]_97_207_4965"/>
      <sheetName val="[97_207COSRP11.xls]_97_207_4966"/>
      <sheetName val="[97_207COSRP11.xls]B_______1630"/>
      <sheetName val="[97_207COSRP11.xls]B_______1631"/>
      <sheetName val="[97_207COSRP11.xls]_97_207_4967"/>
      <sheetName val="[97_207COSRP11.xls]_97_207_4968"/>
      <sheetName val="[97_207COSRP11.xls]_97_207_4969"/>
      <sheetName val="[97_207COSRP11.xls]_97_207_4970"/>
      <sheetName val="[97_207COSRP11.xls]B_______1632"/>
      <sheetName val="[97_207COSRP11.xls]_97_207_4971"/>
      <sheetName val="[97_207COSRP11.xls]_97_207_4972"/>
      <sheetName val="[97_207COSRP11.xls]_97_207_4980"/>
      <sheetName val="[97_207COSRP11.xls]_97_207_4981"/>
      <sheetName val="[97_207COSRP11.xls]_97_207_4982"/>
      <sheetName val="[97_207COSRP11.xls]B_______1641"/>
      <sheetName val="[97_207COSRP11.xls]B_______1642"/>
      <sheetName val="[97_207COSRP11.xls]_97_207_5004"/>
      <sheetName val="[97_207COSRP11.xls]_97_207_5001"/>
      <sheetName val="[97_207COSRP11.xls]_97_207_5002"/>
      <sheetName val="[97_207COSRP11.xls]_97_207_5003"/>
      <sheetName val="[97_207COSRP11.xls]_97_207_5005"/>
      <sheetName val="[97_207COSRP11.xls]B_______1643"/>
      <sheetName val="[97_207COSRP11.xls]B_______1644"/>
      <sheetName val="[97_207COSRP11.xls]_97_207_5009"/>
      <sheetName val="[97_207COSRP11.xls]_97_207_5006"/>
      <sheetName val="[97_207COSRP11.xls]_97_207_5007"/>
      <sheetName val="[97_207COSRP11.xls]_97_207_5008"/>
      <sheetName val="[97_207COSRP11.xls]_97_207_5010"/>
      <sheetName val="[97_207COSRP11.xls]B_______1645"/>
      <sheetName val="[97_207COSRP11.xls]B_______1646"/>
      <sheetName val="[97_207COSRP11.xls]_97_207_5014"/>
      <sheetName val="[97_207COSRP11.xls]_97_207_5011"/>
      <sheetName val="[97_207COSRP11.xls]_97_207_5012"/>
      <sheetName val="[97_207COSRP11.xls]_97_207_5013"/>
      <sheetName val="[97_207COSRP11.xls]B_______1647"/>
      <sheetName val="[97_207COSRP11.xls]B_______1648"/>
      <sheetName val="[97_207COSRP11.xls]_97_207_5018"/>
      <sheetName val="[97_207COSRP11.xls]_97_207_5015"/>
      <sheetName val="[97_207COSRP11.xls]_97_207_5016"/>
      <sheetName val="[97_207COSRP11.xls]_97_207_5017"/>
      <sheetName val="[97_207COSRP11.xls]_97_207_5022"/>
      <sheetName val="[97_207COSRP11.xls]B_______1651"/>
      <sheetName val="[97_207COSRP11.xls]B_______1652"/>
      <sheetName val="[97_207COSRP11.xls]_97_207_5026"/>
      <sheetName val="[97_207COSRP11.xls]_97_207_5023"/>
      <sheetName val="[97_207COSRP11.xls]_97_207_5024"/>
      <sheetName val="[97_207COSRP11.xls]_97_207_5025"/>
      <sheetName val="[97_207COSRP11.xls]B_______1649"/>
      <sheetName val="[97_207COSRP11.xls]B_______1650"/>
      <sheetName val="[97_207COSRP11.xls]_97_207_5019"/>
      <sheetName val="[97_207COSRP11.xls]_97_207_5020"/>
      <sheetName val="[97_207COSRP11.xls]_97_207_5021"/>
      <sheetName val="I_x0016_"/>
      <sheetName val="_97_207COSRP11.xls__97_207_2522"/>
      <sheetName val="_97_207COSRP11.xls_B________841"/>
      <sheetName val="_97_207COSRP11.xls_B________842"/>
      <sheetName val="_97_207COSRP11.xls__97_207_2526"/>
      <sheetName val="_97_207COSRP11.xls__97_207_2523"/>
      <sheetName val="_97_207COSRP11.xls__97_207_2524"/>
      <sheetName val="_97_207COSRP11.xls__97_207_2525"/>
      <sheetName val="_97_207COSRP11.xls__97_207_2503"/>
      <sheetName val="_97_207COSRP11.xls_B________833"/>
      <sheetName val="_97_207COSRP11.xls_B________834"/>
      <sheetName val="_97_207COSRP11.xls__97_207_2507"/>
      <sheetName val="_97_207COSRP11.xls__97_207_2504"/>
      <sheetName val="_97_207COSRP11.xls__97_207_2505"/>
      <sheetName val="_97_207COSRP11.xls__97_207_2506"/>
      <sheetName val="_97_207COSRP11.xls_B________358"/>
      <sheetName val="_97_207COSRP11.xls_B________359"/>
      <sheetName val="_97_207COSRP11.xls_B________360"/>
      <sheetName val="_97_207COSRP11.xls_B________361"/>
      <sheetName val="_97_207COSRP11.xls_B________362"/>
      <sheetName val="_97_207COSRP11.xls_B________365"/>
      <sheetName val="_97_207COSRP11.xls_B________366"/>
      <sheetName val="_97_207COSRP11.xls_B________363"/>
      <sheetName val="_97_207COSRP11.xls_B________364"/>
      <sheetName val="_97_207COSRP11.xls_B________367"/>
      <sheetName val="_97_207COSRP11.xls_B________368"/>
      <sheetName val="_97_207COSRP11.xls_B________369"/>
      <sheetName val="_97_207COSRP11.xls_B________370"/>
      <sheetName val="_97_207COSRP11.xls_B________371"/>
      <sheetName val="_97_207COSRP11.xls_B________372"/>
      <sheetName val="_97_207COSRP11.xls_B________375"/>
      <sheetName val="_97_207COSRP11.xls_B________376"/>
      <sheetName val="_97_207COSRP11.xls_B________373"/>
      <sheetName val="_97_207COSRP11.xls_B________374"/>
      <sheetName val="_97_207COSRP11.xls_B________377"/>
      <sheetName val="_97_207COSRP11.xls_B________378"/>
      <sheetName val="_97_207COSRP11.xls_B________379"/>
      <sheetName val="_97_207COSRP11.xls_B________380"/>
      <sheetName val="_97_207COSRP11.xls_B________381"/>
      <sheetName val="_97_207COSRP11.xls_B________382"/>
      <sheetName val="_97_207COSRP11.xls_B________383"/>
      <sheetName val="_97_207COSRP11.xls_B________384"/>
      <sheetName val="_97_207COSRP11.xls_B________387"/>
      <sheetName val="_97_207COSRP11.xls_B________388"/>
      <sheetName val="_97_207COSRP11.xls_B________385"/>
      <sheetName val="_97_207COSRP11.xls_B________386"/>
      <sheetName val="_97_207COSRP11.xls_B________389"/>
      <sheetName val="_97_207COSRP11.xls_B________390"/>
      <sheetName val="_97_207COSRP11.xls__97_207_1748"/>
      <sheetName val="_97_207COSRP11.xls_B________412"/>
      <sheetName val="_97_207COSRP11.xls_B________413"/>
      <sheetName val="_97_207COSRP11.xls__97_207_1249"/>
      <sheetName val="_97_207COSRP11.xls__97_207_1744"/>
      <sheetName val="_97_207COSRP11.xls__97_207_1250"/>
      <sheetName val="_97_207COSRP11.xls__97_207_1251"/>
      <sheetName val="_97_207COSRP11.xls__97_207_1252"/>
      <sheetName val="_97_207COSRP11.xls_B________391"/>
      <sheetName val="_97_207COSRP11.xls_B________392"/>
      <sheetName val="_97_207COSRP11.xls_B________404"/>
      <sheetName val="_97_207COSRP11.xls_B________405"/>
      <sheetName val="_97_207COSRP11.xls__97_207_1237"/>
      <sheetName val="_97_207COSRP11.xls__97_207_1239"/>
      <sheetName val="_97_207COSRP11_xls__97_207COS_4"/>
      <sheetName val="_97_207COSRP11_xls__97_207COS_5"/>
      <sheetName val="_97_207COSRP11_xls__97_207COS_2"/>
      <sheetName val="_97_207COSRP11_xls__97_207COS_3"/>
      <sheetName val="_97_207COSRP11_xls__97_207COS_6"/>
      <sheetName val="_97_207COSRP11_xls__97_207COS_7"/>
      <sheetName val="_97_207COSRP11_xls__97_207COS_8"/>
      <sheetName val="_97_207COSRP11_xls__97_207COS_9"/>
      <sheetName val="_97_207COSRP11_xls_B__________2"/>
      <sheetName val="_97_207COSRP11_xls_B__________3"/>
      <sheetName val="_97_207COSRP11_xls_B__________6"/>
      <sheetName val="_97_207COSRP11_xls_B__________7"/>
      <sheetName val="_97_207COSRP11_xls_B__________4"/>
      <sheetName val="_97_207COSRP11_xls_B__________5"/>
      <sheetName val="_97_207COSRP11_xls__97_207CO_10"/>
      <sheetName val="_97_207COSRP11_xls_B__________8"/>
      <sheetName val="_97_207COSRP11_xls_B__________9"/>
      <sheetName val="_97_207COSRP11_xls__97_207CO_11"/>
      <sheetName val="_97_207COSRP11_xls_B_________86"/>
      <sheetName val="_97_207COSRP11_xls_B_________87"/>
      <sheetName val="_97_207COSRP11_xls__97_207CO_67"/>
      <sheetName val="_97_207COSRP11_xls__97_207CO_63"/>
      <sheetName val="_97_207COSRP11_xls__97_207CO_64"/>
      <sheetName val="_97_207COSRP11_xls__97_207CO_65"/>
      <sheetName val="_97_207COSRP11_xls_B_________10"/>
      <sheetName val="_97_207COSRP11_xls_B_________11"/>
      <sheetName val="_97_207COSRP11_xls_B_________12"/>
      <sheetName val="_97_207COSRP11_xls_B_________13"/>
      <sheetName val="_97_207COSRP11_xls_B_________16"/>
      <sheetName val="_97_207COSRP11_xls_B_________17"/>
      <sheetName val="_97_207COSRP11_xls__97_207CO_14"/>
      <sheetName val="_97_207COSRP11_xls_B_________14"/>
      <sheetName val="_97_207COSRP11_xls_B_________15"/>
      <sheetName val="_97_207COSRP11_xls_B_________22"/>
      <sheetName val="_97_207COSRP11_xls_B_________23"/>
      <sheetName val="_97_207COSRP11_xls__97_207CO_46"/>
      <sheetName val="_97_207COSRP11_xls__97_207CO_12"/>
      <sheetName val="_97_207COSRP11_xls_B_________18"/>
      <sheetName val="_97_207COSRP11_xls_B_________19"/>
      <sheetName val="_97_207COSRP11_xls__97_207CO_13"/>
      <sheetName val="_97_207COSRP11_xls_B_________20"/>
      <sheetName val="_97_207COSRP11_xls_B_________21"/>
      <sheetName val="_97_207COSRP11_xls__97_207CO_15"/>
      <sheetName val="_97_207COSRP11_xls_B_________60"/>
      <sheetName val="_97_207COSRP11_xls_B_________61"/>
      <sheetName val="_97_207COSRP11_xls__97_207CO_49"/>
      <sheetName val="_97_207COSRP11_xls__97_207CO_16"/>
      <sheetName val="_97_207COSRP11_xls__97_207CO_18"/>
      <sheetName val="_97_207COSRP11_xls__97_207CO_17"/>
      <sheetName val="_97_207COSRP11_xls__97_207CO_19"/>
      <sheetName val="_97_207COSRP11_xls__97_207CO_20"/>
      <sheetName val="_97_207COSRP11_xls__97_207CO_21"/>
      <sheetName val="_97_207COSRP11_xls__97_207CO_22"/>
      <sheetName val="_97_207COSRP11_xls__97_207CO_23"/>
      <sheetName val="_97_207COSRP11_xls__97_207CO_24"/>
      <sheetName val="_97_207COSRP11_xls__97_207CO_25"/>
      <sheetName val="_97_207COSRP11_xls__97_207CO_26"/>
      <sheetName val="_97_207COSRP11_xls__97_207CO_28"/>
      <sheetName val="_97_207COSRP11_xls__97_207CO_27"/>
      <sheetName val="_97_207COSRP11_xls__97_207CO_29"/>
      <sheetName val="_97_207COSRP11_xls__97_207CO_30"/>
      <sheetName val="_97_207COSRP11_xls__97_207CO_31"/>
      <sheetName val="_97_207COSRP11_xls__97_207CO_33"/>
      <sheetName val="_97_207COSRP11_xls__97_207CO_34"/>
      <sheetName val="_97_207COSRP11_xls__97_207CO_32"/>
      <sheetName val="_97_207COSRP11_xls__97_207CO_35"/>
      <sheetName val="_97_207COSRP11_xls_B_________40"/>
      <sheetName val="_97_207COSRP11_xls_B_________41"/>
      <sheetName val="_97_207COSRP11_xls_B_________28"/>
      <sheetName val="_97_207COSRP11_xls_B_________29"/>
      <sheetName val="_97_207COSRP11_xls_B_________24"/>
      <sheetName val="_97_207COSRP11_xls_B_________25"/>
      <sheetName val="_97_207COSRP11_xls_B_________26"/>
      <sheetName val="_97_207COSRP11_xls_B_________27"/>
      <sheetName val="_97_207COSRP11_xls_B_________30"/>
      <sheetName val="_97_207COSRP11_xls_B_________31"/>
      <sheetName val="_97_207COSRP11_xls_B_________34"/>
      <sheetName val="_97_207COSRP11_xls_B_________35"/>
      <sheetName val="_97_207COSRP11_xls_B_________32"/>
      <sheetName val="_97_207COSRP11_xls_B_________33"/>
      <sheetName val="_97_207COSRP11_xls_B_________36"/>
      <sheetName val="_97_207COSRP11_xls_B_________37"/>
      <sheetName val="_97_207COSRP11_xls_B_________38"/>
      <sheetName val="_97_207COSRP11_xls_B_________39"/>
      <sheetName val="_97_207COSRP11_xls_B_________42"/>
      <sheetName val="_97_207COSRP11_xls_B_________43"/>
      <sheetName val="_97_207COSRP11_xls_B_________44"/>
      <sheetName val="_97_207COSRP11_xls_B_________45"/>
      <sheetName val="_97_207COSRP11_xls__97_207CO_37"/>
      <sheetName val="_97_207COSRP11_xls__97_207CO_36"/>
      <sheetName val="_97_207COSRP11_xls_B_________48"/>
      <sheetName val="_97_207COSRP11_xls_B_________49"/>
      <sheetName val="_97_207COSRP11_xls__97_207CO_40"/>
      <sheetName val="_97_207COSRP11_xls__97_207CO_39"/>
      <sheetName val="_97_207COSRP11_xls_B_________46"/>
      <sheetName val="_97_207COSRP11_xls_B_________47"/>
      <sheetName val="_97_207COSRP11_xls__97_207CO_38"/>
      <sheetName val="_97_207COSRP11_xls_B_________50"/>
      <sheetName val="_97_207COSRP11_xls_B_________51"/>
      <sheetName val="_97_207COSRP11_xls__97_207CO_42"/>
      <sheetName val="_97_207COSRP11_xls_B_________54"/>
      <sheetName val="_97_207COSRP11_xls_B_________55"/>
      <sheetName val="_97_207COSRP11_xls__97_207CO_44"/>
      <sheetName val="_97_207COSRP11_xls__97_207CO_41"/>
      <sheetName val="_97_207COSRP11_xls_B_________52"/>
      <sheetName val="_97_207COSRP11_xls_B_________53"/>
      <sheetName val="_97_207COSRP11_xls_B_________58"/>
      <sheetName val="_97_207COSRP11_xls_B_________59"/>
      <sheetName val="_97_207COSRP11_xls__97_207CO_45"/>
      <sheetName val="_97_207COSRP11_xls__97_207CO_43"/>
      <sheetName val="_97_207COSRP11_xls_B_________56"/>
      <sheetName val="_97_207COSRP11_xls_B_________57"/>
      <sheetName val="_97_207COSRP11_xls_B_________66"/>
      <sheetName val="_97_207COSRP11_xls_B_________67"/>
      <sheetName val="_97_207COSRP11_xls__97_207CO_50"/>
      <sheetName val="_97_207COSRP11_xls__97_207CO_47"/>
      <sheetName val="_97_207COSRP11_xls_B_________62"/>
      <sheetName val="_97_207COSRP11_xls_B_________63"/>
      <sheetName val="_97_207COSRP11_xls__97_207CO_48"/>
      <sheetName val="_97_207COSRP11_xls_B_________64"/>
      <sheetName val="_97_207COSRP11_xls_B_________65"/>
      <sheetName val="_97_207COSRP11_xls_B_________68"/>
      <sheetName val="_97_207COSRP11_xls_B_________69"/>
      <sheetName val="_97_207COSRP11_xls__97_207CO_51"/>
      <sheetName val="_97_207COSRP11_xls__97_207CO_58"/>
      <sheetName val="_97_207COSRP11_xls_B_________82"/>
      <sheetName val="_97_207COSRP11_xls_B_________83"/>
      <sheetName val="_97_207COSRP11_xls__97_207CO_59"/>
      <sheetName val="_97_207COSRP11_xls__97_207CO_52"/>
      <sheetName val="_97_207COSRP11_xls_B_________70"/>
      <sheetName val="_97_207COSRP11_xls_B_________71"/>
      <sheetName val="_97_207COSRP11_xls__97_207CO_53"/>
      <sheetName val="_97_207COSRP11_xls_B_________72"/>
      <sheetName val="_97_207COSRP11_xls_B_________73"/>
      <sheetName val="_97_207COSRP11_xls__97_207CO_54"/>
      <sheetName val="_97_207COSRP11_xls_B_________74"/>
      <sheetName val="_97_207COSRP11_xls_B_________75"/>
      <sheetName val="_97_207COSRP11_xls__97_207CO_55"/>
      <sheetName val="_97_207COSRP11_xls_B_________76"/>
      <sheetName val="_97_207COSRP11_xls_B_________77"/>
      <sheetName val="_97_207COSRP11_xls__97_207CO_56"/>
      <sheetName val="_97_207COSRP11_xls_B_________78"/>
      <sheetName val="_97_207COSRP11_xls_B_________79"/>
      <sheetName val="_97_207COSRP11_xls__97_207CO_57"/>
      <sheetName val="_97_207COSRP11_xls_B_________80"/>
      <sheetName val="_97_207COSRP11_xls_B_________81"/>
      <sheetName val="_97_207COSRP11_xls_B_________84"/>
      <sheetName val="_97_207COSRP11_xls_B_________85"/>
      <sheetName val="_97_207COSRP11_xls__97_207CO_60"/>
      <sheetName val="_97_207COSRP11_xls__97_207CO_61"/>
      <sheetName val="_97_207COSRP11_xls__97_207CO_62"/>
      <sheetName val="_97_207COSRP11_xls__97_207CO_68"/>
      <sheetName val="_97_207COSRP11_xls__97_207CO_69"/>
      <sheetName val="_97_207COSRP11_xls_B_________88"/>
      <sheetName val="_97_207COSRP11_xls_B_________89"/>
      <sheetName val="_97_207COSRP11_xls__97_207CO_74"/>
      <sheetName val="_97_207COSRP11_xls__97_207CO_70"/>
      <sheetName val="_97_207COSRP11_xls__97_207CO_71"/>
      <sheetName val="_97_207COSRP11_xls__97_207CO_75"/>
      <sheetName val="_97_207COSRP11_xls_B_________90"/>
      <sheetName val="_97_207COSRP11_xls__97_207CO_72"/>
      <sheetName val="_97_207COSRP11_xls__97_207CO_73"/>
      <sheetName val="_97_207COSRP11_xls__97_207CO_76"/>
      <sheetName val="_97_207COSRP11_xls__97_207CO_66"/>
      <sheetName val="_97_207COSRP11_xls_B_________91"/>
      <sheetName val="_97_207COSRP11_xls_B_________92"/>
      <sheetName val="_97_207COSRP11_xls__97_207CO_81"/>
      <sheetName val="_97_207COSRP11_xls__97_207CO_77"/>
      <sheetName val="_97_207COSRP11_xls__97_207CO_78"/>
      <sheetName val="_97_207COSRP11_xls__97_207CO_82"/>
      <sheetName val="_97_207COSRP11_xls_B_________93"/>
      <sheetName val="_97_207COSRP11_xls__97_207CO_79"/>
      <sheetName val="_97_207COSRP11_xls__97_207CO_80"/>
      <sheetName val="_97_207COSRP11_xls__97_207CO_83"/>
      <sheetName val="_97_207COSRP11_xls_B_________94"/>
      <sheetName val="_97_207COSRP11_xls_B_________95"/>
      <sheetName val="_97_207COSRP11_xls__97_207CO_88"/>
      <sheetName val="_97_207COSRP11_xls__97_207CO_84"/>
      <sheetName val="_97_207COSRP11_xls__97_207CO_85"/>
      <sheetName val="_97_207COSRP11_xls__97_207CO_89"/>
      <sheetName val="_97_207COSRP11_xls_B_________96"/>
      <sheetName val="_97_207COSRP11_xls__97_207CO_86"/>
      <sheetName val="_97_207COSRP11_xls__97_207CO_87"/>
      <sheetName val="_97_207COSRP11_xls__97_207CO_90"/>
      <sheetName val="_97_207COSRP11_xls__97_207CO_91"/>
      <sheetName val="_97_207COSRP11_xls__97_207CO_92"/>
      <sheetName val="_97_207COSRP11_xls__97_207C_200"/>
      <sheetName val="_97_207COSRP11_xls_B________120"/>
      <sheetName val="_97_207COSRP11_xls_B________121"/>
      <sheetName val="_97_207COSRP11_xls__97_207C_204"/>
      <sheetName val="_97_207COSRP11_xls__97_207C_201"/>
      <sheetName val="_97_207COSRP11_xls__97_207C_202"/>
      <sheetName val="_97_207COSRP11_xls__97_207C_205"/>
      <sheetName val="_97_207COSRP11_xls__97_207C_203"/>
      <sheetName val="_97_207COSRP11_xls__97_207C_152"/>
      <sheetName val="_97_207COSRP11_xls__97_207C_153"/>
      <sheetName val="_97_207COSRP11_xls__97_207C_149"/>
      <sheetName val="_97_207COSRP11_xls__97_207C_150"/>
      <sheetName val="_97_207COSRP11_xls__97_207C_151"/>
      <sheetName val="_97_207COSRP11_xls__97_207CO_93"/>
      <sheetName val="_97_207COSRP11_xls__97_207CO_94"/>
      <sheetName val="_97_207COSRP11_xls__97_207CO_95"/>
      <sheetName val="_97_207COSRP11_xls__97_207CO_96"/>
      <sheetName val="_97_207COSRP11_xls__97_207CO_97"/>
      <sheetName val="_97_207COSRP11_xls__97_207CO_98"/>
      <sheetName val="_97_207COSRP11_xls__97_207CO_99"/>
      <sheetName val="_97_207COSRP11_xls__97_207C_100"/>
      <sheetName val="_97_207COSRP11_xls__97_207C_101"/>
      <sheetName val="_97_207COSRP11_xls__97_207C_102"/>
      <sheetName val="_97_207COSRP11_xls__97_207C_103"/>
      <sheetName val="_97_207COSRP11_xls__97_207C_104"/>
      <sheetName val="_97_207COSRP11_xls__97_207C_105"/>
      <sheetName val="_97_207COSRP11_xls__97_207C_106"/>
      <sheetName val="_97_207COSRP11_xls__97_207C_107"/>
      <sheetName val="_97_207COSRP11_xls__97_207C_108"/>
      <sheetName val="_97_207COSRP11_xls__97_207C_109"/>
      <sheetName val="_97_207COSRP11_xls__97_207C_110"/>
      <sheetName val="_97_207COSRP11_xls__97_207C_111"/>
      <sheetName val="_97_207COSRP11_xls__97_207C_112"/>
      <sheetName val="_97_207COSRP11_xls__97_207C_113"/>
      <sheetName val="_97_207COSRP11_xls__97_207C_114"/>
      <sheetName val="_97_207COSRP11_xls__97_207C_115"/>
      <sheetName val="_97_207COSRP11_xls__97_207C_116"/>
      <sheetName val="_97_207COSRP11_xls__97_207C_117"/>
      <sheetName val="_97_207COSRP11_xls__97_207C_118"/>
      <sheetName val="_97_207COSRP11_xls__97_207C_119"/>
      <sheetName val="_97_207COSRP11_xls__97_207C_120"/>
      <sheetName val="_97_207COSRP11_xls__97_207C_121"/>
      <sheetName val="_97_207COSRP11_xls__97_207C_122"/>
      <sheetName val="_97_207COSRP11_xls__97_207C_123"/>
      <sheetName val="_97_207COSRP11_xls__97_207C_124"/>
      <sheetName val="_97_207COSRP11_xls__97_207C_125"/>
      <sheetName val="_97_207COSRP11_xls__97_207C_126"/>
      <sheetName val="_97_207COSRP11_xls__97_207C_127"/>
      <sheetName val="_97_207COSRP11_xls__97_207C_128"/>
      <sheetName val="_97_207COSRP11_xls__97_207C_129"/>
      <sheetName val="_97_207COSRP11_xls__97_207C_130"/>
      <sheetName val="_97_207COSRP11_xls__97_207C_131"/>
      <sheetName val="_97_207COSRP11_xls__97_207C_132"/>
      <sheetName val="_97_207COSRP11_xls__97_207C_133"/>
      <sheetName val="_97_207COSRP11_xls__97_207C_134"/>
      <sheetName val="_97_207COSRP11_xls__97_207C_135"/>
      <sheetName val="_97_207COSRP11_xls__97_207C_136"/>
      <sheetName val="_97_207COSRP11_xls__97_207C_137"/>
      <sheetName val="_97_207COSRP11_xls__97_207C_138"/>
      <sheetName val="_97_207COSRP11_xls__97_207C_139"/>
      <sheetName val="_97_207COSRP11_xls__97_207C_140"/>
      <sheetName val="_97_207COSRP11_xls__97_207C_141"/>
      <sheetName val="_97_207COSRP11_xls__97_207C_142"/>
      <sheetName val="_97_207COSRP11_xls__97_207C_143"/>
      <sheetName val="_97_207COSRP11_xls__97_207C_144"/>
      <sheetName val="_97_207COSRP11_xls__97_207C_145"/>
      <sheetName val="_97_207COSRP11_xls__97_207C_146"/>
      <sheetName val="_97_207COSRP11_xls__97_207C_147"/>
      <sheetName val="_97_207COSRP11_xls__97_207C_148"/>
      <sheetName val="_97_207COSRP11_xls_B_________97"/>
      <sheetName val="_97_207COSRP11_xls__97_207C_156"/>
      <sheetName val="_97_207COSRP11_xls__97_207C_154"/>
      <sheetName val="_97_207COSRP11_xls__97_207C_155"/>
      <sheetName val="_97_207COSRP11_xls__97_207C_157"/>
      <sheetName val="_97_207COSRP11_xls__97_207C_158"/>
      <sheetName val="_97_207COSRP11_xls_B_________98"/>
      <sheetName val="_97_207COSRP11_xls_B_________99"/>
      <sheetName val="_97_207COSRP11_xls__97_207C_162"/>
      <sheetName val="_97_207COSRP11_xls__97_207C_159"/>
      <sheetName val="_97_207COSRP11_xls__97_207C_160"/>
      <sheetName val="_97_207COSRP11_xls__97_207C_163"/>
      <sheetName val="_97_207COSRP11_xls__97_207C_161"/>
      <sheetName val="_97_207COSRP11_xls__97_207C_167"/>
      <sheetName val="_97_207COSRP11_xls_B________102"/>
      <sheetName val="_97_207COSRP11_xls_B________103"/>
      <sheetName val="_97_207COSRP11_xls__97_207C_170"/>
      <sheetName val="_97_207COSRP11_xls__97_207C_168"/>
      <sheetName val="_97_207COSRP11_xls__97_207C_169"/>
      <sheetName val="_97_207COSRP11_xls__97_207C_164"/>
      <sheetName val="_97_207COSRP11_xls_B________100"/>
      <sheetName val="_97_207COSRP11_xls_B________101"/>
      <sheetName val="_97_207COSRP11_xls__97_207C_165"/>
      <sheetName val="_97_207COSRP11_xls__97_207C_166"/>
      <sheetName val="_97_207COSRP11_xls__97_207C_188"/>
      <sheetName val="_97_207COSRP11_xls_B________114"/>
      <sheetName val="_97_207COSRP11_xls_B________115"/>
      <sheetName val="_97_207COSRP11_xls__97_207C_194"/>
      <sheetName val="_97_207COSRP11_xls__97_207C_189"/>
      <sheetName val="_97_207COSRP11_xls__97_207C_190"/>
      <sheetName val="_97_207COSRP11_xls__97_207C_195"/>
      <sheetName val="_97_207COSRP11_xls__97_207C_191"/>
      <sheetName val="_97_207COSRP11_xls__97_207C_171"/>
      <sheetName val="_97_207COSRP11_xls_B________104"/>
      <sheetName val="_97_207COSRP11_xls_B________105"/>
      <sheetName val="_97_207COSRP11_xls__97_207C_175"/>
      <sheetName val="_97_207COSRP11_xls__97_207C_172"/>
      <sheetName val="_97_207COSRP11_xls__97_207C_173"/>
      <sheetName val="_97_207COSRP11_xls__97_207C_174"/>
      <sheetName val="_97_207COSRP11_xls__97_207C_180"/>
      <sheetName val="_97_207COSRP11_xls_B________110"/>
      <sheetName val="_97_207COSRP11_xls_B________111"/>
      <sheetName val="_97_207COSRP11_xls__97_207C_184"/>
      <sheetName val="_97_207COSRP11_xls__97_207C_181"/>
      <sheetName val="_97_207COSRP11_xls__97_207C_182"/>
      <sheetName val="_97_207COSRP11_xls__97_207C_185"/>
      <sheetName val="_97_207COSRP11_xls__97_207C_183"/>
      <sheetName val="_97_207COSRP11_xls__97_207C_178"/>
      <sheetName val="_97_207COSRP11_xls__97_207C_176"/>
      <sheetName val="_97_207COSRP11_xls_B________108"/>
      <sheetName val="_97_207COSRP11_xls_B________109"/>
      <sheetName val="_97_207COSRP11_xls__97_207C_179"/>
      <sheetName val="_97_207COSRP11_xls__97_207C_177"/>
      <sheetName val="_97_207COSRP11_xls_B________106"/>
      <sheetName val="_97_207COSRP11_xls_B________107"/>
      <sheetName val="_97_207COSRP11_xls_B________112"/>
      <sheetName val="_97_207COSRP11_xls_B________113"/>
      <sheetName val="_97_207COSRP11_xls__97_207C_186"/>
      <sheetName val="_97_207COSRP11_xls__97_207C_187"/>
      <sheetName val="_97_207COSRP11_xls__97_207C_192"/>
      <sheetName val="_97_207COSRP11_xls__97_207C_193"/>
      <sheetName val="_97_207COSRP11_xls_B________116"/>
      <sheetName val="_97_207COSRP11_xls_B________117"/>
      <sheetName val="_97_207COSRP11_xls__97_207C_198"/>
      <sheetName val="_97_207COSRP11_xls__97_207C_196"/>
      <sheetName val="_97_207COSRP11_xls__97_207C_197"/>
      <sheetName val="_97_207COSRP11_xls__97_207C_199"/>
      <sheetName val="_97_207COSRP11_xls_B________118"/>
      <sheetName val="_97_207COSRP11_xls_B________119"/>
      <sheetName val="_97_207COSRP11_xls__97_207C_206"/>
      <sheetName val="_97_207COSRP11_xls_B________122"/>
      <sheetName val="_97_207COSRP11_xls_B________123"/>
      <sheetName val="_97_207COSRP11_xls__97_207C_207"/>
      <sheetName val="_97_207COSRP11_xls__97_207C_249"/>
      <sheetName val="_97_207COSRP11_xls_B________140"/>
      <sheetName val="_97_207COSRP11_xls_B________141"/>
      <sheetName val="_97_207COSRP11_xls__97_207C_253"/>
      <sheetName val="_97_207COSRP11_xls_B________124"/>
      <sheetName val="_97_207COSRP11_xls_B________125"/>
      <sheetName val="_97_207COSRP11_xls__97_207C_210"/>
      <sheetName val="_97_207COSRP11_xls__97_207C_208"/>
      <sheetName val="_97_207COSRP11_xls__97_207C_209"/>
      <sheetName val="_97_207COSRP11_xls__97_207C_215"/>
      <sheetName val="_97_207COSRP11_xls_B________126"/>
      <sheetName val="_97_207COSRP11_xls_B________127"/>
      <sheetName val="_97_207COSRP11_xls__97_207C_226"/>
      <sheetName val="_97_207COSRP11_xls__97_207C_216"/>
      <sheetName val="_97_207COSRP11_xls__97_207C_217"/>
      <sheetName val="_97_207COSRP11_xls__97_207C_211"/>
      <sheetName val="_97_207COSRP11_xls__97_207C_212"/>
      <sheetName val="_97_207COSRP11_xls__97_207C_213"/>
      <sheetName val="_97_207COSRP11_xls__97_207C_214"/>
      <sheetName val="_97_207COSRP11_xls_B________128"/>
      <sheetName val="_97_207COSRP11_xls_B________129"/>
      <sheetName val="_97_207COSRP11_xls__97_207C_222"/>
      <sheetName val="_97_207COSRP11_xls__97_207C_218"/>
      <sheetName val="_97_207COSRP11_xls__97_207C_219"/>
      <sheetName val="_97_207COSRP11_xls__97_207C_220"/>
      <sheetName val="_97_207COSRP11_xls__97_207C_223"/>
      <sheetName val="_97_207COSRP11_xls__97_207C_221"/>
      <sheetName val="_97_207COSRP11_xls__97_207C_227"/>
      <sheetName val="_97_207COSRP11_xls__97_207C_224"/>
      <sheetName val="_97_207COSRP11_xls__97_207C_225"/>
      <sheetName val="_97_207COSRP11_xls_B________130"/>
      <sheetName val="_97_207COSRP11_xls_B________131"/>
      <sheetName val="_97_207COSRP11_xls__97_207C_230"/>
      <sheetName val="_97_207COSRP11_xls__97_207C_228"/>
      <sheetName val="_97_207COSRP11_xls__97_207C_229"/>
      <sheetName val="_97_207COSRP11_xls_B________132"/>
      <sheetName val="_97_207COSRP11_xls_B________133"/>
      <sheetName val="_97_207COSRP11_xls__97_207C_242"/>
      <sheetName val="_97_207COSRP11_xls__97_207C_231"/>
      <sheetName val="_97_207COSRP11_xls__97_207C_232"/>
      <sheetName val="_97_207COSRP11_xls__97_207C_243"/>
      <sheetName val="_97_207COSRP11_xls__97_207C_233"/>
      <sheetName val="_97_207COSRP11_xls__97_207C_238"/>
      <sheetName val="_97_207COSRP11_xls_B________136"/>
      <sheetName val="_97_207COSRP11_xls_B________137"/>
      <sheetName val="_97_207COSRP11_xls__97_207C_239"/>
      <sheetName val="_97_207COSRP11_xls__97_207C_240"/>
      <sheetName val="_97_207COSRP11_xls__97_207C_241"/>
      <sheetName val="_97_207COSRP11_xls__97_207C_234"/>
      <sheetName val="_97_207COSRP11_xls_B________134"/>
      <sheetName val="_97_207COSRP11_xls_B________135"/>
      <sheetName val="_97_207COSRP11_xls__97_207C_235"/>
      <sheetName val="_97_207COSRP11_xls__97_207C_236"/>
      <sheetName val="_97_207COSRP11_xls__97_207C_237"/>
      <sheetName val="_97_207COSRP11_xls__97_207C_244"/>
      <sheetName val="_97_207COSRP11_xls__97_207C_246"/>
      <sheetName val="_97_207COSRP11_xls__97_207C_245"/>
      <sheetName val="_97_207COSRP11_xls__97_207C_247"/>
      <sheetName val="_97_207COSRP11_xls_B________138"/>
      <sheetName val="_97_207COSRP11_xls_B________139"/>
      <sheetName val="_97_207COSRP11_xls__97_207C_248"/>
      <sheetName val="_97_207COSRP11_xls__97_207C_250"/>
      <sheetName val="_97_207COSRP11_xls__97_207C_251"/>
      <sheetName val="_97_207COSRP11_xls__97_207C_252"/>
      <sheetName val="_97_207COSRP11_xls__97_207C_254"/>
      <sheetName val="_97_207COSRP11_xls_B__________1"/>
      <sheetName val="_97_207COSRP11_xls__97_207COS_1"/>
      <sheetName val="_97_207COSRP11_xls__97_207COS10"/>
      <sheetName val="_97_207COSRP11_xls__97_207COS11"/>
      <sheetName val="_97_207COSRP11_xls__97_207COS12"/>
      <sheetName val="_97_207COSRP11_xls__97_207COS13"/>
      <sheetName val="_97_207COSRP11_xls__97_207COS14"/>
      <sheetName val="_97_207COSRP11_xls__97_207CO100"/>
      <sheetName val="_97_207COSRP11_xls__97_207COS15"/>
      <sheetName val="_97_207COSRP11_xls__97_207COS16"/>
      <sheetName val="_97_207COSRP11_xls__97_207CO101"/>
      <sheetName val="_97_207COSRP11_xls__97_207CO102"/>
      <sheetName val="_97_207COSRP11_xls__97_207CO103"/>
      <sheetName val="_97_207COSRP11_xls__97_207CO104"/>
      <sheetName val="_97_207COSRP11_xls__97_207CO105"/>
      <sheetName val="_97_207COSRP11_xls__97_207CO106"/>
      <sheetName val="_97_207COSRP11_xls__97_207CO107"/>
      <sheetName val="_97_207COSRP11_xls__97_207CO108"/>
      <sheetName val="_97_207COSRP11_xls__97_207CO109"/>
      <sheetName val="_97_207COSRP11_xls__97_207CO110"/>
      <sheetName val="_97_207COSRP11_xls__97_207CO111"/>
      <sheetName val="_97_207COSRP11_xls__97_207CO112"/>
      <sheetName val="_97_207COSRP11_xls__97_207CO113"/>
      <sheetName val="_97_207COSRP11_xls__97_207CO114"/>
      <sheetName val="_97_207COSRP11_xls__97_207CO115"/>
      <sheetName val="_97_207COSRP11_xls__97_207CO116"/>
      <sheetName val="_97_207COSRP11_xls__97_207CO117"/>
      <sheetName val="_97_207COSRP11_xls__97_207CO118"/>
      <sheetName val="_97_207COSRP11_xls__97_207CO119"/>
      <sheetName val="_97_207COSRP11_xls__97_207CO120"/>
      <sheetName val="_97_207COSRP11_xls__97_207CO121"/>
      <sheetName val="_97_207COSRP11_xls__97_207CO122"/>
      <sheetName val="_97_207COSRP11_xls__97_207CO123"/>
      <sheetName val="_97_207COSRP11_xls__97_207CO124"/>
      <sheetName val="_97_207COSRP11_xls__97_207CO125"/>
      <sheetName val="_97_207COSRP11_xls__97_207CO126"/>
      <sheetName val="_97_207COSRP11_xls__97_207CO127"/>
      <sheetName val="_97_207COSRP11_xls__97_207CO128"/>
      <sheetName val="_97_207COSRP11_xls__97_207CO129"/>
      <sheetName val="_97_207COSRP11_xls__97_207CO130"/>
      <sheetName val="_97_207COSRP11_xls__97_207CO131"/>
      <sheetName val="_97_207COSRP11_xls__97_207CO132"/>
      <sheetName val="_97_207COSRP11_xls__97_207CO133"/>
      <sheetName val="_97_207COSRP11_xls__97_207CO134"/>
      <sheetName val="_97_207COSRP11_xls__97_207CO135"/>
      <sheetName val="_97_207COSRP11_xls__97_207CO136"/>
      <sheetName val="_97_207COSRP11_xls__97_207CO137"/>
      <sheetName val="_97_207COSRP11_xls__97_207CO138"/>
      <sheetName val="_97_207COSRP11_xls__97_207CO139"/>
      <sheetName val="_97_207COSRP11_xls__97_207CO140"/>
      <sheetName val="_97_207COSRP11_xls__97_207CO141"/>
      <sheetName val="_97_207COSRP11_xls_B________142"/>
      <sheetName val="_97_207COSRP11_xls__97_207CO142"/>
      <sheetName val="_97_207COSRP11_xls__97_207CO143"/>
      <sheetName val="_97_207COSRP11_xls__97_207CO144"/>
      <sheetName val="_97_207COSRP11_xls__97_207CO145"/>
      <sheetName val="_97_207COSRP11_xls__97_207CO146"/>
      <sheetName val="_97_207COSRP11_xls__97_207CO147"/>
      <sheetName val="_97_207COSRP11_xls__97_207CO148"/>
      <sheetName val="_97_207COSRP11_xls_B________143"/>
      <sheetName val="_97_207COSRP11_xls_B________144"/>
      <sheetName val="_97_207COSRP11_xls__97_207CO149"/>
      <sheetName val="_97_207COSRP11_xls__97_207CO150"/>
      <sheetName val="_97_207COSRP11_xls__97_207CO151"/>
      <sheetName val="_97_207COSRP11_xls__97_207CO152"/>
      <sheetName val="_97_207COSRP11_xls__97_207CO153"/>
      <sheetName val="_97_207COSRP11_xls_B________145"/>
      <sheetName val="_97_207COSRP11_xls_B________146"/>
      <sheetName val="_97_207COSRP11_xls__97_207CO154"/>
      <sheetName val="_97_207COSRP11_xls__97_207CO155"/>
      <sheetName val="_97_207COSRP11_xls__97_207CO156"/>
      <sheetName val="_97_207COSRP11_xls__97_207CO157"/>
      <sheetName val="_97_207COSRP11_xls__97_207CO158"/>
      <sheetName val="_97_207COSRP11_xls__97_207CO159"/>
      <sheetName val="_97_207COSRP11_xls_B________147"/>
      <sheetName val="_97_207COSRP11_xls_B________148"/>
      <sheetName val="_97_207COSRP11_xls__97_207CO160"/>
      <sheetName val="_97_207COSRP11_xls__97_207CO161"/>
      <sheetName val="_97_207COSRP11_xls__97_207CO162"/>
      <sheetName val="_97_207COSRP11_xls__97_207CO163"/>
      <sheetName val="_97_207COSRP11_xls__97_207CO164"/>
      <sheetName val="_97_207COSRP11_xls__97_207CO165"/>
      <sheetName val="_97_207COSRP11_xls_B________149"/>
      <sheetName val="_97_207COSRP11_xls_B________150"/>
      <sheetName val="_97_207COSRP11_xls__97_207CO166"/>
      <sheetName val="_97_207COSRP11_xls__97_207CO167"/>
      <sheetName val="_97_207COSRP11_xls__97_207CO168"/>
      <sheetName val="_97_207COSRP11_xls__97_207CO169"/>
      <sheetName val="_97_207COSRP11_xls_B________151"/>
      <sheetName val="_97_207COSRP11_xls_B________152"/>
      <sheetName val="_97_207COSRP11_xls__97_207CO170"/>
      <sheetName val="_97_207COSRP11_xls__97_207CO171"/>
      <sheetName val="_97_207COSRP11_xls_B________153"/>
      <sheetName val="_97_207COSRP11_xls_B________154"/>
      <sheetName val="_97_207COSRP11_xls__97_207CO172"/>
      <sheetName val="_97_207COSRP11_xls__97_207CO173"/>
      <sheetName val="_97_207COSRP11_xls__97_207CO174"/>
      <sheetName val="_97_207COSRP11_xls__97_207CO175"/>
      <sheetName val="_97_207COSRP11_xls_B________155"/>
      <sheetName val="_97_207COSRP11_xls_B________156"/>
      <sheetName val="_97_207COSRP11_xls_B________157"/>
      <sheetName val="_97_207COSRP11_xls_B________158"/>
      <sheetName val="_97_207COSRP11_xls_B________159"/>
      <sheetName val="_97_207COSRP11_xls_B________160"/>
      <sheetName val="_97_207COSRP11_xls__97_207CO176"/>
      <sheetName val="_97_207COSRP11_xls_B________161"/>
      <sheetName val="_97_207COSRP11_xls_B________162"/>
      <sheetName val="_97_207COSRP11_xls__97_207CO177"/>
      <sheetName val="_97_207COSRP11_xls__97_207CO178"/>
      <sheetName val="_97_207COSRP11_xls__97_207CO179"/>
      <sheetName val="_97_207COSRP11_xls_B________163"/>
      <sheetName val="_97_207COSRP11_xls_B________164"/>
      <sheetName val="_97_207COSRP11_xls__97_207CO180"/>
      <sheetName val="_97_207COSRP11_xls__97_207CO181"/>
      <sheetName val="_97_207COSRP11_xls__97_207CO182"/>
      <sheetName val="_97_207COSRP11_xls_B________165"/>
      <sheetName val="_97_207COSRP11_xls_B________166"/>
      <sheetName val="_97_207COSRP11_xls__97_207CO183"/>
      <sheetName val="_97_207COSRP11_xls__97_207CO184"/>
      <sheetName val="_97_207COSRP11_xls__97_207CO185"/>
      <sheetName val="_97_207COSRP11_xls_B________167"/>
      <sheetName val="_97_207COSRP11_xls_B________168"/>
      <sheetName val="_97_207COSRP11_xls__97_207CO186"/>
      <sheetName val="_97_207COSRP11_xls__97_207CO187"/>
      <sheetName val="_97_207COSRP11_xls_B________169"/>
      <sheetName val="_97_207COSRP11_xls_B________170"/>
      <sheetName val="_97_207COSRP11_xls__97_207CO188"/>
      <sheetName val="_97_207COSRP11_xls__97_207CO189"/>
      <sheetName val="_97_207COSRP11_xls_B________171"/>
      <sheetName val="_97_207COSRP11_xls_B________172"/>
      <sheetName val="_97_207COSRP11_xls_B________173"/>
      <sheetName val="_97_207COSRP11_xls_B________174"/>
      <sheetName val="_97_207COSRP11_xls_B________175"/>
      <sheetName val="_97_207COSRP11_xls_B________176"/>
      <sheetName val="_97_207COSRP11_xls_B________177"/>
      <sheetName val="_97_207COSRP11_xls_B________178"/>
      <sheetName val="_97_207COSRP11_xls_B________179"/>
      <sheetName val="_97_207COSRP11_xls_B________180"/>
      <sheetName val="_97_207COSRP11_xls_B________181"/>
      <sheetName val="_97_207COSRP11_xls_B________182"/>
      <sheetName val="_97_207COSRP11_xls_B________183"/>
      <sheetName val="_97_207COSRP11_xls_B________184"/>
      <sheetName val="_97_207COSRP11_xls_B________185"/>
      <sheetName val="_97_207COSRP11_xls_B________186"/>
      <sheetName val="_97_207COSRP11_xls_B________187"/>
      <sheetName val="_97_207COSRP11_xls_B________188"/>
      <sheetName val="_97_207COSRP11_xls_B________189"/>
      <sheetName val="_97_207COSRP11_xls_B________190"/>
      <sheetName val="_97_207COSRP11_xls__97_207C_255"/>
      <sheetName val="_97_207COSRP11_xls__97_207C_256"/>
      <sheetName val="_97_207COSRP11_xls__97_207C_257"/>
      <sheetName val="_97_207COSRP11_xls_B________191"/>
      <sheetName val="_97_207COSRP11_xls_B________192"/>
      <sheetName val="_97_207COSRP11_xls__97_207C_258"/>
      <sheetName val="_97_207COSRP11_xls__97_207C_259"/>
      <sheetName val="_97_207COSRP11_xls__97_207C_260"/>
      <sheetName val="_97_207COSRP11_xls__97_207C_261"/>
      <sheetName val="_97_207COSRP11_xls_B________193"/>
      <sheetName val="_97_207COSRP11_xls_B________194"/>
      <sheetName val="_97_207COSRP11_xls__97_207C_262"/>
      <sheetName val="_97_207COSRP11_xls__97_207C_263"/>
      <sheetName val="_97_207COSRP11_xls_B________195"/>
      <sheetName val="_97_207COSRP11_xls_B________196"/>
      <sheetName val="_97_207COSRP11_xls__97_207C_264"/>
      <sheetName val="_97_207COSRP11_xls_B________197"/>
      <sheetName val="_97_207COSRP11_xls_B________198"/>
      <sheetName val="_97_207COSRP11_xls__97_207C_265"/>
      <sheetName val="_97_207COSRP11_xls_B________199"/>
      <sheetName val="_97_207COSRP11_xls_B________200"/>
      <sheetName val="_97_207COSRP11_xls__97_207C_266"/>
      <sheetName val="_97_207COSRP11_xls__97_207C_267"/>
      <sheetName val="_97_207COSRP11_xls__97_207C_268"/>
      <sheetName val="_97_207COSRP11_xls_B________201"/>
      <sheetName val="_97_207COSRP11_xls_B________202"/>
      <sheetName val="_97_207COSRP11_xls__97_207C_269"/>
      <sheetName val="_97_207COSRP11_xls__97_207C_270"/>
      <sheetName val="_97_207COSRP11_xls__97_207C_271"/>
      <sheetName val="_97_207COSRP11_xls_B________203"/>
      <sheetName val="_97_207COSRP11_xls_B________204"/>
      <sheetName val="_97_207COSRP11_xls__97_207C_272"/>
      <sheetName val="_97_207COSRP11_xls__97_207C_273"/>
      <sheetName val="_97_207COSRP11_xls__97_207C_274"/>
      <sheetName val="_97_207COSRP11_xls__97_207C_275"/>
      <sheetName val="_97_207COSRP11_xls_B________205"/>
      <sheetName val="_97_207COSRP11_xls_B________206"/>
      <sheetName val="_97_207COSRP11_xls__97_207C_276"/>
      <sheetName val="_97_207COSRP11_xls__97_207C_277"/>
      <sheetName val="_97_207COSRP11_xls__97_207C_278"/>
      <sheetName val="_97_207COSRP11_xls_B________207"/>
      <sheetName val="_97_207COSRP11_xls_B________208"/>
      <sheetName val="_97_207COSRP11_xls__97_207C_279"/>
      <sheetName val="_97_207COSRP11_xls__97_207C_280"/>
      <sheetName val="_97_207COSRP11_xls__97_207C_281"/>
      <sheetName val="_97_207COSRP11_xls_B________209"/>
      <sheetName val="_97_207COSRP11_xls_B________210"/>
      <sheetName val="_97_207COSRP11_xls__97_207C_282"/>
      <sheetName val="_97_207COSRP11_xls__97_207C_283"/>
      <sheetName val="_97_207COSRP11_xls__97_207C_284"/>
      <sheetName val="_97_207COSRP11_xls__97_207C_285"/>
      <sheetName val="_97_207COSRP11_xls__97_207C_286"/>
      <sheetName val="_97_207COSRP11_xls__97_207C_287"/>
      <sheetName val="_97_207COSRP11_xls__97_207C_288"/>
      <sheetName val="_97_207COSRP11_xls_B________211"/>
      <sheetName val="_97_207COSRP11_xls_B________212"/>
      <sheetName val="_97_207COSRP11_xls__97_207C_324"/>
      <sheetName val="_97_207COSRP11_xls__97_207C_320"/>
      <sheetName val="_97_207COSRP11_xls__97_207C_321"/>
      <sheetName val="_97_207COSRP11_xls__97_207C_322"/>
      <sheetName val="_97_207COSRP11_xls__97_207C_325"/>
      <sheetName val="_97_207COSRP11_xls__97_207C_323"/>
      <sheetName val="_97_207COSRP11_xls__97_207C_289"/>
      <sheetName val="_97_207COSRP11_xls__97_207C_290"/>
      <sheetName val="_97_207COSRP11_xls_B________213"/>
      <sheetName val="_97_207COSRP11_xls_B________214"/>
      <sheetName val="_97_207COSRP11_xls__97_207C_291"/>
      <sheetName val="_97_207COSRP11_xls__97_207C_292"/>
      <sheetName val="_97_207COSRP11_xls_B________215"/>
      <sheetName val="_97_207COSRP11_xls_B________216"/>
      <sheetName val="_97_207COSRP11_xls__97_207C_293"/>
      <sheetName val="_97_207COSRP11_xls__97_207C_294"/>
      <sheetName val="_97_207COSRP11_xls__97_207C_295"/>
      <sheetName val="_97_207COSRP11_xls_B________217"/>
      <sheetName val="_97_207COSRP11_xls_B________218"/>
      <sheetName val="_97_207COSRP11_xls__97_207C_296"/>
      <sheetName val="_97_207COSRP11_xls__97_207C_297"/>
      <sheetName val="_97_207COSRP11_xls__97_207C_298"/>
      <sheetName val="_97_207COSRP11_xls_B________219"/>
      <sheetName val="_97_207COSRP11_xls_B________220"/>
      <sheetName val="_97_207COSRP11_xls__97_207C_299"/>
      <sheetName val="_97_207COSRP11_xls__97_207C_300"/>
      <sheetName val="_97_207COSRP11_xls__97_207C_301"/>
      <sheetName val="_97_207COSRP11_xls_B________221"/>
      <sheetName val="_97_207COSRP11_xls_B________222"/>
      <sheetName val="_97_207COSRP11_xls__97_207C_302"/>
      <sheetName val="_97_207COSRP11_xls__97_207C_303"/>
      <sheetName val="_97_207COSRP11_xls_B________223"/>
      <sheetName val="_97_207COSRP11_xls_B________224"/>
      <sheetName val="_97_207COSRP11_xls__97_207C_304"/>
      <sheetName val="_97_207COSRP11_xls__97_207C_305"/>
      <sheetName val="_97_207COSRP11_xls__97_207C_306"/>
      <sheetName val="_97_207COSRP11_xls__97_207C_307"/>
      <sheetName val="_97_207COSRP11_xls__97_207C_308"/>
      <sheetName val="_97_207COSRP11_xls__97_207C_309"/>
      <sheetName val="_97_207COSRP11_xls__97_207C_310"/>
      <sheetName val="_97_207COSRP11_xls__97_207C_311"/>
      <sheetName val="_97_207COSRP11_xls__97_207C_312"/>
      <sheetName val="_97_207COSRP11_xls__97_207C_313"/>
      <sheetName val="_97_207COSRP11_xls__97_207C_314"/>
      <sheetName val="_97_207COSRP11_xls__97_207C_315"/>
      <sheetName val="_97_207COSRP11_xls_B________225"/>
      <sheetName val="_97_207COSRP11_xls_B________226"/>
      <sheetName val="_97_207COSRP11_xls__97_207C_316"/>
      <sheetName val="_97_207COSRP11_xls__97_207C_317"/>
      <sheetName val="_97_207COSRP11_xls__97_207C_318"/>
      <sheetName val="_97_207COSRP11_xls__97_207C_319"/>
      <sheetName val="_97_207COSRP11_xls_B________227"/>
      <sheetName val="_97_207COSRP11_xls_B________228"/>
      <sheetName val="_97_207COSRP11_xls__97_207C_326"/>
      <sheetName val="_97_207COSRP11_xls__97_207C_327"/>
      <sheetName val="_97_207COSRP11_xls__97_207C_328"/>
      <sheetName val="_97_207COSRP11_xls_B________229"/>
      <sheetName val="_97_207COSRP11_xls_B________230"/>
      <sheetName val="_97_207COSRP11_xls__97_207C_329"/>
      <sheetName val="_97_207COSRP11_xls__97_207C_330"/>
      <sheetName val="_97_207COSRP11_xls__97_207C_331"/>
      <sheetName val="_97_207COSRP11_xls_B________231"/>
      <sheetName val="_97_207COSRP11_xls_B________232"/>
      <sheetName val="_97_207COSRP11_xls__97_207C_332"/>
      <sheetName val="_97_207COSRP11_xls__97_207C_333"/>
      <sheetName val="_97_207COSRP11_xls__97_207C_334"/>
      <sheetName val="_97_207COSRP11_xls__97_207C_335"/>
      <sheetName val="_97_207COSRP11_xls__97_207C_336"/>
      <sheetName val="_97_207COSRP11_xls__97_207C_337"/>
      <sheetName val="_97_207COSRP11_xls__97_207C_338"/>
      <sheetName val="_97_207COSRP11_xls__97_207C_339"/>
      <sheetName val="_97_207COSRP11_xls__97_207C_340"/>
      <sheetName val="_97_207COSRP11_xls__97_207C_341"/>
      <sheetName val="_97_207COSRP11_xls__97_207C_342"/>
      <sheetName val="_97_207COSRP11_xls__97_207C_343"/>
      <sheetName val="_97_207COSRP11_xls__97_207C_344"/>
      <sheetName val="_97_207COSRP11_xls__97_207C_345"/>
      <sheetName val="_97_207COSRP11_xls__97_207C_346"/>
      <sheetName val="_97_207COSRP11_xls__97_207C_347"/>
      <sheetName val="_97_207COSRP11_xls_B________233"/>
      <sheetName val="_97_207COSRP11_xls_B________234"/>
      <sheetName val="_97_207COSRP11_xls__97_207C_348"/>
      <sheetName val="_97_207COSRP11_xls__97_207C_349"/>
      <sheetName val="_97_207COSRP11_xls__97_207C_350"/>
      <sheetName val="_97_207COSRP11_xls__97_207C_351"/>
      <sheetName val="_97_207COSRP11_xls__97_207C_352"/>
      <sheetName val="_97_207COSRP11_xls__97_207C_353"/>
      <sheetName val="_97_207COSRP11_xls_B________235"/>
      <sheetName val="_97_207COSRP11_xls_B________236"/>
      <sheetName val="_97_207COSRP11_xls_B________237"/>
      <sheetName val="_97_207COSRP11_xls_B________238"/>
      <sheetName val="_97_207COSRP11_xls__97_207C_354"/>
      <sheetName val="_97_207COSRP11_xls__97_207C_355"/>
      <sheetName val="_97_207COSRP11_xls__97_207C_356"/>
      <sheetName val="_97_207COSRP11_xls__97_207C_357"/>
      <sheetName val="_97_207COSRP11_xls_B________239"/>
      <sheetName val="_97_207COSRP11_xls_B________240"/>
      <sheetName val="_97_207COSRP11_xls__97_207C_358"/>
      <sheetName val="_97_207COSRP11_xls__97_207C_359"/>
      <sheetName val="_97_207COSRP11_xls__97_207C_360"/>
      <sheetName val="_97_207COSRP11_xls__97_207C_361"/>
      <sheetName val="_97_207COSRP11_xls_B________241"/>
      <sheetName val="_97_207COSRP11_xls_B________242"/>
      <sheetName val="_97_207COSRP11_xls__97_207C_362"/>
      <sheetName val="_97_207COSRP11_xls__97_207C_363"/>
      <sheetName val="_97_207COSRP11_xls__97_207C_364"/>
      <sheetName val="_97_207COSRP11_xls__97_207C_365"/>
      <sheetName val="_97_207COSRP11_xls_B________243"/>
      <sheetName val="_97_207COSRP11_xls_B________244"/>
      <sheetName val="_97_207COSRP11_xls__97_207C_366"/>
      <sheetName val="_97_207COSRP11_xls__97_207C_367"/>
      <sheetName val="_97_207COSRP11_xls__97_207C_368"/>
      <sheetName val="_97_207COSRP11_xls__97_207C_369"/>
      <sheetName val="_97_207COSRP11_xls__97_207C_370"/>
      <sheetName val="_97_207COSRP11_xls__97_207C_371"/>
      <sheetName val="_97_207COSRP11_xls_B________245"/>
      <sheetName val="_97_207COSRP11_xls_B________246"/>
      <sheetName val="_97_207COSRP11_xls__97_207C_372"/>
      <sheetName val="_97_207COSRP11_xls__97_207C_373"/>
      <sheetName val="_97_207COSRP11_xls__97_207C_374"/>
      <sheetName val="_97_207COSRP11_xls_B________247"/>
      <sheetName val="_97_207COSRP11_xls_B________248"/>
      <sheetName val="_97_207COSRP11_xls__97_207C_375"/>
      <sheetName val="_97_207COSRP11_xls__97_207C_376"/>
      <sheetName val="_97_207COSRP11_xls__97_207C_377"/>
      <sheetName val="_97_207COSRP11_xls__97_207C_378"/>
      <sheetName val="_97_207COSRP11_xls_B________249"/>
      <sheetName val="_97_207COSRP11_xls_B________250"/>
      <sheetName val="_97_207COSRP11_xls__97_207C_379"/>
      <sheetName val="_97_207COSRP11_xls__97_207C_380"/>
      <sheetName val="_97_207COSRP11_xls__97_207C_381"/>
      <sheetName val="_97_207COSRP11_xls__97_207C_382"/>
      <sheetName val="_97_207COSRP11_xls_B________251"/>
      <sheetName val="_97_207COSRP11_xls_B________252"/>
      <sheetName val="_97_207COSRP11_xls__97_207C_383"/>
      <sheetName val="_97_207COSRP11_xls__97_207C_384"/>
      <sheetName val="_97_207COSRP11_xls__97_207C_385"/>
      <sheetName val="_97_207COSRP11_xls__97_207C_386"/>
      <sheetName val="_97_207COSRP11_xls__97_207C_387"/>
      <sheetName val="_97_207COSRP11_xls__97_207C_388"/>
      <sheetName val="_97_207COSRP11_xls__97_207C_389"/>
      <sheetName val="_97_207COSRP11_xls__97_207C_390"/>
      <sheetName val="_97_207COSRP11_xls__97_207C_391"/>
      <sheetName val="_97_207COSRP11_xls__97_207C_392"/>
      <sheetName val="_97_207COSRP11_xls_B________253"/>
      <sheetName val="_97_207COSRP11_xls_B________254"/>
      <sheetName val="_97_207COSRP11_xls__97_207C_393"/>
      <sheetName val="_97_207COSRP11_xls__97_207C_394"/>
      <sheetName val="_97_207COSRP11_xls__97_207C_395"/>
      <sheetName val="_97_207COSRP11_xls__97_207C_396"/>
      <sheetName val="_97_207COSRP11_xls__97_207C_397"/>
      <sheetName val="_97_207COSRP11_xls__97_207C_398"/>
      <sheetName val="_97_207COSRP11_xls_B________255"/>
      <sheetName val="_97_207COSRP11_xls_B________256"/>
      <sheetName val="_97_207COSRP11_xls__97_207C_399"/>
      <sheetName val="_97_207COSRP11_xls__97_207C_400"/>
      <sheetName val="_97_207COSRP11_xls__97_207C_401"/>
      <sheetName val="_97_207COSRP11_xls_B________257"/>
      <sheetName val="_97_207COSRP11_xls_B________258"/>
      <sheetName val="_97_207COSRP11_xls__97_207C_402"/>
      <sheetName val="_97_207COSRP11_xls__97_207C_403"/>
      <sheetName val="_97_207COSRP11_xls__97_207C_404"/>
      <sheetName val="_97_207COSRP11_xls__97_207C_405"/>
      <sheetName val="_97_207COSRP11_xls_B________259"/>
      <sheetName val="_97_207COSRP11_xls_B________260"/>
      <sheetName val="_97_207COSRP11_xls__97_207C_406"/>
      <sheetName val="_97_207COSRP11_xls__97_207C_407"/>
      <sheetName val="_97_207COSRP11_xls__97_207C_408"/>
      <sheetName val="_97_207COSRP11_xls_B________261"/>
      <sheetName val="_97_207COSRP11_xls_B________262"/>
      <sheetName val="_97_207COSRP11_xls__97_207C_409"/>
      <sheetName val="_97_207COSRP11_xls__97_207C_410"/>
      <sheetName val="_97_207COSRP11_xls__97_207C_411"/>
      <sheetName val="_97_207COSRP11_xls_B________263"/>
      <sheetName val="_97_207COSRP11_xls_B________264"/>
      <sheetName val="_97_207COSRP11_xls__97_207C_412"/>
      <sheetName val="_97_207COSRP11_xls__97_207C_413"/>
      <sheetName val="_97_207COSRP11_xls__97_207C_414"/>
      <sheetName val="_97_207COSRP11_xls_B________265"/>
      <sheetName val="_97_207COSRP11_xls_B________266"/>
      <sheetName val="_97_207COSRP11_xls__97_207C_415"/>
      <sheetName val="_97_207COSRP11_xls__97_207C_416"/>
      <sheetName val="_97_207COSRP11_xls__97_207C_417"/>
      <sheetName val="_97_207COSRP11_xls__97_207C_418"/>
      <sheetName val="_97_207COSRP11_xls__97_207C_419"/>
      <sheetName val="_97_207COSRP11_xls_B________267"/>
      <sheetName val="_97_207COSRP11_xls_B________268"/>
      <sheetName val="_97_207COSRP11_xls_B________269"/>
      <sheetName val="_97_207COSRP11_xls_B________270"/>
      <sheetName val="_97_207COSRP11_xls__97_207C_420"/>
      <sheetName val="_97_207COSRP11_xls_B________271"/>
      <sheetName val="_97_207COSRP11_xls_B________272"/>
      <sheetName val="_97_207COSRP11_xls__97_207C_421"/>
      <sheetName val="_97_207COSRP11_xls__97_207C_422"/>
      <sheetName val="_97_207COSRP11_xls__97_207C_423"/>
      <sheetName val="_97_207COSRP11_xls__97_207C_424"/>
      <sheetName val="_97_207COSRP11_xls_B________273"/>
      <sheetName val="_97_207COSRP11_xls_B________274"/>
      <sheetName val="_97_207COSRP11_xls__97_207C_425"/>
      <sheetName val="_97_207COSRP11_xls__97_207C_426"/>
      <sheetName val="_97_207COSRP11_xls__97_207C_427"/>
      <sheetName val="_97_207COSRP11_xls__97_207C_428"/>
      <sheetName val="_97_207COSRP11_xls__97_207C_429"/>
      <sheetName val="_97_207COSRP11_xls__97_207C_430"/>
      <sheetName val="_97_207COSRP11_xls__97_207C_431"/>
      <sheetName val="_97_207COSRP11_xls_B________275"/>
      <sheetName val="_97_207COSRP11_xls_B________276"/>
      <sheetName val="_97_207COSRP11_xls__97_207C_432"/>
      <sheetName val="_97_207COSRP11_xls__97_207C_433"/>
      <sheetName val="_97_207COSRP11_xls__97_207C_434"/>
      <sheetName val="_97_207COSRP11_xls__97_207C_435"/>
      <sheetName val="_97_207COSRP11_xls__97_207C_436"/>
      <sheetName val="_97_207COSRP11_xls__97_207C_437"/>
      <sheetName val="_97_207COSRP11_xls_B________277"/>
      <sheetName val="_97_207COSRP11_xls_B________278"/>
      <sheetName val="_97_207COSRP11_xls__97_207C_438"/>
      <sheetName val="_97_207COSRP11_xls__97_207C_439"/>
      <sheetName val="_97_207COSRP11_xls__97_207C_440"/>
      <sheetName val="_97_207COSRP11_xls__97_207C_441"/>
      <sheetName val="_97_207COSRP11_xls__97_207C_442"/>
      <sheetName val="_97_207COSRP11_xls__97_207C_443"/>
      <sheetName val="_97_207COSRP11_xls_B________279"/>
      <sheetName val="_97_207COSRP11_xls_B________280"/>
      <sheetName val="_97_207COSRP11_xls__97_207C_444"/>
      <sheetName val="_97_207COSRP11_xls__97_207C_445"/>
      <sheetName val="_97_207COSRP11_xls__97_207C_446"/>
      <sheetName val="_97_207COSRP11_xls__97_207C_447"/>
      <sheetName val="_97_207COSRP11_xls_B________281"/>
      <sheetName val="_97_207COSRP11_xls_B________282"/>
      <sheetName val="_97_207COSRP11_xls__97_207C_448"/>
      <sheetName val="_97_207COSRP11_xls__97_207C_449"/>
      <sheetName val="_97_207COSRP11_xls__97_207C_450"/>
      <sheetName val="_97_207COSRP11_xls__97_207C_451"/>
      <sheetName val="_97_207COSRP11_xls__97_207C_452"/>
      <sheetName val="_97_207COSRP11_xls__97_207C_453"/>
      <sheetName val="_97_207COSRP11_xls_B________283"/>
      <sheetName val="_97_207COSRP11_xls_B________284"/>
      <sheetName val="_97_207COSRP11_xls__97_207C_454"/>
      <sheetName val="_97_207COSRP11_xls__97_207C_455"/>
      <sheetName val="_97_207COSRP11_xls__97_207C_456"/>
      <sheetName val="_97_207COSRP11_xls__97_207C_457"/>
      <sheetName val="_97_207COSRP11_xls__97_207C_458"/>
      <sheetName val="_97_207COSRP11_xls__97_207C_459"/>
      <sheetName val="_97_207COSRP11_xls__97_207C_460"/>
      <sheetName val="_97_207COSRP11_xls__97_207C_461"/>
      <sheetName val="_97_207COSRP11_xls__97_207C_462"/>
      <sheetName val="_97_207COSRP11_xls_B________285"/>
      <sheetName val="_97_207COSRP11_xls_B________286"/>
      <sheetName val="_97_207COSRP11_xls_B________287"/>
      <sheetName val="_97_207COSRP11_xls_B________288"/>
      <sheetName val="_97_207COSRP11_xls__97_207C_463"/>
      <sheetName val="_97_207COSRP11_xls__97_207C_464"/>
      <sheetName val="_97_207COSRP11_xls__97_207C_465"/>
      <sheetName val="_97_207COSRP11_xls__97_207C_466"/>
      <sheetName val="_97_207COSRP11_xls__97_207C_467"/>
      <sheetName val="_97_207COSRP11_xls__97_207C_468"/>
      <sheetName val="_97_207COSRP11_xls__97_207C_469"/>
      <sheetName val="_97_207COSRP11_xls__97_207C_470"/>
      <sheetName val="_97_207COSRP11_xls_B________289"/>
      <sheetName val="_97_207COSRP11_xls_B________290"/>
      <sheetName val="_97_207COSRP11_xls__97_207C_471"/>
      <sheetName val="_97_207COSRP11_xls__97_207C_472"/>
      <sheetName val="_97_207COSRP11_xls__97_207C_473"/>
      <sheetName val="_97_207COSRP11_xls__97_207C_474"/>
      <sheetName val="_97_207COSRP11_xls_B________291"/>
      <sheetName val="_97_207COSRP11_xls_B________292"/>
      <sheetName val="_97_207COSRP11_xls__97_207C_475"/>
      <sheetName val="_97_207COSRP11_xls__97_207C_476"/>
      <sheetName val="_97_207COSRP11_xls__97_207C_477"/>
      <sheetName val="_97_207COSRP11_xls__97_207C_478"/>
      <sheetName val="_97_207COSRP11_xls__97_207C_479"/>
      <sheetName val="_97_207COSRP11_xls__97_207C_480"/>
      <sheetName val="_97_207COSRP11_xls_B________293"/>
      <sheetName val="_97_207COSRP11_xls_B________294"/>
      <sheetName val="_97_207COSRP11_xls__97_207COS17"/>
      <sheetName val="_97_207COSRP11_xls__97_207COS18"/>
      <sheetName val="_97_207COSRP11_xls__97_207COS19"/>
      <sheetName val="_97_207COSRP11_xls__97_207COS20"/>
      <sheetName val="_97_207COSRP11_xls__97_207COS21"/>
      <sheetName val="_97_207COSRP11_xls__97_207COS22"/>
      <sheetName val="_97_207COSRP11_xls_B________295"/>
      <sheetName val="_97_207COSRP11_xls_B________296"/>
      <sheetName val="_97_207COSRP11_xls__97_207CO190"/>
      <sheetName val="_97_207COSRP11_xls__97_207COS23"/>
      <sheetName val="_97_207COSRP11_xls__97_207COS24"/>
      <sheetName val="_97_207COSRP11_xls__97_207CO191"/>
      <sheetName val="_97_207COSRP11_xls__97_207CO192"/>
      <sheetName val="_97_207COSRP11_xls__97_207CO193"/>
      <sheetName val="_97_207COSRP11_xls_B________297"/>
      <sheetName val="_97_207COSRP11_xls_B________298"/>
      <sheetName val="_97_207COSRP11_xls__97_207C_481"/>
      <sheetName val="_97_207COSRP11_xls__97_207C_482"/>
      <sheetName val="_97_207COSRP11_xls__97_207C_483"/>
      <sheetName val="_97_207COSRP11_xls__97_207C_484"/>
      <sheetName val="_97_207COSRP11_xls__97_207C_485"/>
      <sheetName val="_97_207COSRP11_xls__97_207C_486"/>
      <sheetName val="_97_207COSRP11_xls_B________299"/>
      <sheetName val="_97_207COSRP11_xls_B________300"/>
      <sheetName val="_97_207COSRP11_xls__97_207CO194"/>
      <sheetName val="_97_207COSRP11_xls__97_207CO195"/>
      <sheetName val="_97_207COSRP11_xls__97_207CO196"/>
      <sheetName val="_97_207COSRP11_xls__97_207CO197"/>
      <sheetName val="_97_207COSRP11_xls_B________301"/>
      <sheetName val="_97_207COSRP11_xls_B________302"/>
      <sheetName val="_97_207COSRP11_xls__97_207CO198"/>
      <sheetName val="_97_207COSRP11_xls__97_207CO199"/>
      <sheetName val="_97_207COSRP11_xls__97_207CO200"/>
      <sheetName val="_97_207COSRP11_xls__97_207CO201"/>
      <sheetName val="_97_207COSRP11_xls_B________303"/>
      <sheetName val="_97_207COSRP11_xls_B________304"/>
      <sheetName val="_97_207COSRP11_xls__97_207CO202"/>
      <sheetName val="_97_207COSRP11_xls__97_207CO203"/>
      <sheetName val="_97_207COSRP11_xls__97_207CO204"/>
      <sheetName val="_97_207COSRP11_xls__97_207CO205"/>
      <sheetName val="_97_207COSRP11_xls_B________305"/>
      <sheetName val="_97_207COSRP11_xls_B________306"/>
      <sheetName val="_97_207COSRP11_xls__97_207CO206"/>
      <sheetName val="_97_207COSRP11_xls__97_207CO207"/>
      <sheetName val="_97_207COSRP11_xls__97_207CO208"/>
      <sheetName val="_97_207COSRP11_xls__97_207CO209"/>
      <sheetName val="_97_207COSRP11_xls_B________307"/>
      <sheetName val="_97_207COSRP11_xls_B________308"/>
      <sheetName val="_97_207COSRP11_xls_B________309"/>
      <sheetName val="_97_207COSRP11_xls_B________310"/>
      <sheetName val="_97_207COSRP11_xls_B________311"/>
      <sheetName val="_97_207COSRP11_xls_B________312"/>
      <sheetName val="_97_207COSRP11_xls__97_207CO210"/>
      <sheetName val="_97_207COSRP11_xls__97_207CO211"/>
      <sheetName val="_97_207COSRP11_xls__97_207CO212"/>
      <sheetName val="_97_207COSRP11_xls__97_207CO213"/>
      <sheetName val="_97_207COSRP11_xls_B________313"/>
      <sheetName val="_97_207COSRP11_xls_B________314"/>
      <sheetName val="_97_207COSRP11_xls__97_207CO214"/>
      <sheetName val="_97_207COSRP11_xls__97_207CO215"/>
      <sheetName val="_97_207COSRP11_xls_B________315"/>
      <sheetName val="_97_207COSRP11_xls_B________316"/>
      <sheetName val="_97_207COSRP11_xls__97_207CO216"/>
      <sheetName val="_97_207COSRP11_xls__97_207CO217"/>
      <sheetName val="_97_207COSRP11_xls__97_207CO218"/>
      <sheetName val="_97_207COSRP11_xls_B________317"/>
      <sheetName val="_97_207COSRP11_xls_B________318"/>
      <sheetName val="_97_207COSRP11_xls__97_207CO219"/>
      <sheetName val="_97_207COSRP11_xls__97_207CO220"/>
      <sheetName val="_97_207COSRP11_xls__97_207CO221"/>
      <sheetName val="_97_207COSRP11_xls_B________319"/>
      <sheetName val="_97_207COSRP11_xls_B________320"/>
      <sheetName val="_97_207COSRP11_xls__97_207CO222"/>
      <sheetName val="_97_207COSRP11_xls__97_207CO223"/>
      <sheetName val="_97_207COSRP11_xls__97_207CO224"/>
      <sheetName val="_97_207COSRP11_xls__97_207CO225"/>
      <sheetName val="_97_207COSRP11_xls__97_207CO226"/>
      <sheetName val="_97_207COSRP11_xls__97_207CO227"/>
      <sheetName val="_97_207COSRP11_xls_B________321"/>
      <sheetName val="_97_207COSRP11_xls_B________322"/>
      <sheetName val="_97_207COSRP11_xls_B________323"/>
      <sheetName val="_97_207COSRP11_xls_B________324"/>
      <sheetName val="_97_207COSRP11_xls__97_207CO228"/>
      <sheetName val="_97_207COSRP11_xls__97_207CO229"/>
      <sheetName val="_97_207COSRP11_xls__97_207CO230"/>
      <sheetName val="_97_207COSRP11_xls__97_207CO231"/>
      <sheetName val="_97_207COSRP11_xls_B________325"/>
      <sheetName val="_97_207COSRP11_xls_B________326"/>
      <sheetName val="_97_207COSRP11_xls__97_207CO232"/>
      <sheetName val="_97_207COSRP11_xls__97_207CO233"/>
      <sheetName val="_97_207COSRP11_xls__97_207CO234"/>
      <sheetName val="_97_207COSRP11_xls__97_207CO235"/>
      <sheetName val="_97_207COSRP11_xls__97_207CO236"/>
      <sheetName val="_97_207COSRP11_xls__97_207CO237"/>
      <sheetName val="_97_207COSRP11_xls__97_207CO238"/>
      <sheetName val="_97_207COSRP11_xls_B________327"/>
      <sheetName val="_97_207COSRP11_xls_B________328"/>
      <sheetName val="_97_207COSRP11_xls__97_207CO239"/>
      <sheetName val="_97_207COSRP11_xls__97_207CO240"/>
      <sheetName val="_97_207COSRP11_xls__97_207CO241"/>
      <sheetName val="_97_207COSRP11_xls__97_207CO242"/>
      <sheetName val="_97_207COSRP11_xls__97_207CO243"/>
      <sheetName val="_97_207COSRP11_xls_B________329"/>
      <sheetName val="_97_207COSRP11_xls_B________330"/>
      <sheetName val="_97_207COSRP11_xls__97_207CO244"/>
      <sheetName val="_97_207COSRP11_xls__97_207CO245"/>
      <sheetName val="_97_207COSRP11_xls__97_207CO246"/>
      <sheetName val="_97_207COSRP11_xls__97_207CO247"/>
      <sheetName val="_97_207COSRP11_xls__97_207CO248"/>
      <sheetName val="_97_207COSRP11_xls__97_207CO249"/>
      <sheetName val="_97_207COSRP11_xls_B________331"/>
      <sheetName val="_97_207COSRP11_xls_B________332"/>
      <sheetName val="_97_207COSRP11_xls__97_207CO250"/>
      <sheetName val="_97_207COSRP11_xls__97_207CO251"/>
      <sheetName val="_97_207COSRP11_xls__97_207CO252"/>
      <sheetName val="_97_207COSRP11_xls__97_207CO253"/>
      <sheetName val="_97_207COSRP11_xls__97_207CO254"/>
      <sheetName val="_97_207COSRP11_xls__97_207CO255"/>
      <sheetName val="_97_207COSRP11_xls_B________333"/>
      <sheetName val="_97_207COSRP11_xls_B________334"/>
      <sheetName val="_97_207COSRP11_xls__97_207CO256"/>
      <sheetName val="_97_207COSRP11_xls__97_207CO257"/>
      <sheetName val="_97_207COSRP11_xls__97_207CO258"/>
      <sheetName val="_97_207COSRP11_xls__97_207CO259"/>
      <sheetName val="_97_207COSRP11_xls_B________335"/>
      <sheetName val="_97_207COSRP11_xls_B________336"/>
      <sheetName val="_97_207COSRP11_xls__97_207CO260"/>
      <sheetName val="_97_207COSRP11_xls__97_207CO261"/>
      <sheetName val="_97_207COSRP11_xls_B________337"/>
      <sheetName val="_97_207COSRP11_xls_B________338"/>
      <sheetName val="_97_207COSRP11_xls__97_207CO262"/>
      <sheetName val="_97_207COSRP11_xls__97_207CO263"/>
      <sheetName val="_97_207COSRP11_xls__97_207CO264"/>
      <sheetName val="_97_207COSRP11_xls__97_207CO265"/>
      <sheetName val="_97_207COSRP11_xls_B________339"/>
      <sheetName val="_97_207COSRP11_xls_B________340"/>
      <sheetName val="_97_207COSRP11_xls_B________341"/>
      <sheetName val="_97_207COSRP11_xls_B________342"/>
      <sheetName val="_97_207COSRP11_xls_B________343"/>
      <sheetName val="_97_207COSRP11_xls_B________344"/>
      <sheetName val="_97_207COSRP11_xls__97_207CO266"/>
      <sheetName val="_97_207COSRP11_xls_B________345"/>
      <sheetName val="_97_207COSRP11_xls_B________346"/>
      <sheetName val="_97_207COSRP11_xls__97_207CO267"/>
      <sheetName val="_97_207COSRP11_xls__97_207CO268"/>
      <sheetName val="_97_207COSRP11_xls__97_207CO269"/>
      <sheetName val="_97_207COSRP11_xls_B________347"/>
      <sheetName val="_97_207COSRP11_xls_B________348"/>
      <sheetName val="_97_207COSRP11_xls__97_207CO270"/>
      <sheetName val="_97_207COSRP11_xls__97_207CO271"/>
      <sheetName val="_97_207COSRP11_xls__97_207CO272"/>
      <sheetName val="_97_207COSRP11_xls_B________349"/>
      <sheetName val="_97_207COSRP11_xls_B________350"/>
      <sheetName val="_97_207COSRP11_xls__97_207CO273"/>
      <sheetName val="_97_207COSRP11_xls__97_207CO274"/>
      <sheetName val="_97_207COSRP11_xls__97_207CO275"/>
      <sheetName val="_97_207COSRP11_xls_B________351"/>
      <sheetName val="_97_207COSRP11_xls_B________352"/>
      <sheetName val="_97_207COSRP11_xls__97_207CO276"/>
      <sheetName val="_97_207COSRP11_xls__97_207CO277"/>
      <sheetName val="_97_207COSRP11_xls_B________353"/>
      <sheetName val="_97_207COSRP11_xls_B________354"/>
      <sheetName val="_97_207COSRP11_xls__97_207C_487"/>
      <sheetName val="_97_207COSRP11_xls__97_207CO278"/>
      <sheetName val="_97_207COSRP11_xls__97_207CO279"/>
      <sheetName val="_97_207COSRP11_xls__97_207C_488"/>
      <sheetName val="_97_207COSRP11_xls__97_207C_489"/>
      <sheetName val="_97_207COSRP11_xls__97_207C_490"/>
      <sheetName val="_97_207COSRP11_xls_B________355"/>
      <sheetName val="_97_207COSRP11_xls_B________356"/>
      <sheetName val="_97_207COSRP11_xls__97_207C_491"/>
      <sheetName val="_97_207COSRP11_xls__97_207C_492"/>
      <sheetName val="_97_207COSRP11_xls__97_207C_493"/>
      <sheetName val="_97_207COSRP11_xls__97_207C_494"/>
      <sheetName val="_97_207COSRP11_xls__97_207C_495"/>
      <sheetName val="_97_207COSRP11_xls_B________357"/>
      <sheetName val="_97_207COSRP11_xls_B________358"/>
      <sheetName val="_97_207COSRP11_xls__97_207C_496"/>
      <sheetName val="_97_207COSRP11_xls__97_207C_497"/>
      <sheetName val="_97_207COSRP11_xls__97_207C_498"/>
      <sheetName val="_97_207COSRP11_xls__97_207C_499"/>
      <sheetName val="_97_207COSRP11_xls_B________359"/>
      <sheetName val="_97_207COSRP11_xls_B________360"/>
      <sheetName val="_97_207COSRP11_xls__97_207C_500"/>
      <sheetName val="_97_207COSRP11_xls__97_207C_501"/>
      <sheetName val="_97_207COSRP11_xls__97_207C_502"/>
      <sheetName val="_97_207COSRP11_xls__97_207C_503"/>
      <sheetName val="_97_207COSRP11_xls__97_207C_504"/>
      <sheetName val="_97_207COSRP11_xls__97_207C_505"/>
      <sheetName val="_97_207COSRP11_xls__97_207C_506"/>
      <sheetName val="_97_207COSRP11_xls_B________361"/>
      <sheetName val="_97_207COSRP11_xls_B________362"/>
      <sheetName val="_97_207COSRP11_xls__97_207C_507"/>
      <sheetName val="_97_207COSRP11_xls__97_207C_508"/>
      <sheetName val="_97_207COSRP11_xls__97_207C_509"/>
      <sheetName val="_97_207COSRP11_xls__97_207C_510"/>
      <sheetName val="_97_207COSRP11_xls__97_207C_511"/>
      <sheetName val="_97_207COSRP11_xls__97_207C_512"/>
      <sheetName val="_97_207COSRP11_xls_B________363"/>
      <sheetName val="_97_207COSRP11_xls_B________364"/>
      <sheetName val="_97_207COSRP11_xls__97_207C_513"/>
      <sheetName val="_97_207COSRP11_xls__97_207C_514"/>
      <sheetName val="_97_207COSRP11_xls__97_207C_515"/>
      <sheetName val="_97_207COSRP11_xls__97_207C_516"/>
      <sheetName val="_97_207COSRP11_xls__97_207C_517"/>
      <sheetName val="_97_207COSRP11_xls_B________365"/>
      <sheetName val="_97_207COSRP11_xls_B________366"/>
      <sheetName val="_97_207COSRP11_xls_B________367"/>
      <sheetName val="_97_207COSRP11_xls_B________368"/>
      <sheetName val="_97_207COSRP11_xls__97_207C_518"/>
      <sheetName val="_97_207COSRP11_xls_B________369"/>
      <sheetName val="_97_207COSRP11_xls_B________370"/>
      <sheetName val="_97_207COSRP11_xls__97_207C_519"/>
      <sheetName val="_97_207COSRP11_xls__97_207C_520"/>
      <sheetName val="_97_207COSRP11_xls__97_207C_521"/>
      <sheetName val="_97_207COSRP11_xls__97_207C_522"/>
      <sheetName val="_97_207COSRP11_xls_B________371"/>
      <sheetName val="_97_207COSRP11_xls_B________372"/>
      <sheetName val="_97_207COSRP11_xls__97_207C_523"/>
      <sheetName val="_97_207COSRP11_xls__97_207C_524"/>
      <sheetName val="_97_207COSRP11_xls__97_207C_525"/>
      <sheetName val="_97_207COSRP11_xls__97_207C_526"/>
      <sheetName val="_97_207COSRP11_xls_B________373"/>
      <sheetName val="_97_207COSRP11_xls_B________374"/>
      <sheetName val="_97_207COSRP11_xls__97_207C_527"/>
      <sheetName val="_97_207COSRP11_xls__97_207C_528"/>
      <sheetName val="_97_207COSRP11_xls__97_207C_529"/>
      <sheetName val="_97_207COSRP11_xls__97_207C_530"/>
      <sheetName val="_97_207COSRP11_xls__97_207C_531"/>
      <sheetName val="_97_207COSRP11_xls__97_207C_532"/>
      <sheetName val="_97_207COSRP11_xls__97_207C_533"/>
      <sheetName val="_97_207COSRP11_xls_B________375"/>
      <sheetName val="_97_207COSRP11_xls_B________376"/>
      <sheetName val="_97_207COSRP11_xls__97_207C_534"/>
      <sheetName val="_97_207COSRP11_xls__97_207C_535"/>
      <sheetName val="_97_207COSRP11_xls__97_207C_536"/>
      <sheetName val="_97_207COSRP11_xls__97_207C_537"/>
      <sheetName val="_97_207COSRP11_xls_B________377"/>
      <sheetName val="_97_207COSRP11_xls_B________378"/>
      <sheetName val="_97_207COSRP11_xls__97_207C_538"/>
      <sheetName val="_97_207COSRP11_xls__97_207C_539"/>
      <sheetName val="_97_207COSRP11_xls_B________379"/>
      <sheetName val="_97_207COSRP11_xls_B________380"/>
      <sheetName val="_97_207COSRP11_xls__97_207C_540"/>
      <sheetName val="_97_207COSRP11_xls_B________381"/>
      <sheetName val="_97_207COSRP11_xls_B________382"/>
      <sheetName val="_97_207COSRP11_xls__97_207C_541"/>
      <sheetName val="_97_207COSRP11_xls_B________383"/>
      <sheetName val="_97_207COSRP11_xls_B________384"/>
      <sheetName val="_97_207COSRP11_xls__97_207C_542"/>
      <sheetName val="_97_207COSRP11_xls__97_207C_543"/>
      <sheetName val="_97_207COSRP11_xls__97_207C_544"/>
      <sheetName val="_97_207COSRP11_xls_B________385"/>
      <sheetName val="_97_207COSRP11_xls_B________386"/>
      <sheetName val="_97_207COSRP11_xls__97_207C_545"/>
      <sheetName val="_97_207COSRP11_xls__97_207C_546"/>
      <sheetName val="_97_207COSRP11_xls__97_207C_547"/>
      <sheetName val="_97_207COSRP11_xls_B________387"/>
      <sheetName val="_97_207COSRP11_xls_B________388"/>
      <sheetName val="_97_207COSRP11_xls__97_207C_548"/>
      <sheetName val="_97_207COSRP11_xls__97_207C_549"/>
      <sheetName val="_97_207COSRP11_xls__97_207C_550"/>
      <sheetName val="_97_207COSRP11_xls__97_207C_551"/>
      <sheetName val="_97_207COSRP11_xls_B________389"/>
      <sheetName val="_97_207COSRP11_xls_B________390"/>
      <sheetName val="_97_207COSRP11_xls__97_207C_552"/>
      <sheetName val="_97_207COSRP11_xls__97_207C_553"/>
      <sheetName val="_97_207COSRP11_xls__97_207C_554"/>
      <sheetName val="_97_207COSRP11_xls_B________391"/>
      <sheetName val="_97_207COSRP11_xls_B________392"/>
      <sheetName val="_97_207COSRP11_xls__97_207C_555"/>
      <sheetName val="_97_207COSRP11_xls__97_207C_556"/>
      <sheetName val="_97_207COSRP11_xls__97_207C_557"/>
      <sheetName val="_97_207COSRP11_xls_B________393"/>
      <sheetName val="_97_207COSRP11_xls_B________394"/>
      <sheetName val="_97_207COSRP11_xls__97_207C_558"/>
      <sheetName val="_97_207COSRP11_xls__97_207C_559"/>
      <sheetName val="_97_207COSRP11_xls__97_207C_560"/>
      <sheetName val="_97_207COSRP11_xls__97_207C_561"/>
      <sheetName val="_97_207COSRP11_xls__97_207C_562"/>
      <sheetName val="_97_207COSRP11_xls__97_207C_563"/>
      <sheetName val="_97_207COSRP11_xls__97_207C_564"/>
      <sheetName val="_97_207COSRP11_xls_B________395"/>
      <sheetName val="_97_207COSRP11_xls_B________396"/>
      <sheetName val="_97_207COSRP11_xls__97_207C_565"/>
      <sheetName val="_97_207COSRP11_xls__97_207C_566"/>
      <sheetName val="_97_207COSRP11_xls__97_207C_567"/>
      <sheetName val="_97_207COSRP11_xls__97_207C_568"/>
      <sheetName val="_97_207COSRP11_xls__97_207C_569"/>
      <sheetName val="_97_207COSRP11_xls__97_207C_570"/>
      <sheetName val="_97_207COSRP11_xls__97_207C_571"/>
      <sheetName val="_97_207COSRP11_xls__97_207C_572"/>
      <sheetName val="_97_207COSRP11_xls_B________397"/>
      <sheetName val="_97_207COSRP11_xls_B________398"/>
      <sheetName val="_97_207COSRP11_xls__97_207C_573"/>
      <sheetName val="_97_207COSRP11_xls__97_207C_574"/>
      <sheetName val="_97_207COSRP11_xls_B________399"/>
      <sheetName val="_97_207COSRP11_xls_B________400"/>
      <sheetName val="_97_207COSRP11_xls__97_207C_575"/>
      <sheetName val="_97_207COSRP11_xls__97_207C_576"/>
      <sheetName val="_97_207COSRP11_xls__97_207C_577"/>
      <sheetName val="_97_207COSRP11_xls_B________401"/>
      <sheetName val="_97_207COSRP11_xls_B________402"/>
      <sheetName val="_97_207COSRP11_xls__97_207C_578"/>
      <sheetName val="_97_207COSRP11_xls__97_207C_579"/>
      <sheetName val="_97_207COSRP11_xls__97_207C_580"/>
      <sheetName val="_97_207COSRP11_xls_B________403"/>
      <sheetName val="_97_207COSRP11_xls_B________404"/>
      <sheetName val="_97_207COSRP11_xls__97_207C_581"/>
      <sheetName val="_97_207COSRP11_xls__97_207C_582"/>
      <sheetName val="_97_207COSRP11_xls__97_207C_583"/>
      <sheetName val="_97_207COSRP11_xls_B________405"/>
      <sheetName val="_97_207COSRP11_xls_B________406"/>
      <sheetName val="_97_207COSRP11_xls__97_207C_584"/>
      <sheetName val="_97_207COSRP11_xls__97_207C_585"/>
      <sheetName val="_97_207COSRP11_xls_B________407"/>
      <sheetName val="_97_207COSRP11_xls_B________408"/>
      <sheetName val="_97_207COSRP11_xls__97_207C_586"/>
      <sheetName val="_97_207COSRP11_xls__97_207C_587"/>
      <sheetName val="_97_207COSRP11_xls__97_207C_588"/>
      <sheetName val="_97_207COSRP11_xls__97_207C_589"/>
      <sheetName val="_97_207COSRP11_xls__97_207C_590"/>
      <sheetName val="_97_207COSRP11_xls__97_207C_591"/>
      <sheetName val="_97_207COSRP11_xls__97_207C_592"/>
      <sheetName val="_97_207COSRP11_xls__97_207C_593"/>
      <sheetName val="_97_207COSRP11_xls__97_207C_594"/>
      <sheetName val="_97_207COSRP11_xls__97_207C_595"/>
      <sheetName val="_97_207COSRP11_xls__97_207C_596"/>
      <sheetName val="_97_207COSRP11_xls__97_207C_597"/>
      <sheetName val="_97_207COSRP11_xls_B________409"/>
      <sheetName val="_97_207COSRP11_xls_B________410"/>
      <sheetName val="_97_207COSRP11_xls__97_207C_598"/>
      <sheetName val="_97_207COSRP11_xls__97_207C_599"/>
      <sheetName val="_97_207COSRP11_xls__97_207C_600"/>
      <sheetName val="_97_207COSRP11_xls__97_207C_601"/>
      <sheetName val="_97_207COSRP11_xls_B________411"/>
      <sheetName val="_97_207COSRP11_xls_B________412"/>
      <sheetName val="_97_207COSRP11_xls__97_207C_602"/>
      <sheetName val="_97_207COSRP11_xls__97_207C_603"/>
      <sheetName val="_97_207COSRP11_xls__97_207C_604"/>
      <sheetName val="_97_207COSRP11_xls_B________413"/>
      <sheetName val="_97_207COSRP11_xls_B________414"/>
      <sheetName val="_97_207COSRP11_xls__97_207C_605"/>
      <sheetName val="_97_207COSRP11_xls__97_207C_606"/>
      <sheetName val="_97_207COSRP11_xls__97_207C_607"/>
      <sheetName val="_97_207COSRP11_xls_B________415"/>
      <sheetName val="_97_207COSRP11_xls_B________416"/>
      <sheetName val="_97_207COSRP11_xls__97_207C_608"/>
      <sheetName val="_97_207COSRP11_xls__97_207C_609"/>
      <sheetName val="_97_207COSRP11_xls__97_207C_610"/>
      <sheetName val="_97_207COSRP11_xls__97_207C_611"/>
      <sheetName val="_97_207COSRP11_xls__97_207C_612"/>
      <sheetName val="_97_207COSRP11_xls__97_207C_613"/>
      <sheetName val="_97_207COSRP11_xls__97_207C_614"/>
      <sheetName val="_97_207COSRP11_xls__97_207C_615"/>
      <sheetName val="_97_207COSRP11_xls__97_207C_616"/>
      <sheetName val="_97_207COSRP11_xls__97_207C_617"/>
      <sheetName val="_97_207COSRP11_xls__97_207C_618"/>
      <sheetName val="_97_207COSRP11_xls__97_207C_619"/>
      <sheetName val="_97_207COSRP11_xls__97_207C_620"/>
      <sheetName val="_97_207COSRP11_xls__97_207C_621"/>
      <sheetName val="_97_207COSRP11_xls__97_207C_622"/>
      <sheetName val="_97_207COSRP11_xls__97_207C_623"/>
      <sheetName val="_97_207COSRP11_xls_B________417"/>
      <sheetName val="_97_207COSRP11_xls_B________418"/>
      <sheetName val="_97_207COSRP11_xls__97_207C_624"/>
      <sheetName val="_97_207COSRP11_xls__97_207C_625"/>
      <sheetName val="_97_207COSRP11_xls__97_207C_626"/>
      <sheetName val="_97_207COSRP11_xls__97_207C_627"/>
      <sheetName val="_97_207COSRP11_xls__97_207C_628"/>
      <sheetName val="_97_207COSRP11_xls__97_207C_629"/>
      <sheetName val="_97_207COSRP11_xls_B________419"/>
      <sheetName val="_97_207COSRP11_xls_B________420"/>
      <sheetName val="_97_207COSRP11_xls_B________421"/>
      <sheetName val="_97_207COSRP11_xls_B________422"/>
      <sheetName val="_97_207COSRP11_xls__97_207C_630"/>
      <sheetName val="_97_207COSRP11_xls__97_207C_631"/>
      <sheetName val="_97_207COSRP11_xls__97_207C_632"/>
      <sheetName val="_97_207COSRP11_xls__97_207C_633"/>
      <sheetName val="_97_207COSRP11_xls_B________423"/>
      <sheetName val="_97_207COSRP11_xls_B________424"/>
      <sheetName val="_97_207COSRP11_xls__97_207C_634"/>
      <sheetName val="_97_207COSRP11_xls__97_207C_635"/>
      <sheetName val="_97_207COSRP11_xls__97_207C_636"/>
      <sheetName val="_97_207COSRP11_xls__97_207C_637"/>
      <sheetName val="_97_207COSRP11_xls_B________425"/>
      <sheetName val="_97_207COSRP11_xls_B________426"/>
      <sheetName val="_97_207COSRP11_xls__97_207C_638"/>
      <sheetName val="_97_207COSRP11_xls__97_207C_639"/>
      <sheetName val="_97_207COSRP11_xls__97_207C_640"/>
      <sheetName val="_97_207COSRP11_xls__97_207C_641"/>
      <sheetName val="_97_207COSRP11_xls_B________427"/>
      <sheetName val="_97_207COSRP11_xls_B________428"/>
      <sheetName val="_97_207COSRP11_xls__97_207C_642"/>
      <sheetName val="_97_207COSRP11_xls__97_207C_643"/>
      <sheetName val="_97_207COSRP11_xls__97_207C_644"/>
      <sheetName val="_97_207COSRP11_xls__97_207C_645"/>
      <sheetName val="_97_207COSRP11_xls__97_207C_646"/>
      <sheetName val="_97_207COSRP11_xls__97_207C_647"/>
      <sheetName val="_97_207COSRP11_xls_B________429"/>
      <sheetName val="_97_207COSRP11_xls_B________430"/>
      <sheetName val="_97_207COSRP11_xls__97_207C_648"/>
      <sheetName val="_97_207COSRP11_xls__97_207C_649"/>
      <sheetName val="_97_207COSRP11_xls__97_207C_650"/>
      <sheetName val="_97_207COSRP11_xls_B________431"/>
      <sheetName val="_97_207COSRP11_xls_B________432"/>
      <sheetName val="_97_207COSRP11_xls__97_207C_651"/>
      <sheetName val="_97_207COSRP11_xls__97_207C_652"/>
      <sheetName val="_97_207COSRP11_xls__97_207C_653"/>
      <sheetName val="_97_207COSRP11_xls__97_207C_654"/>
      <sheetName val="_97_207COSRP11_xls_B________433"/>
      <sheetName val="_97_207COSRP11_xls_B________434"/>
      <sheetName val="_97_207COSRP11_xls__97_207C_655"/>
      <sheetName val="_97_207COSRP11_xls__97_207C_656"/>
      <sheetName val="_97_207COSRP11_xls__97_207C_657"/>
      <sheetName val="_97_207COSRP11_xls__97_207C_658"/>
      <sheetName val="_97_207COSRP11_xls_B________435"/>
      <sheetName val="_97_207COSRP11_xls_B________436"/>
      <sheetName val="_97_207COSRP11_xls__97_207C_659"/>
      <sheetName val="_97_207COSRP11_xls__97_207C_660"/>
      <sheetName val="_97_207COSRP11_xls__97_207C_661"/>
      <sheetName val="_97_207COSRP11_xls__97_207C_662"/>
      <sheetName val="_97_207COSRP11_xls__97_207C_663"/>
      <sheetName val="_97_207COSRP11_xls__97_207C_664"/>
      <sheetName val="_97_207COSRP11_xls__97_207C_665"/>
      <sheetName val="_97_207COSRP11_xls__97_207C_666"/>
      <sheetName val="_97_207COSRP11_xls__97_207C_667"/>
      <sheetName val="_97_207COSRP11_xls__97_207C_668"/>
      <sheetName val="_97_207COSRP11_xls_B________437"/>
      <sheetName val="_97_207COSRP11_xls_B________438"/>
      <sheetName val="_97_207COSRP11_xls__97_207C_669"/>
      <sheetName val="_97_207COSRP11_xls__97_207C_670"/>
      <sheetName val="_97_207COSRP11_xls__97_207C_671"/>
      <sheetName val="_97_207COSRP11_xls__97_207C_672"/>
      <sheetName val="_97_207COSRP11_xls__97_207C_673"/>
      <sheetName val="_97_207COSRP11_xls__97_207C_674"/>
      <sheetName val="_97_207COSRP11_xls_B________439"/>
      <sheetName val="_97_207COSRP11_xls_B________440"/>
      <sheetName val="_97_207COSRP11_xls__97_207C_675"/>
      <sheetName val="_97_207COSRP11_xls__97_207C_676"/>
      <sheetName val="_97_207COSRP11_xls__97_207C_677"/>
      <sheetName val="_97_207COSRP11_xls_B________441"/>
      <sheetName val="_97_207COSRP11_xls_B________442"/>
      <sheetName val="_97_207COSRP11_xls__97_207C_678"/>
      <sheetName val="_97_207COSRP11_xls__97_207C_679"/>
      <sheetName val="_97_207COSRP11_xls__97_207C_680"/>
      <sheetName val="_97_207COSRP11_xls__97_207C_681"/>
      <sheetName val="_97_207COSRP11_xls_B________443"/>
      <sheetName val="_97_207COSRP11_xls_B________444"/>
      <sheetName val="_97_207COSRP11_xls__97_207C_682"/>
      <sheetName val="_97_207COSRP11_xls__97_207C_683"/>
      <sheetName val="_97_207COSRP11_xls__97_207C_684"/>
      <sheetName val="_97_207COSRP11_xls_B________445"/>
      <sheetName val="_97_207COSRP11_xls_B________446"/>
      <sheetName val="_97_207COSRP11_xls__97_207C_685"/>
      <sheetName val="_97_207COSRP11_xls__97_207C_686"/>
      <sheetName val="_97_207COSRP11_xls__97_207C_687"/>
      <sheetName val="_97_207COSRP11_xls_B________447"/>
      <sheetName val="_97_207COSRP11_xls_B________448"/>
      <sheetName val="_97_207COSRP11_xls__97_207C_688"/>
      <sheetName val="_97_207COSRP11_xls__97_207C_689"/>
      <sheetName val="_97_207COSRP11_xls__97_207C_690"/>
      <sheetName val="_97_207COSRP11_xls_B________449"/>
      <sheetName val="_97_207COSRP11_xls_B________450"/>
      <sheetName val="_97_207COSRP11_xls__97_207C_691"/>
      <sheetName val="_97_207COSRP11_xls__97_207C_692"/>
      <sheetName val="_97_207COSRP11_xls__97_207C_693"/>
      <sheetName val="_97_207COSRP11_xls__97_207C_694"/>
      <sheetName val="_97_207COSRP11_xls__97_207C_695"/>
      <sheetName val="_97_207COSRP11_xls_B________451"/>
      <sheetName val="_97_207COSRP11_xls_B________452"/>
      <sheetName val="_97_207COSRP11_xls_B________453"/>
      <sheetName val="_97_207COSRP11_xls_B________454"/>
      <sheetName val="_97_207COSRP11_xls__97_207C_696"/>
      <sheetName val="_97_207COSRP11_xls_B________455"/>
      <sheetName val="_97_207COSRP11_xls_B________456"/>
      <sheetName val="_97_207COSRP11_xls__97_207C_697"/>
      <sheetName val="_97_207COSRP11_xls__97_207C_698"/>
      <sheetName val="_97_207COSRP11_xls__97_207C_699"/>
      <sheetName val="_97_207COSRP11_xls__97_207C_700"/>
      <sheetName val="_97_207COSRP11_xls_B________457"/>
      <sheetName val="_97_207COSRP11_xls_B________458"/>
      <sheetName val="_97_207COSRP11_xls__97_207C_701"/>
      <sheetName val="_97_207COSRP11_xls__97_207C_702"/>
      <sheetName val="_97_207COSRP11_xls__97_207C_703"/>
      <sheetName val="_97_207COSRP11_xls__97_207C_704"/>
      <sheetName val="_97_207COSRP11_xls__97_207C_705"/>
      <sheetName val="_97_207COSRP11_xls__97_207C_706"/>
      <sheetName val="_97_207COSRP11_xls__97_207C_707"/>
      <sheetName val="_97_207COSRP11_xls_B________459"/>
      <sheetName val="_97_207COSRP11_xls_B________460"/>
      <sheetName val="_97_207COSRP11_xls__97_207C_708"/>
      <sheetName val="_97_207COSRP11_xls__97_207C_709"/>
      <sheetName val="_97_207COSRP11_xls__97_207C_710"/>
      <sheetName val="_97_207COSRP11_xls__97_207C_711"/>
      <sheetName val="_97_207COSRP11_xls__97_207C_712"/>
      <sheetName val="_97_207COSRP11_xls__97_207C_713"/>
      <sheetName val="_97_207COSRP11_xls_B________461"/>
      <sheetName val="_97_207COSRP11_xls_B________462"/>
      <sheetName val="_97_207COSRP11_xls__97_207C_714"/>
      <sheetName val="_97_207COSRP11_xls__97_207C_715"/>
      <sheetName val="_97_207COSRP11_xls__97_207C_716"/>
      <sheetName val="_97_207COSRP11_xls__97_207C_717"/>
      <sheetName val="_97_207COSRP11_xls__97_207C_718"/>
      <sheetName val="_97_207COSRP11_xls__97_207C_719"/>
      <sheetName val="_97_207COSRP11_xls_B________463"/>
      <sheetName val="_97_207COSRP11_xls_B________464"/>
      <sheetName val="_97_207COSRP11_xls__97_207C_720"/>
      <sheetName val="_97_207COSRP11_xls__97_207C_721"/>
      <sheetName val="_97_207COSRP11_xls__97_207C_722"/>
      <sheetName val="_97_207COSRP11_xls__97_207C_723"/>
      <sheetName val="_97_207COSRP11_xls_B________465"/>
      <sheetName val="_97_207COSRP11_xls_B________466"/>
      <sheetName val="_97_207COSRP11_xls__97_207C_724"/>
      <sheetName val="_97_207COSRP11_xls__97_207C_725"/>
      <sheetName val="_97_207COSRP11_xls__97_207C_726"/>
      <sheetName val="_97_207COSRP11_xls__97_207C_727"/>
      <sheetName val="_97_207COSRP11_xls__97_207C_728"/>
      <sheetName val="_97_207COSRP11_xls__97_207C_729"/>
      <sheetName val="_97_207COSRP11_xls_B________467"/>
      <sheetName val="_97_207COSRP11_xls_B________468"/>
      <sheetName val="_97_207COSRP11_xls__97_207C_730"/>
      <sheetName val="_97_207COSRP11_xls__97_207C_731"/>
      <sheetName val="_97_207COSRP11_xls__97_207C_732"/>
      <sheetName val="_97_207COSRP11_xls__97_207C_733"/>
      <sheetName val="_97_207COSRP11_xls__97_207C_734"/>
      <sheetName val="_97_207COSRP11_xls__97_207C_735"/>
      <sheetName val="_97_207COSRP11_xls__97_207C_736"/>
      <sheetName val="_97_207COSRP11_xls__97_207C_737"/>
      <sheetName val="_97_207COSRP11_xls__97_207C_738"/>
      <sheetName val="_97_207COSRP11_xls_B________469"/>
      <sheetName val="_97_207COSRP11_xls_B________470"/>
      <sheetName val="_97_207COSRP11_xls_B________471"/>
      <sheetName val="_97_207COSRP11_xls_B________472"/>
      <sheetName val="_97_207COSRP11_xls__97_207C_739"/>
      <sheetName val="_97_207COSRP11_xls__97_207C_740"/>
      <sheetName val="_97_207COSRP11_xls__97_207C_741"/>
      <sheetName val="_97_207COSRP11_xls__97_207C_742"/>
      <sheetName val="_97_207COSRP11_xls__97_207C_743"/>
      <sheetName val="_97_207COSRP11_xls__97_207C_744"/>
      <sheetName val="_97_207COSRP11_xls__97_207C_745"/>
      <sheetName val="_97_207COSRP11_xls__97_207C_746"/>
      <sheetName val="_97_207COSRP11_xls_B________473"/>
      <sheetName val="_97_207COSRP11_xls_B________474"/>
      <sheetName val="_97_207COSRP11_xls__97_207C_747"/>
      <sheetName val="_97_207COSRP11_xls__97_207C_748"/>
      <sheetName val="_97_207COSRP11_xls__97_207C_749"/>
      <sheetName val="_97_207COSRP11_xls__97_207C_750"/>
      <sheetName val="_97_207COSRP11.xls__97_207_1194"/>
      <sheetName val="_97_207COSRP11.xls__97_207_1187"/>
      <sheetName val="_97_207COSRP11.xls__97_207_1188"/>
      <sheetName val="_97_207COSRP11.xls__97_207_1189"/>
      <sheetName val="_97_207COSRP11.xls__97_207_1190"/>
      <sheetName val="_97_207COSRP11.xls__97_207_1195"/>
      <sheetName val="_97_207COSRP11.xls__97_207_1196"/>
      <sheetName val="_97_207COSRP11.xls__97_207_1191"/>
      <sheetName val="_97_207COSRP11.xls__97_207_1192"/>
      <sheetName val="_97_207COSRP11.xls__97_207_1193"/>
      <sheetName val="_97_207COSRP11.xls__97_207_1065"/>
      <sheetName val="_97_207COSRP11.xls__97_207_1066"/>
      <sheetName val="_97_207COSRP11.xls__97_207_1067"/>
      <sheetName val="_97_207COSRP11.xls__97_207_1154"/>
      <sheetName val="_97_207COSRP11.xls__97_207_1155"/>
      <sheetName val="_97_207COSRP11.xls__97_207_1156"/>
      <sheetName val="_97_207COSRP11.xls__97_207_1184"/>
      <sheetName val="_97_207COSRP11.xls__97_207_1157"/>
      <sheetName val="_97_207COSRP11.xls__97_207_1158"/>
      <sheetName val="_97_207COSRP11.xls__97_207_1185"/>
      <sheetName val="_97_207COSRP11.xls__97_207_1186"/>
      <sheetName val="_97_207COSRP11.xls__97_207_1159"/>
      <sheetName val="_97_207COSRP11.xls__97_207_1160"/>
      <sheetName val="_97_207COSRP11.xls__97_207_1068"/>
      <sheetName val="_97_207COSRP11.xls__97_207_1069"/>
      <sheetName val="_97_207COSRP11.xls__97_207_1070"/>
      <sheetName val="_97_207COSRP11.xls__97_207_1075"/>
      <sheetName val="_97_207COSRP11.xls__97_207_1071"/>
      <sheetName val="_97_207COSRP11.xls__97_207_1072"/>
      <sheetName val="_97_207COSRP11.xls__97_207_1076"/>
      <sheetName val="_97_207COSRP11.xls__97_207_1077"/>
      <sheetName val="_97_207COSRP11.xls__97_207_1073"/>
      <sheetName val="_97_207COSRP11.xls__97_207_1074"/>
      <sheetName val="_97_207COSRP11.xls__97_207_1078"/>
      <sheetName val="_97_207COSRP11.xls__97_207_1079"/>
      <sheetName val="_97_207COSRP11.xls__97_207_1080"/>
      <sheetName val="_97_207COSRP11.xls__97_207_1085"/>
      <sheetName val="_97_207COSRP11.xls__97_207_1081"/>
      <sheetName val="_97_207COSRP11.xls__97_207_1082"/>
      <sheetName val="_97_207COSRP11.xls__97_207_1086"/>
      <sheetName val="_97_207COSRP11.xls__97_207_1087"/>
      <sheetName val="_97_207COSRP11.xls__97_207_1083"/>
      <sheetName val="_97_207COSRP11.xls__97_207_1084"/>
      <sheetName val="_97_207COSRP11.xls__97_207_1088"/>
      <sheetName val="_97_207COSRP11.xls__97_207_1089"/>
      <sheetName val="_97_207COSRP11.xls__97_207_1090"/>
      <sheetName val="_97_207COSRP11.xls__97_207_1091"/>
      <sheetName val="_97_207COSRP11.xls__97_207_1092"/>
      <sheetName val="_97_207COSRP11.xls__97_207_1093"/>
      <sheetName val="_97_207COSRP11.xls__97_207_1094"/>
      <sheetName val="_97_207COSRP11.xls__97_207_1095"/>
      <sheetName val="_97_207COSRP11.xls__97_207_1096"/>
      <sheetName val="_97_207COSRP11.xls__97_207_1097"/>
      <sheetName val="_97_207COSRP11.xls__97_207_1098"/>
      <sheetName val="_97_207COSRP11.xls__97_207_1099"/>
      <sheetName val="_97_207COSRP11.xls__97_207_1100"/>
      <sheetName val="_97_207COSRP11.xls__97_207_1101"/>
      <sheetName val="_97_207COSRP11.xls__97_207_1102"/>
      <sheetName val="_97_207COSRP11.xls__97_207_1103"/>
      <sheetName val="_97_207COSRP11.xls__97_207_1104"/>
      <sheetName val="_97_207COSRP11.xls__97_207_1105"/>
      <sheetName val="_97_207COSRP11.xls__97_207_1106"/>
      <sheetName val="_97_207COSRP11.xls__97_207_1107"/>
      <sheetName val="_97_207COSRP11.xls__97_207_1108"/>
      <sheetName val="_97_207COSRP11.xls__97_207_1109"/>
      <sheetName val="_97_207COSRP11.xls__97_207_1110"/>
      <sheetName val="_97_207COSRP11.xls__97_207_1111"/>
      <sheetName val="_97_207COSRP11.xls__97_207_1116"/>
      <sheetName val="_97_207COSRP11.xls__97_207_1112"/>
      <sheetName val="_97_207COSRP11.xls__97_207_1113"/>
      <sheetName val="_97_207COSRP11.xls__97_207_1117"/>
      <sheetName val="_97_207COSRP11.xls__97_207_1118"/>
      <sheetName val="_97_207COSRP11.xls__97_207_1114"/>
      <sheetName val="_97_207COSRP11.xls__97_207_1115"/>
      <sheetName val="_97_207COSRP11.xls__97_207_1119"/>
      <sheetName val="_97_207COSRP11.xls__97_207_1120"/>
      <sheetName val="_97_207COSRP11.xls__97_207_1121"/>
      <sheetName val="_97_207COSRP11.xls__97_207_1122"/>
      <sheetName val="_97_207COSRP11.xls__97_207_1123"/>
      <sheetName val="_97_207COSRP11.xls__97_207_1124"/>
      <sheetName val="_97_207COSRP11.xls__97_207_1125"/>
      <sheetName val="_97_207COSRP11.xls__97_207_1126"/>
      <sheetName val="_97_207COSRP11.xls__97_207_1127"/>
      <sheetName val="_97_207COSRP11.xls__97_207_1128"/>
      <sheetName val="_97_207COSRP11.xls__97_207_1129"/>
      <sheetName val="_97_207COSRP11.xls__97_207_1130"/>
      <sheetName val="_97_207COSRP11.xls__97_207_1131"/>
      <sheetName val="_97_207COSRP11.xls__97_207_1132"/>
      <sheetName val="_97_207COSRP11.xls__97_207_1133"/>
      <sheetName val="_97_207COSRP11.xls__97_207_1134"/>
      <sheetName val="_97_207COSRP11.xls__97_207_1135"/>
      <sheetName val="_97_207COSRP11.xls__97_207_1136"/>
      <sheetName val="_97_207COSRP11.xls__97_207_1137"/>
      <sheetName val="_97_207COSRP11.xls__97_207_1138"/>
      <sheetName val="_97_207COSRP11.xls__97_207_1139"/>
      <sheetName val="_97_207COSRP11.xls__97_207_1140"/>
      <sheetName val="_97_207COSRP11.xls__97_207_1141"/>
      <sheetName val="_97_207COSRP11.xls__97_207_1142"/>
      <sheetName val="_97_207COSRP11.xls__97_207_1143"/>
      <sheetName val="_97_207COSRP11.xls__97_207_1144"/>
      <sheetName val="_97_207COSRP11.xls__97_207_1145"/>
      <sheetName val="_97_207COSRP11.xls__97_207_1146"/>
      <sheetName val="_97_207COSRP11.xls__97_207_1147"/>
      <sheetName val="_97_207COSRP11.xls__97_207_1148"/>
      <sheetName val="_97_207COSRP11.xls__97_207_1149"/>
      <sheetName val="_97_207COSRP11.xls__97_207_1150"/>
      <sheetName val="_97_207COSRP11.xls__97_207_1151"/>
      <sheetName val="_97_207COSRP11.xls__97_207_1152"/>
      <sheetName val="_97_207COSRP11.xls__97_207_1153"/>
      <sheetName val="_97_207COSRP11.xls__97_207_1178"/>
      <sheetName val="_97_207COSRP11.xls__97_207_1179"/>
      <sheetName val="_97_207COSRP11.xls__97_207_1180"/>
      <sheetName val="_97_207COSRP11.xls__97_207_1168"/>
      <sheetName val="_97_207COSRP11.xls__97_207_1169"/>
      <sheetName val="_97_207COSRP11.xls__97_207_1170"/>
      <sheetName val="_97_207COSRP11.xls__97_207_1171"/>
      <sheetName val="_97_207COSRP11.xls__97_207_1172"/>
      <sheetName val="_97_207COSRP11.xls__97_207_1173"/>
      <sheetName val="_97_207COSRP11.xls__97_207_1174"/>
      <sheetName val="_97_207COSRP11.xls__97_207_1161"/>
      <sheetName val="_97_207COSRP11.xls__97_207_1162"/>
      <sheetName val="_97_207COSRP11.xls__97_207_1163"/>
      <sheetName val="_97_207COSRP11.xls__97_207_1164"/>
      <sheetName val="_97_207COSRP11.xls__97_207_1165"/>
      <sheetName val="_97_207COSRP11.xls__97_207_1166"/>
      <sheetName val="_97_207COSRP11.xls__97_207_1167"/>
      <sheetName val="_97_207COSRP11.xls__97_207_1175"/>
      <sheetName val="_97_207COSRP11.xls__97_207_1176"/>
      <sheetName val="_97_207COSRP11.xls__97_207_1177"/>
      <sheetName val="_97_207COSRP11.xls__97_207_1181"/>
      <sheetName val="_97_207COSRP11.xls__97_207_1182"/>
      <sheetName val="_97_207COSRP11.xls__97_207_1183"/>
      <sheetName val="_97_207COSRP11.xls_B________394"/>
      <sheetName val="_97_207COSRP11.xls_B________395"/>
      <sheetName val="_97_207COSRP11.xls__97_207_1209"/>
      <sheetName val="_97_207COSRP11.xls__97_207_1205"/>
      <sheetName val="_97_207COSRP11.xls__97_207_1206"/>
      <sheetName val="_97_207COSRP11.xls__97_207_1207"/>
      <sheetName val="_97_207COSRP11.xls__97_207_1210"/>
      <sheetName val="_97_207COSRP11.xls__97_207_1208"/>
      <sheetName val="_97_207COSRP11.xls__97_207_1199"/>
      <sheetName val="_97_207COSRP11.xls__97_207_1200"/>
      <sheetName val="_97_207COSRP11.xls__97_207_1197"/>
      <sheetName val="_97_207COSRP11.xls__97_207_1198"/>
      <sheetName val="_97_207COSRP11.xls_B________393"/>
      <sheetName val="_97_207COSRP11.xls__97_207_1201"/>
      <sheetName val="_97_207COSRP11.xls__97_207_1202"/>
      <sheetName val="_97_207COSRP11.xls__97_207_1203"/>
      <sheetName val="_97_207COSRP11.xls__97_207_1204"/>
      <sheetName val="_97_207COSRP11.xls_B________396"/>
      <sheetName val="_97_207COSRP11.xls_B________397"/>
      <sheetName val="_97_207COSRP11.xls__97_207_1215"/>
      <sheetName val="_97_207COSRP11.xls__97_207_1211"/>
      <sheetName val="_97_207COSRP11.xls__97_207_1212"/>
      <sheetName val="_97_207COSRP11.xls__97_207_1213"/>
      <sheetName val="_97_207COSRP11.xls__97_207_1216"/>
      <sheetName val="_97_207COSRP11.xls__97_207_1214"/>
      <sheetName val="_97_207COSRP11.xls__97_207_1218"/>
      <sheetName val="_97_207COSRP11.xls__97_207_1217"/>
      <sheetName val="_97_207COSRP11.xls__97_207_1219"/>
      <sheetName val="_97_207COSRP11.xls_B________398"/>
      <sheetName val="_97_207COSRP11.xls_B________399"/>
      <sheetName val="_97_207COSRP11.xls__97_207_1233"/>
      <sheetName val="_97_207COSRP11.xls__97_207_1234"/>
      <sheetName val="_97_207COSRP11.xls__97_207_1220"/>
      <sheetName val="_97_207COSRP11.xls__97_207_1225"/>
      <sheetName val="_97_207COSRP11.xls__97_207_1226"/>
      <sheetName val="_97_207COSRP11.xls_B________400"/>
      <sheetName val="_97_207COSRP11.xls_B________401"/>
      <sheetName val="_97_207COSRP11.xls__97_207_1229"/>
      <sheetName val="_97_207COSRP11.xls__97_207_1227"/>
      <sheetName val="_97_207COSRP11.xls__97_207_1228"/>
      <sheetName val="_97_207COSRP11.xls__97_207_1230"/>
      <sheetName val="_97_207COSRP11.xls__97_207_1223"/>
      <sheetName val="_97_207COSRP11.xls__97_207_1224"/>
      <sheetName val="_97_207COSRP11.xls__97_207_1221"/>
      <sheetName val="_97_207COSRP11.xls__97_207_1222"/>
      <sheetName val="_97_207COSRP11.xls__97_207_1231"/>
      <sheetName val="_97_207COSRP11.xls__97_207_1232"/>
      <sheetName val="_97_207COSRP11.xls__97_207_1235"/>
      <sheetName val="_97_207COSRP11.xls_B________402"/>
      <sheetName val="_97_207COSRP11.xls_B________403"/>
      <sheetName val="_97_207COSRP11.xls__97_207_1236"/>
      <sheetName val="_97_207COSRP11.xls_B________406"/>
      <sheetName val="_97_207COSRP11.xls_B________407"/>
      <sheetName val="_97_207COSRP11.xls__97_207_1241"/>
      <sheetName val="_97_207COSRP11.xls__97_207_1238"/>
      <sheetName val="_97_207COSRP11.xls__97_207_1240"/>
      <sheetName val="_97_207COSRP11.xls__97_207_1242"/>
      <sheetName val="_97_207COSRP11.xls_B________408"/>
      <sheetName val="_97_207COSRP11.xls_B________409"/>
      <sheetName val="_97_207COSRP11.xls__97_207_1243"/>
      <sheetName val="_97_207COSRP11.xls__97_207_1244"/>
      <sheetName val="_97_207COSRP11.xls_B________410"/>
      <sheetName val="_97_207COSRP11.xls_B________411"/>
      <sheetName val="_97_207COSRP11.xls__97_207_1245"/>
      <sheetName val="_97_207COSRP11.xls__97_207_1246"/>
      <sheetName val="_97_207COSRP11.xls__97_207_1247"/>
      <sheetName val="_97_207COSRP11.xls__97_207_1248"/>
      <sheetName val="_97_207COSRP11.xls_B________580"/>
      <sheetName val="_97_207COSRP11.xls_B________581"/>
      <sheetName val="_97_207COSRP11.xls__97_207_1745"/>
      <sheetName val="_97_207COSRP11.xls__97_207_1746"/>
      <sheetName val="_97_207COSRP11.xls__97_207_1747"/>
      <sheetName val="_97_207COSRP11.xls_B________414"/>
      <sheetName val="_97_207COSRP11.xls_B________415"/>
      <sheetName val="_97_207COSRP11.xls__97_207_1690"/>
      <sheetName val="_97_207COSRP11.xls_B________546"/>
      <sheetName val="_97_207COSRP11.xls_B________547"/>
      <sheetName val="_97_207COSRP11.xls__97_207_1705"/>
      <sheetName val="_97_207COSRP11.xls__97_207_1686"/>
      <sheetName val="_97_207COSRP11.xls_B________538"/>
      <sheetName val="_97_207COSRP11.xls_B________539"/>
      <sheetName val="_97_207COSRP11.xls__97_207_1275"/>
      <sheetName val="_97_207COSRP11.xls__97_207_1276"/>
      <sheetName val="_97_207COSRP11.xls__97_207_1277"/>
      <sheetName val="_97_207COSRP11.xls__97_207_1282"/>
      <sheetName val="_97_207COSRP11.xls__97_207_1278"/>
      <sheetName val="_97_207COSRP11.xls__97_207_1279"/>
      <sheetName val="_97_207COSRP11.xls__97_207_1283"/>
      <sheetName val="_97_207COSRP11.xls__97_207_1280"/>
      <sheetName val="_97_207COSRP11.xls__97_207_1281"/>
      <sheetName val="_97_207COSRP11.xls__97_207_1284"/>
      <sheetName val="_97_207COSRP11.xls__97_207_1265"/>
      <sheetName val="_97_207COSRP11.xls__97_207_1266"/>
      <sheetName val="_97_207COSRP11.xls__97_207_1267"/>
      <sheetName val="_97_207COSRP11.xls__97_207_1272"/>
      <sheetName val="_97_207COSRP11.xls__97_207_1268"/>
      <sheetName val="_97_207COSRP11.xls__97_207_1269"/>
      <sheetName val="_97_207COSRP11.xls__97_207_1273"/>
      <sheetName val="_97_207COSRP11.xls__97_207_1270"/>
      <sheetName val="_97_207COSRP11.xls__97_207_1271"/>
      <sheetName val="_97_207COSRP11.xls__97_207_1274"/>
      <sheetName val="_97_207COSRP11.xls__97_207_1253"/>
      <sheetName val="_97_207COSRP11.xls__97_207_1254"/>
      <sheetName val="_97_207COSRP11.xls__97_207_1255"/>
      <sheetName val="_97_207COSRP11.xls__97_207_1256"/>
      <sheetName val="_97_207COSRP11.xls__97_207_1257"/>
      <sheetName val="_97_207COSRP11.xls__97_207_1258"/>
      <sheetName val="_97_207COSRP11.xls__97_207_1259"/>
      <sheetName val="_97_207COSRP11.xls__97_207_1260"/>
      <sheetName val="_97_207COSRP11.xls__97_207_1261"/>
      <sheetName val="_97_207COSRP11.xls__97_207_1262"/>
      <sheetName val="_97_207COSRP11.xls__97_207_1263"/>
      <sheetName val="_97_207COSRP11.xls__97_207_1264"/>
      <sheetName val="_97_207COSRP11.xls__97_207_1292"/>
      <sheetName val="_97_207COSRP11.xls__97_207_1285"/>
      <sheetName val="_97_207COSRP11.xls__97_207_1286"/>
      <sheetName val="_97_207COSRP11.xls__97_207_1293"/>
      <sheetName val="_97_207COSRP11.xls__97_207_1287"/>
      <sheetName val="_97_207COSRP11.xls__97_207_1288"/>
      <sheetName val="_97_207COSRP11.xls__97_207_1294"/>
      <sheetName val="_97_207COSRP11.xls__97_207_1289"/>
      <sheetName val="_97_207COSRP11.xls__97_207_1290"/>
      <sheetName val="_97_207COSRP11.xls__97_207_1291"/>
      <sheetName val="_97_207COSRP11.xls__97_207_1295"/>
      <sheetName val="_97_207COSRP11.xls__97_207_1296"/>
      <sheetName val="_97_207COSRP11.xls__97_207_1297"/>
      <sheetName val="_97_207COSRP11.xls__97_207_1298"/>
      <sheetName val="_97_207COSRP11.xls__97_207_1299"/>
      <sheetName val="_97_207COSRP11.xls_B________416"/>
      <sheetName val="_97_207COSRP11.xls_B________417"/>
      <sheetName val="_97_207COSRP11.xls__97_207_1305"/>
      <sheetName val="_97_207COSRP11.xls__97_207_1300"/>
      <sheetName val="_97_207COSRP11.xls__97_207_1301"/>
      <sheetName val="_97_207COSRP11.xls__97_207_1306"/>
      <sheetName val="_97_207COSRP11.xls_B________418"/>
      <sheetName val="_97_207COSRP11.xls__97_207_1302"/>
      <sheetName val="_97_207COSRP11.xls__97_207_1303"/>
      <sheetName val="_97_207COSRP11.xls__97_207_1307"/>
      <sheetName val="_97_207COSRP11.xls__97_207_1304"/>
      <sheetName val="_97_207COSRP11.xls__97_207_1308"/>
      <sheetName val="_97_207COSRP11.xls__97_207_1309"/>
      <sheetName val="_97_207COSRP11.xls__97_207_1310"/>
      <sheetName val="_97_207COSRP11.xls__97_207_1364"/>
      <sheetName val="_97_207COSRP11.xls__97_207_1365"/>
      <sheetName val="_97_207COSRP11.xls__97_207_1366"/>
      <sheetName val="_97_207COSRP11.xls__97_207_1323"/>
      <sheetName val="_97_207COSRP11.xls__97_207_1324"/>
      <sheetName val="_97_207COSRP11.xls__97_207_1325"/>
      <sheetName val="_97_207COSRP11.xls_B________428"/>
      <sheetName val="_97_207COSRP11.xls_B________429"/>
      <sheetName val="_97_207COSRP11.xls__97_207_1330"/>
      <sheetName val="_97_207COSRP11.xls__97_207_1326"/>
      <sheetName val="_97_207COSRP11.xls__97_207_1327"/>
      <sheetName val="_97_207COSRP11.xls__97_207_1331"/>
      <sheetName val="_97_207COSRP11.xls__97_207_1332"/>
      <sheetName val="_97_207COSRP11.xls_B________430"/>
      <sheetName val="_97_207COSRP11.xls__97_207_1328"/>
      <sheetName val="_97_207COSRP11.xls__97_207_1329"/>
      <sheetName val="_97_207COSRP11.xls__97_207_1316"/>
      <sheetName val="_97_207COSRP11.xls__97_207_1317"/>
      <sheetName val="_97_207COSRP11.xls__97_207_1318"/>
      <sheetName val="_97_207COSRP11.xls_B________425"/>
      <sheetName val="_97_207COSRP11.xls_B________426"/>
      <sheetName val="_97_207COSRP11.xls__97_207_1319"/>
      <sheetName val="_97_207COSRP11.xls__97_207_1320"/>
      <sheetName val="_97_207COSRP11.xls_B________427"/>
      <sheetName val="_97_207COSRP11.xls__97_207_1321"/>
      <sheetName val="_97_207COSRP11.xls__97_207_1322"/>
      <sheetName val="_97_207COSRP11.xls_B________419"/>
      <sheetName val="_97_207COSRP11.xls_B________420"/>
      <sheetName val="_97_207COSRP11.xls_B________421"/>
      <sheetName val="_97_207COSRP11.xls__97_207_1311"/>
      <sheetName val="_97_207COSRP11.xls_B________422"/>
      <sheetName val="_97_207COSRP11.xls_B________423"/>
      <sheetName val="_97_207COSRP11.xls__97_207_1312"/>
      <sheetName val="_97_207COSRP11.xls__97_207_1313"/>
      <sheetName val="_97_207COSRP11.xls_B________424"/>
      <sheetName val="_97_207COSRP11.xls__97_207_1314"/>
      <sheetName val="_97_207COSRP11.xls__97_207_1315"/>
      <sheetName val="_97_207COSRP11.xls__97_207_1333"/>
      <sheetName val="_97_207COSRP11.xls__97_207_1334"/>
      <sheetName val="_97_207COSRP11.xls__97_207_1335"/>
      <sheetName val="_97_207COSRP11.xls__97_207_1336"/>
      <sheetName val="_97_207COSRP11.xls__97_207_1337"/>
      <sheetName val="_97_207COSRP11.xls_B________431"/>
      <sheetName val="_97_207COSRP11.xls_B________432"/>
      <sheetName val="_97_207COSRP11.xls__97_207_1344"/>
      <sheetName val="_97_207COSRP11.xls__97_207_1338"/>
      <sheetName val="_97_207COSRP11.xls__97_207_1339"/>
      <sheetName val="_97_207COSRP11.xls__97_207_1345"/>
      <sheetName val="_97_207COSRP11.xls_B________433"/>
      <sheetName val="_97_207COSRP11.xls__97_207_1340"/>
      <sheetName val="_97_207COSRP11.xls__97_207_1341"/>
      <sheetName val="_97_207COSRP11.xls__97_207_1342"/>
      <sheetName val="_97_207COSRP11.xls__97_207_1343"/>
      <sheetName val="_97_207COSRP11.xls__97_207_1353"/>
      <sheetName val="_97_207COSRP11.xls__97_207_1354"/>
      <sheetName val="_97_207COSRP11.xls__97_207_1355"/>
      <sheetName val="_97_207COSRP11.xls_B________434"/>
      <sheetName val="_97_207COSRP11.xls_B________435"/>
      <sheetName val="_97_207COSRP11.xls__97_207_1350"/>
      <sheetName val="_97_207COSRP11.xls__97_207_1346"/>
      <sheetName val="_97_207COSRP11.xls__97_207_1347"/>
      <sheetName val="_97_207COSRP11.xls__97_207_1351"/>
      <sheetName val="_97_207COSRP11.xls__97_207_1352"/>
      <sheetName val="_97_207COSRP11.xls_B________436"/>
      <sheetName val="_97_207COSRP11.xls__97_207_1348"/>
      <sheetName val="_97_207COSRP11.xls__97_207_1349"/>
      <sheetName val="_97_207COSRP11.xls__97_207_1362"/>
      <sheetName val="_97_207COSRP11.xls__97_207_1363"/>
      <sheetName val="_97_207COSRP11.xls__97_207_1356"/>
      <sheetName val="_97_207COSRP11.xls__97_207_1357"/>
      <sheetName val="_97_207COSRP11.xls__97_207_1358"/>
      <sheetName val="_97_207COSRP11.xls__97_207_1359"/>
      <sheetName val="_97_207COSRP11.xls__97_207_1360"/>
      <sheetName val="_97_207COSRP11.xls__97_207_1361"/>
      <sheetName val="_97_207COSRP11.xls_B________437"/>
      <sheetName val="_97_207COSRP11.xls_B________438"/>
      <sheetName val="_97_207COSRP11.xls_B________439"/>
      <sheetName val="_97_207COSRP11.xls__97_207_1369"/>
      <sheetName val="_97_207COSRP11.xls__97_207_1370"/>
      <sheetName val="_97_207COSRP11.xls__97_207_1371"/>
      <sheetName val="_97_207COSRP11.xls_B________440"/>
      <sheetName val="_97_207COSRP11.xls_B________441"/>
      <sheetName val="_97_207COSRP11.xls__97_207_1376"/>
      <sheetName val="_97_207COSRP11.xls__97_207_1372"/>
      <sheetName val="_97_207COSRP11.xls__97_207_1373"/>
      <sheetName val="_97_207COSRP11.xls__97_207_1377"/>
      <sheetName val="_97_207COSRP11.xls_B________442"/>
      <sheetName val="_97_207COSRP11.xls__97_207_1374"/>
      <sheetName val="_97_207COSRP11.xls__97_207_1375"/>
      <sheetName val="_97_207COSRP11.xls__97_207_1378"/>
      <sheetName val="_97_207COSRP11.xls__97_207_1367"/>
      <sheetName val="_97_207COSRP11.xls__97_207_1368"/>
      <sheetName val="_97_207COSRP11.xls__97_207_1379"/>
      <sheetName val="_97_207COSRP11.xls__97_207_1380"/>
      <sheetName val="_97_207COSRP11.xls__97_207_1381"/>
      <sheetName val="_97_207COSRP11.xls_B________529"/>
      <sheetName val="_97_207COSRP11.xls_B________530"/>
      <sheetName val="_97_207COSRP11.xls__97_207_1665"/>
      <sheetName val="_97_207COSRP11.xls__97_207_1658"/>
      <sheetName val="_97_207COSRP11.xls__97_207_1659"/>
      <sheetName val="_97_207COSRP11.xls__97_207_1660"/>
      <sheetName val="_97_207COSRP11.xls__97_207_1661"/>
      <sheetName val="_97_207COSRP11.xls__97_207_1666"/>
      <sheetName val="_97_207COSRP11.xls_B________531"/>
      <sheetName val="_97_207COSRP11.xls__97_207_1662"/>
      <sheetName val="_97_207COSRP11.xls__97_207_1663"/>
      <sheetName val="_97_207COSRP11.xls__97_207_1667"/>
      <sheetName val="_97_207COSRP11.xls__97_207_1664"/>
      <sheetName val="_97_207COSRP11.xls__97_207_1624"/>
      <sheetName val="_97_207COSRP11.xls__97_207_1625"/>
      <sheetName val="_97_207COSRP11.xls__97_207_1626"/>
      <sheetName val="_97_207COSRP11.xls__97_207_1425"/>
      <sheetName val="_97_207COSRP11.xls__97_207_1426"/>
      <sheetName val="_97_207COSRP11.xls__97_207_1427"/>
      <sheetName val="_97_207COSRP11.xls_B________473"/>
      <sheetName val="_97_207COSRP11.xls_B________474"/>
      <sheetName val="_97_207COSRP11.xls__97_207_1471"/>
      <sheetName val="_97_207COSRP11.xls__97_207_1428"/>
      <sheetName val="_97_207COSRP11.xls__97_207_1429"/>
      <sheetName val="_97_207COSRP11.xls__97_207_1472"/>
      <sheetName val="_97_207COSRP11.xls__97_207_1473"/>
      <sheetName val="_97_207COSRP11.xls_B________475"/>
      <sheetName val="_97_207COSRP11.xls__97_207_1430"/>
      <sheetName val="_97_207COSRP11.xls__97_207_1431"/>
      <sheetName val="_97_207COSRP11.xls__97_207_1411"/>
      <sheetName val="_97_207COSRP11.xls__97_207_1412"/>
      <sheetName val="_97_207COSRP11.xls_B________467"/>
      <sheetName val="_97_207COSRP11.xls_B________468"/>
      <sheetName val="_97_207COSRP11.xls__97_207_1418"/>
      <sheetName val="_97_207COSRP11.xls__97_207_1413"/>
      <sheetName val="_97_207COSRP11.xls__97_207_1414"/>
      <sheetName val="_97_207COSRP11.xls__97_207_1419"/>
      <sheetName val="_97_207COSRP11.xls_B________469"/>
      <sheetName val="_97_207COSRP11.xls__97_207_1415"/>
      <sheetName val="_97_207COSRP11.xls__97_207_1416"/>
      <sheetName val="_97_207COSRP11.xls__97_207_1420"/>
      <sheetName val="_97_207COSRP11.xls__97_207_1417"/>
      <sheetName val="_97_207COSRP11.xls_B________452"/>
      <sheetName val="_97_207COSRP11.xls_B________453"/>
      <sheetName val="_97_207COSRP11.xls_B________454"/>
      <sheetName val="_97_207COSRP11.xls__97_207_1382"/>
      <sheetName val="_97_207COSRP11.xls_B________443"/>
      <sheetName val="_97_207COSRP11.xls_B________444"/>
      <sheetName val="_97_207COSRP11.xls_B________445"/>
      <sheetName val="_97_207COSRP11.xls_B________446"/>
      <sheetName val="_97_207COSRP11.xls_B________447"/>
      <sheetName val="_97_207COSRP11.xls_B________448"/>
      <sheetName val="_97_207COSRP11.xls_B________449"/>
      <sheetName val="_97_207COSRP11.xls_B________450"/>
      <sheetName val="_97_207COSRP11.xls_B________451"/>
      <sheetName val="_97_207COSRP11.xls__97_207_1383"/>
      <sheetName val="_97_207COSRP11.xls__97_207_1384"/>
      <sheetName val="_97_207COSRP11.xls__97_207_1385"/>
      <sheetName val="_97_207COSRP11.xls_B________455"/>
      <sheetName val="_97_207COSRP11.xls_B________456"/>
      <sheetName val="_97_207COSRP11.xls__97_207_1386"/>
      <sheetName val="_97_207COSRP11.xls__97_207_1387"/>
      <sheetName val="_97_207COSRP11.xls_B________457"/>
      <sheetName val="_97_207COSRP11.xls__97_207_1388"/>
      <sheetName val="_97_207COSRP11.xls__97_207_1389"/>
      <sheetName val="_97_207COSRP11.xls__97_207_1390"/>
      <sheetName val="_97_207COSRP11.xls__97_207_1391"/>
      <sheetName val="_97_207COSRP11.xls__97_207_1392"/>
      <sheetName val="_97_207COSRP11.xls_B________458"/>
      <sheetName val="_97_207COSRP11.xls_B________459"/>
      <sheetName val="_97_207COSRP11.xls__97_207_1393"/>
      <sheetName val="_97_207COSRP11.xls__97_207_1394"/>
      <sheetName val="_97_207COSRP11.xls_B________460"/>
      <sheetName val="_97_207COSRP11.xls__97_207_1395"/>
      <sheetName val="_97_207COSRP11.xls__97_207_1396"/>
      <sheetName val="_97_207COSRP11.xls__97_207_1397"/>
      <sheetName val="_97_207COSRP11.xls__97_207_1398"/>
      <sheetName val="_97_207COSRP11.xls__97_207_1399"/>
      <sheetName val="_97_207COSRP11.xls_B________461"/>
      <sheetName val="_97_207COSRP11.xls_B________462"/>
      <sheetName val="_97_207COSRP11.xls__97_207_1400"/>
      <sheetName val="_97_207COSRP11.xls__97_207_1401"/>
      <sheetName val="_97_207COSRP11.xls_B________463"/>
      <sheetName val="_97_207COSRP11.xls__97_207_1402"/>
      <sheetName val="_97_207COSRP11.xls__97_207_1403"/>
      <sheetName val="_97_207COSRP11.xls__97_207_1404"/>
      <sheetName val="_97_207COSRP11.xls__97_207_1405"/>
      <sheetName val="_97_207COSRP11.xls_B________464"/>
      <sheetName val="_97_207COSRP11.xls_B________465"/>
      <sheetName val="_97_207COSRP11.xls__97_207_1406"/>
      <sheetName val="_97_207COSRP11.xls__97_207_1407"/>
      <sheetName val="_97_207COSRP11.xls_B________466"/>
      <sheetName val="_97_207COSRP11.xls__97_207_1408"/>
      <sheetName val="_97_207COSRP11.xls__97_207_1409"/>
      <sheetName val="_97_207COSRP11.xls__97_207_1410"/>
      <sheetName val="_97_207COSRP11.xls_B________470"/>
      <sheetName val="_97_207COSRP11.xls_B________471"/>
      <sheetName val="_97_207COSRP11.xls__97_207_1421"/>
      <sheetName val="_97_207COSRP11.xls__97_207_1422"/>
      <sheetName val="_97_207COSRP11.xls_B________472"/>
      <sheetName val="_97_207COSRP11.xls__97_207_1423"/>
      <sheetName val="_97_207COSRP11.xls__97_207_1424"/>
      <sheetName val="_97_207COSRP11.xls__97_207_1432"/>
      <sheetName val="_97_207COSRP11.xls__97_207_1433"/>
      <sheetName val="_97_207COSRP11.xls__97_207_1434"/>
      <sheetName val="_97_207COSRP11.xls_B________476"/>
      <sheetName val="_97_207COSRP11.xls_B________477"/>
      <sheetName val="_97_207COSRP11.xls__97_207_1435"/>
      <sheetName val="_97_207COSRP11.xls__97_207_1436"/>
      <sheetName val="_97_207COSRP11.xls_B________478"/>
      <sheetName val="_97_207COSRP11.xls__97_207_1437"/>
      <sheetName val="_97_207COSRP11.xls__97_207_1438"/>
      <sheetName val="_97_207COSRP11.xls_B________482"/>
      <sheetName val="_97_207COSRP11.xls_B________483"/>
      <sheetName val="_97_207COSRP11.xls__97_207_1621"/>
      <sheetName val="_97_207COSRP11.xls__97_207_1474"/>
      <sheetName val="_97_207COSRP11.xls__97_207_1475"/>
      <sheetName val="_97_207COSRP11.xls__97_207_1622"/>
      <sheetName val="_97_207COSRP11.xls__97_207_1623"/>
      <sheetName val="_97_207COSRP11.xls_B________484"/>
      <sheetName val="_97_207COSRP11.xls__97_207_1476"/>
      <sheetName val="_97_207COSRP11.xls__97_207_1477"/>
      <sheetName val="_97_207COSRP11.xls__97_207_1439"/>
      <sheetName val="_97_207COSRP11.xls__97_207_1440"/>
      <sheetName val="_97_207COSRP11.xls__97_207_1441"/>
      <sheetName val="_97_207COSRP11.xls__97_207_1442"/>
      <sheetName val="_97_207COSRP11.xls__97_207_1449"/>
      <sheetName val="_97_207COSRP11.xls__97_207_1443"/>
      <sheetName val="_97_207COSRP11.xls__97_207_1444"/>
      <sheetName val="_97_207COSRP11.xls__97_207_1450"/>
      <sheetName val="_97_207COSRP11.xls__97_207_1445"/>
      <sheetName val="_97_207COSRP11.xls__97_207_1446"/>
      <sheetName val="_97_207COSRP11.xls__97_207_1447"/>
      <sheetName val="_97_207COSRP11.xls__97_207_1451"/>
      <sheetName val="_97_207COSRP11.xls__97_207_1448"/>
      <sheetName val="_97_207COSRP11.xls__97_207_1452"/>
      <sheetName val="_97_207COSRP11.xls__97_207_1453"/>
      <sheetName val="_97_207COSRP11.xls__97_207_1454"/>
      <sheetName val="_97_207COSRP11.xls__97_207_1455"/>
      <sheetName val="_97_207COSRP11.xls__97_207_1456"/>
      <sheetName val="_97_207COSRP11.xls__97_207_1457"/>
      <sheetName val="_97_207COSRP11.xls_B________479"/>
      <sheetName val="_97_207COSRP11.xls_B________480"/>
      <sheetName val="_97_207COSRP11.xls__97_207_1462"/>
      <sheetName val="_97_207COSRP11.xls__97_207_1458"/>
      <sheetName val="_97_207COSRP11.xls__97_207_1459"/>
      <sheetName val="_97_207COSRP11.xls__97_207_1463"/>
      <sheetName val="_97_207COSRP11.xls_B________481"/>
      <sheetName val="_97_207COSRP11.xls__97_207_1460"/>
      <sheetName val="_97_207COSRP11.xls__97_207_1461"/>
      <sheetName val="_97_207COSRP11.xls__97_207_1464"/>
      <sheetName val="_97_207COSRP11.xls__97_207_1465"/>
      <sheetName val="_97_207COSRP11.xls__97_207_1466"/>
      <sheetName val="_97_207COSRP11.xls__97_207_1467"/>
      <sheetName val="_97_207COSRP11.xls__97_207_1468"/>
      <sheetName val="_97_207COSRP11.xls__97_207_1469"/>
      <sheetName val="_97_207COSRP11.xls__97_207_1470"/>
      <sheetName val="_97_207COSRP11.xls__97_207_1615"/>
      <sheetName val="_97_207COSRP11.xls__97_207_1616"/>
      <sheetName val="_97_207COSRP11.xls__97_207_1617"/>
      <sheetName val="_97_207COSRP11.xls__97_207_1518"/>
      <sheetName val="_97_207COSRP11.xls_B________488"/>
      <sheetName val="_97_207COSRP11.xls_B________489"/>
      <sheetName val="_97_207COSRP11.xls__97_207_1519"/>
      <sheetName val="_97_207COSRP11.xls__97_207_1520"/>
      <sheetName val="_97_207COSRP11.xls_B________490"/>
      <sheetName val="_97_207COSRP11.xls__97_207_1521"/>
      <sheetName val="_97_207COSRP11.xls__97_207_1522"/>
      <sheetName val="_97_207COSRP11.xls__97_207_1523"/>
      <sheetName val="_97_207COSRP11.xls__97_207_1524"/>
      <sheetName val="_97_207COSRP11.xls__97_207_1490"/>
      <sheetName val="_97_207COSRP11.xls__97_207_1491"/>
      <sheetName val="_97_207COSRP11.xls__97_207_1492"/>
      <sheetName val="_97_207COSRP11.xls__97_207_1497"/>
      <sheetName val="_97_207COSRP11.xls__97_207_1493"/>
      <sheetName val="_97_207COSRP11.xls__97_207_1494"/>
      <sheetName val="_97_207COSRP11.xls__97_207_1498"/>
      <sheetName val="_97_207COSRP11.xls__97_207_1495"/>
      <sheetName val="_97_207COSRP11.xls__97_207_1496"/>
      <sheetName val="_97_207COSRP11.xls__97_207_1499"/>
      <sheetName val="_97_207COSRP11.xls__97_207_1478"/>
      <sheetName val="_97_207COSRP11.xls__97_207_1479"/>
      <sheetName val="_97_207COSRP11.xls__97_207_1480"/>
      <sheetName val="_97_207COSRP11.xls__97_207_1481"/>
      <sheetName val="_97_207COSRP11.xls__97_207_1482"/>
      <sheetName val="_97_207COSRP11.xls__97_207_1483"/>
      <sheetName val="_97_207COSRP11.xls__97_207_1484"/>
      <sheetName val="_97_207COSRP11.xls__97_207_1485"/>
      <sheetName val="_97_207COSRP11.xls__97_207_1486"/>
      <sheetName val="_97_207COSRP11.xls__97_207_1487"/>
      <sheetName val="_97_207COSRP11.xls__97_207_1488"/>
      <sheetName val="_97_207COSRP11.xls__97_207_1489"/>
      <sheetName val="_97_207COSRP11.xls__97_207_1500"/>
      <sheetName val="_97_207COSRP11.xls__97_207_1501"/>
      <sheetName val="_97_207COSRP11.xls__97_207_1502"/>
      <sheetName val="_97_207COSRP11.xls__97_207_1507"/>
      <sheetName val="_97_207COSRP11.xls__97_207_1503"/>
      <sheetName val="_97_207COSRP11.xls__97_207_1504"/>
      <sheetName val="_97_207COSRP11.xls__97_207_1508"/>
      <sheetName val="_97_207COSRP11.xls__97_207_1505"/>
      <sheetName val="_97_207COSRP11.xls__97_207_1506"/>
      <sheetName val="_97_207COSRP11.xls__97_207_1509"/>
      <sheetName val="_97_207COSRP11.xls_B________485"/>
      <sheetName val="_97_207COSRP11.xls_B________486"/>
      <sheetName val="_97_207COSRP11.xls__97_207_1516"/>
      <sheetName val="_97_207COSRP11.xls__97_207_1510"/>
      <sheetName val="_97_207COSRP11.xls__97_207_1511"/>
      <sheetName val="_97_207COSRP11.xls__97_207_1512"/>
      <sheetName val="_97_207COSRP11.xls__97_207_1517"/>
      <sheetName val="_97_207COSRP11.xls_B________487"/>
      <sheetName val="_97_207COSRP11.xls__97_207_1513"/>
      <sheetName val="_97_207COSRP11.xls__97_207_1514"/>
      <sheetName val="_97_207COSRP11.xls__97_207_1515"/>
      <sheetName val="_97_207COSRP11.xls__97_207_1531"/>
      <sheetName val="_97_207COSRP11.xls__97_207_1525"/>
      <sheetName val="_97_207COSRP11.xls__97_207_1532"/>
      <sheetName val="_97_207COSRP11.xls__97_207_1526"/>
      <sheetName val="_97_207COSRP11.xls__97_207_1527"/>
      <sheetName val="_97_207COSRP11.xls__97_207_1533"/>
      <sheetName val="_97_207COSRP11.xls_B________491"/>
      <sheetName val="_97_207COSRP11.xls__97_207_1534"/>
      <sheetName val="_97_207COSRP11.xls__97_207_1537"/>
      <sheetName val="_97_207COSRP11.xls_B________492"/>
      <sheetName val="_97_207COSRP11.xls__97_207_1535"/>
      <sheetName val="_97_207COSRP11.xls__97_207_1536"/>
      <sheetName val="_97_207COSRP11.xls__97_207_1538"/>
      <sheetName val="_97_207COSRP11.xls__97_207_1528"/>
      <sheetName val="_97_207COSRP11.xls__97_207_1529"/>
      <sheetName val="_97_207COSRP11.xls__97_207_1530"/>
      <sheetName val="_97_207COSRP11.xls__97_207_1539"/>
      <sheetName val="_97_207COSRP11.xls_B________493"/>
      <sheetName val="_97_207COSRP11.xls_B________494"/>
      <sheetName val="_97_207COSRP11.xls__97_207_1544"/>
      <sheetName val="_97_207COSRP11.xls__97_207_1540"/>
      <sheetName val="_97_207COSRP11.xls__97_207_1541"/>
      <sheetName val="_97_207COSRP11.xls__97_207_1545"/>
      <sheetName val="_97_207COSRP11.xls_B________495"/>
      <sheetName val="_97_207COSRP11.xls__97_207_1542"/>
      <sheetName val="_97_207COSRP11.xls__97_207_1543"/>
      <sheetName val="_97_207COSRP11.xls__97_207_1546"/>
      <sheetName val="_97_207COSRP11.xls__97_207_1554"/>
      <sheetName val="_97_207COSRP11.xls__97_207_1555"/>
      <sheetName val="_97_207COSRP11.xls__97_207_1556"/>
      <sheetName val="_97_207COSRP11.xls_B________499"/>
      <sheetName val="_97_207COSRP11.xls_B________500"/>
      <sheetName val="_97_207COSRP11.xls__97_207_1568"/>
      <sheetName val="_97_207COSRP11.xls__97_207_1557"/>
      <sheetName val="_97_207COSRP11.xls__97_207_1558"/>
      <sheetName val="_97_207COSRP11.xls__97_207_1569"/>
      <sheetName val="_97_207COSRP11.xls_B________501"/>
      <sheetName val="_97_207COSRP11.xls__97_207_1559"/>
      <sheetName val="_97_207COSRP11.xls__97_207_1560"/>
      <sheetName val="_97_207COSRP11.xls__97_207_1570"/>
      <sheetName val="_97_207COSRP11.xls__97_207_1547"/>
      <sheetName val="_97_207COSRP11.xls__97_207_1548"/>
      <sheetName val="_97_207COSRP11.xls__97_207_1549"/>
      <sheetName val="_97_207COSRP11.xls_B________496"/>
      <sheetName val="_97_207COSRP11.xls_B________497"/>
      <sheetName val="_97_207COSRP11.xls__97_207_1550"/>
      <sheetName val="_97_207COSRP11.xls__97_207_1551"/>
      <sheetName val="_97_207COSRP11.xls_B________498"/>
      <sheetName val="_97_207COSRP11.xls__97_207_1552"/>
      <sheetName val="_97_207COSRP11.xls__97_207_1553"/>
      <sheetName val="_97_207COSRP11.xls_B________505"/>
      <sheetName val="_97_207COSRP11.xls_B________506"/>
      <sheetName val="_97_207COSRP11.xls__97_207_1575"/>
      <sheetName val="_97_207COSRP11.xls__97_207_1571"/>
      <sheetName val="_97_207COSRP11.xls__97_207_1572"/>
      <sheetName val="_97_207COSRP11.xls__97_207_1576"/>
      <sheetName val="_97_207COSRP11.xls__97_207_1577"/>
      <sheetName val="_97_207COSRP11.xls_B________507"/>
      <sheetName val="_97_207COSRP11.xls__97_207_1573"/>
      <sheetName val="_97_207COSRP11.xls__97_207_1574"/>
      <sheetName val="_97_207COSRP11.xls__97_207_1561"/>
      <sheetName val="_97_207COSRP11.xls__97_207_1562"/>
      <sheetName val="_97_207COSRP11.xls__97_207_1563"/>
      <sheetName val="_97_207COSRP11.xls_B________502"/>
      <sheetName val="_97_207COSRP11.xls_B________503"/>
      <sheetName val="_97_207COSRP11.xls__97_207_1564"/>
      <sheetName val="_97_207COSRP11.xls__97_207_1565"/>
      <sheetName val="_97_207COSRP11.xls_B________504"/>
      <sheetName val="_97_207COSRP11.xls__97_207_1566"/>
      <sheetName val="_97_207COSRP11.xls__97_207_1567"/>
      <sheetName val="_97_207COSRP11.xls__97_207_1578"/>
      <sheetName val="_97_207COSRP11.xls__97_207_1579"/>
      <sheetName val="_97_207COSRP11.xls_B________508"/>
      <sheetName val="_97_207COSRP11.xls_B________509"/>
      <sheetName val="_97_207COSRP11.xls__97_207_1588"/>
      <sheetName val="_97_207COSRP11.xls__97_207_1580"/>
      <sheetName val="_97_207COSRP11.xls__97_207_1581"/>
      <sheetName val="_97_207COSRP11.xls__97_207_1589"/>
      <sheetName val="_97_207COSRP11.xls_B________510"/>
      <sheetName val="_97_207COSRP11.xls__97_207_1582"/>
      <sheetName val="_97_207COSRP11.xls__97_207_1583"/>
      <sheetName val="_97_207COSRP11.xls__97_207_1584"/>
      <sheetName val="_97_207COSRP11.xls__97_207_1590"/>
      <sheetName val="_97_207COSRP11.xls__97_207_1585"/>
      <sheetName val="_97_207COSRP11.xls__97_207_1586"/>
      <sheetName val="_97_207COSRP11.xls__97_207_1587"/>
      <sheetName val="_97_207COSRP11.xls_B________511"/>
      <sheetName val="_97_207COSRP11.xls_B________512"/>
      <sheetName val="_97_207COSRP11.xls__97_207_1592"/>
      <sheetName val="_97_207COSRP11.xls__97_207_1593"/>
      <sheetName val="_97_207COSRP11.xls_B________513"/>
      <sheetName val="_97_207COSRP11.xls__97_207_1591"/>
      <sheetName val="_97_207COSRP11.xls__97_207_1594"/>
      <sheetName val="_97_207COSRP11.xls__97_207_1598"/>
      <sheetName val="_97_207COSRP11.xls__97_207_1595"/>
      <sheetName val="_97_207COSRP11.xls__97_207_1599"/>
      <sheetName val="_97_207COSRP11.xls__97_207_1596"/>
      <sheetName val="_97_207COSRP11.xls__97_207_1597"/>
      <sheetName val="_97_207COSRP11.xls__97_207_1600"/>
      <sheetName val="_97_207COSRP11.xls_B________514"/>
      <sheetName val="_97_207COSRP11.xls_B________515"/>
      <sheetName val="_97_207COSRP11.xls__97_207_1605"/>
      <sheetName val="_97_207COSRP11.xls__97_207_1601"/>
      <sheetName val="_97_207COSRP11.xls__97_207_1602"/>
      <sheetName val="_97_207COSRP11.xls__97_207_1606"/>
      <sheetName val="_97_207COSRP11.xls_B________516"/>
      <sheetName val="_97_207COSRP11.xls__97_207_1603"/>
      <sheetName val="_97_207COSRP11.xls__97_207_1604"/>
      <sheetName val="_97_207COSRP11.xls__97_207_1607"/>
      <sheetName val="_97_207COSRP11.xls__97_207_1609"/>
      <sheetName val="_97_207COSRP11.xls__97_207_1610"/>
      <sheetName val="_97_207COSRP11.xls__97_207_1611"/>
      <sheetName val="_97_207COSRP11.xls__97_207_1608"/>
      <sheetName val="_97_207COSRP11.xls__97_207_1612"/>
      <sheetName val="_97_207COSRP11.xls__97_207_1613"/>
      <sheetName val="_97_207COSRP11.xls__97_207_1614"/>
      <sheetName val="_97_207COSRP11.xls__97_207_1618"/>
      <sheetName val="_97_207COSRP11.xls__97_207_1619"/>
      <sheetName val="_97_207COSRP11.xls__97_207_1620"/>
      <sheetName val="_97_207COSRP11.xls_B________517"/>
      <sheetName val="_97_207COSRP11.xls_B________518"/>
      <sheetName val="_97_207COSRP11.xls__97_207_1627"/>
      <sheetName val="_97_207COSRP11.xls_B________519"/>
      <sheetName val="_97_207COSRP11.xls_B________520"/>
      <sheetName val="_97_207COSRP11.xls__97_207_1635"/>
      <sheetName val="_97_207COSRP11.xls__97_207_1628"/>
      <sheetName val="_97_207COSRP11.xls__97_207_1629"/>
      <sheetName val="_97_207COSRP11.xls__97_207_1630"/>
      <sheetName val="_97_207COSRP11.xls__97_207_1631"/>
      <sheetName val="_97_207COSRP11.xls__97_207_1636"/>
      <sheetName val="_97_207COSRP11.xls_B________521"/>
      <sheetName val="_97_207COSRP11.xls__97_207_1632"/>
      <sheetName val="_97_207COSRP11.xls__97_207_1633"/>
      <sheetName val="_97_207COSRP11.xls__97_207_1637"/>
      <sheetName val="_97_207COSRP11.xls__97_207_1634"/>
      <sheetName val="_97_207COSRP11.xls__97_207_1638"/>
      <sheetName val="_97_207COSRP11.xls__97_207_1639"/>
      <sheetName val="_97_207COSRP11.xls__97_207_1640"/>
      <sheetName val="_97_207COSRP11.xls_B________522"/>
      <sheetName val="_97_207COSRP11.xls__97_207_1651"/>
      <sheetName val="_97_207COSRP11.xls__97_207_1652"/>
      <sheetName val="_97_207COSRP11.xls__97_207_1653"/>
      <sheetName val="_97_207COSRP11.xls_B________526"/>
      <sheetName val="_97_207COSRP11.xls_B________527"/>
      <sheetName val="_97_207COSRP11.xls__97_207_1654"/>
      <sheetName val="_97_207COSRP11.xls__97_207_1655"/>
      <sheetName val="_97_207COSRP11.xls_B________528"/>
      <sheetName val="_97_207COSRP11.xls__97_207_1656"/>
      <sheetName val="_97_207COSRP11.xls__97_207_1657"/>
      <sheetName val="_97_207COSRP11.xls_B________523"/>
      <sheetName val="_97_207COSRP11.xls_B________524"/>
      <sheetName val="_97_207COSRP11.xls__97_207_1648"/>
      <sheetName val="_97_207COSRP11.xls__97_207_1641"/>
      <sheetName val="_97_207COSRP11.xls__97_207_1642"/>
      <sheetName val="_97_207COSRP11.xls__97_207_1643"/>
      <sheetName val="_97_207COSRP11.xls__97_207_1644"/>
      <sheetName val="_97_207COSRP11.xls__97_207_1649"/>
      <sheetName val="_97_207COSRP11.xls_B________525"/>
      <sheetName val="_97_207COSRP11.xls__97_207_1645"/>
      <sheetName val="_97_207COSRP11.xls__97_207_1646"/>
      <sheetName val="_97_207COSRP11.xls__97_207_1650"/>
      <sheetName val="_97_207COSRP11.xls__97_207_1647"/>
      <sheetName val="_97_207COSRP11.xls__97_207_1668"/>
      <sheetName val="_97_207COSRP11.xls__97_207_1669"/>
      <sheetName val="_97_207COSRP11.xls__97_207_1670"/>
      <sheetName val="_97_207COSRP11.xls_B________532"/>
      <sheetName val="_97_207COSRP11.xls_B________533"/>
      <sheetName val="_97_207COSRP11.xls__97_207_1675"/>
      <sheetName val="_97_207COSRP11.xls__97_207_1671"/>
      <sheetName val="_97_207COSRP11.xls__97_207_1672"/>
      <sheetName val="_97_207COSRP11.xls__97_207_1673"/>
      <sheetName val="_97_207COSRP11.xls__97_207_1676"/>
      <sheetName val="_97_207COSRP11.xls__97_207_1674"/>
      <sheetName val="_97_207COSRP11.xls_B________534"/>
      <sheetName val="_97_207COSRP11.xls_B________535"/>
      <sheetName val="_97_207COSRP11.xls__97_207_1681"/>
      <sheetName val="_97_207COSRP11.xls__97_207_1677"/>
      <sheetName val="_97_207COSRP11.xls__97_207_1678"/>
      <sheetName val="_97_207COSRP11.xls__97_207_1682"/>
      <sheetName val="_97_207COSRP11.xls__97_207_1679"/>
      <sheetName val="_97_207COSRP11.xls__97_207_1680"/>
      <sheetName val="_97_207COSRP11.xls__97_207_1683"/>
      <sheetName val="_97_207COSRP11.xls__97_207_1684"/>
      <sheetName val="_97_207COSRP11.xls__97_207_1685"/>
      <sheetName val="_97_207COSRP11.xls_B________536"/>
      <sheetName val="_97_207COSRP11.xls_B________537"/>
      <sheetName val="_97_207COSRP11.xls__97_207_1687"/>
      <sheetName val="_97_207COSRP11.xls_B________540"/>
      <sheetName val="_97_207COSRP11.xls_B________541"/>
      <sheetName val="_97_207COSRP11.xls__97_207_1688"/>
      <sheetName val="_97_207COSRP11.xls_B________542"/>
      <sheetName val="_97_207COSRP11.xls_B________543"/>
      <sheetName val="_97_207COSRP11.xls__97_207_1689"/>
      <sheetName val="_97_207COSRP11.xls_B________544"/>
      <sheetName val="_97_207COSRP11.xls_B________545"/>
      <sheetName val="_97_207COSRP11.xls_B________552"/>
      <sheetName val="_97_207COSRP11.xls_B________553"/>
      <sheetName val="_97_207COSRP11.xls__97_207_1691"/>
      <sheetName val="_97_207COSRP11.xls__97_207_1692"/>
      <sheetName val="_97_207COSRP11.xls_B________548"/>
      <sheetName val="_97_207COSRP11.xls_B________549"/>
      <sheetName val="_97_207COSRP11.xls__97_207_1693"/>
      <sheetName val="_97_207COSRP11.xls_B________550"/>
      <sheetName val="_97_207COSRP11.xls_B________551"/>
      <sheetName val="_97_207COSRP11.xls__97_207_1701"/>
      <sheetName val="_97_207COSRP11.xls__97_207_1697"/>
      <sheetName val="_97_207COSRP11.xls__97_207_1698"/>
      <sheetName val="_97_207COSRP11.xls__97_207_1699"/>
      <sheetName val="_97_207COSRP11.xls__97_207_1702"/>
      <sheetName val="_97_207COSRP11.xls__97_207_1700"/>
      <sheetName val="_97_207COSRP11.xls__97_207_1695"/>
      <sheetName val="_97_207COSRP11.xls__97_207_1696"/>
      <sheetName val="_97_207COSRP11.xls__97_207_1694"/>
      <sheetName val="_97_207COSRP11.xls__97_207_1703"/>
      <sheetName val="_97_207COSRP11.xls__97_207_1704"/>
      <sheetName val="_97_207COSRP11.xls__97_207_1706"/>
      <sheetName val="_97_207COSRP11.xls_B________554"/>
      <sheetName val="_97_207COSRP11.xls_B________555"/>
      <sheetName val="_97_207COSRP11.xls__97_207_1707"/>
      <sheetName val="_97_207COSRP11.xls_B________568"/>
      <sheetName val="_97_207COSRP11.xls_B________569"/>
      <sheetName val="_97_207COSRP11.xls__97_207_1730"/>
      <sheetName val="_97_207COSRP11.xls__97_207_1724"/>
      <sheetName val="_97_207COSRP11.xls__97_207_1708"/>
      <sheetName val="_97_207COSRP11.xls_B________558"/>
      <sheetName val="_97_207COSRP11.xls_B________559"/>
      <sheetName val="_97_207COSRP11.xls_B________556"/>
      <sheetName val="_97_207COSRP11.xls_B________557"/>
      <sheetName val="_97_207COSRP11.xls__97_207_1725"/>
      <sheetName val="_97_207COSRP11.xls__97_207_1726"/>
      <sheetName val="_97_207COSRP11.xls_B________560"/>
      <sheetName val="_97_207COSRP11.xls_B________561"/>
      <sheetName val="_97_207COSRP11.xls__97_207_1709"/>
      <sheetName val="_97_207COSRP11.xls__97_207_1710"/>
      <sheetName val="_97_207COSRP11.xls__97_207_1711"/>
      <sheetName val="_97_207COSRP11.xls__97_207_1731"/>
      <sheetName val="_97_207COSRP11.xls__97_207_1727"/>
      <sheetName val="_97_207COSRP11.xls_B________562"/>
      <sheetName val="_97_207COSRP11.xls_B________563"/>
      <sheetName val="_97_207COSRP11.xls__97_207_1712"/>
      <sheetName val="_97_207COSRP11.xls__97_207_1713"/>
      <sheetName val="_97_207COSRP11.xls__97_207_1714"/>
      <sheetName val="_97_207COSRP11.xls__97_207_1715"/>
      <sheetName val="_97_207COSRP11.xls_B________564"/>
      <sheetName val="_97_207COSRP11.xls_B________565"/>
      <sheetName val="_97_207COSRP11.xls__97_207_1716"/>
      <sheetName val="_97_207COSRP11.xls__97_207_1717"/>
      <sheetName val="_97_207COSRP11.xls__97_207_1718"/>
      <sheetName val="_97_207COSRP11.xls__97_207_1719"/>
      <sheetName val="_97_207COSRP11.xls_B________566"/>
      <sheetName val="_97_207COSRP11.xls_B________567"/>
      <sheetName val="_97_207COSRP11.xls__97_207_1720"/>
      <sheetName val="_97_207COSRP11.xls__97_207_1721"/>
      <sheetName val="_97_207COSRP11.xls__97_207_1722"/>
      <sheetName val="_97_207COSRP11.xls__97_207_1723"/>
      <sheetName val="_97_207COSRP11.xls_B________572"/>
      <sheetName val="_97_207COSRP11.xls_B________573"/>
      <sheetName val="_97_207COSRP11.xls__97_207_1736"/>
      <sheetName val="_97_207COSRP11.xls__97_207_1728"/>
      <sheetName val="_97_207COSRP11.xls__97_207_1729"/>
      <sheetName val="_97_207COSRP11.xls_B________570"/>
      <sheetName val="_97_207COSRP11.xls_B________571"/>
      <sheetName val="_97_207COSRP11.xls__97_207_1737"/>
      <sheetName val="_97_207COSRP11.xls__97_207_1732"/>
      <sheetName val="_97_207COSRP11.xls__97_207_1733"/>
      <sheetName val="_97_207COSRP11.xls__97_207_1734"/>
      <sheetName val="_97_207COSRP11.xls__97_207_1735"/>
      <sheetName val="_97_207COSRP11.xls_B________574"/>
      <sheetName val="_97_207COSRP11.xls_B________575"/>
      <sheetName val="_97_207COSRP11.xls__97_207_1740"/>
      <sheetName val="_97_207COSRP11.xls__97_207_1738"/>
      <sheetName val="_97_207COSRP11.xls_B________578"/>
      <sheetName val="_97_207COSRP11.xls_B________579"/>
      <sheetName val="_97_207COSRP11.xls__97_207_1743"/>
      <sheetName val="_97_207COSRP11.xls__97_207_1741"/>
      <sheetName val="_97_207COSRP11.xls__97_207_1742"/>
      <sheetName val="_97_207COSRP11.xls__97_207_1739"/>
      <sheetName val="_97_207COSRP11.xls_B________576"/>
      <sheetName val="_97_207COSRP11.xls_B________577"/>
      <sheetName val="_97_207COSRP11.xls__97_207_1750"/>
      <sheetName val="_97_207COSRP11.xls_B________582"/>
      <sheetName val="_97_207COSRP11.xls_B________583"/>
      <sheetName val="_97_207COSRP11.xls__97_207_1749"/>
      <sheetName val="_97_207COSRP11.xls_B________584"/>
      <sheetName val="_97_207COSRP11.xls__97_207_1751"/>
      <sheetName val="_97_207COSRP11.xls_B________585"/>
      <sheetName val="_97_207COSRP11.xls__97_207_1752"/>
      <sheetName val="_97_207COSRP11.xls_B________586"/>
      <sheetName val="_97_207COSRP11.xls__97_207_1753"/>
      <sheetName val="_97_207COSRP11.xls_B________587"/>
      <sheetName val="_97_207COSRP11.xls__97_207_1754"/>
      <sheetName val="_97_207COSRP11.xls__97_207_1755"/>
      <sheetName val="_97_207COSRP11.xls_B________588"/>
      <sheetName val="_97_207COSRP11.xls_B________589"/>
      <sheetName val="_97_207COSRP11.xls__97_207_1756"/>
      <sheetName val="_97_207COSRP11.xls_B________590"/>
      <sheetName val="_97_207COSRP11.xls_B________591"/>
      <sheetName val="_97_207COSRP11.xls__97_207_1758"/>
      <sheetName val="_97_207COSRP11.xls__97_207_1757"/>
      <sheetName val="_97_207COSRP11.xls_B________592"/>
      <sheetName val="_97_207COSRP11.xls_B________593"/>
      <sheetName val="_97_207COSRP11.xls__97_207_1759"/>
      <sheetName val="_97_207COSRP11.xls__97_207_1760"/>
      <sheetName val="_97_207COSRP11.xls__97_207_1765"/>
      <sheetName val="_97_207COSRP11.xls_B________594"/>
      <sheetName val="_97_207COSRP11.xls_B________595"/>
      <sheetName val="_97_207COSRP11.xls__97_207_1761"/>
      <sheetName val="_97_207COSRP11.xls_B________596"/>
      <sheetName val="_97_207COSRP11.xls_B________597"/>
      <sheetName val="_97_207COSRP11.xls__97_207_1762"/>
      <sheetName val="_97_207COSRP11.xls_B________598"/>
      <sheetName val="_97_207COSRP11.xls_B________599"/>
      <sheetName val="_97_207COSRP11.xls__97_207_1763"/>
      <sheetName val="_97_207COSRP11.xls__97_207_1764"/>
      <sheetName val="_97_207COSRP11.xls_B________600"/>
      <sheetName val="_97_207COSRP11.xls_B________601"/>
      <sheetName val="_97_207COSRP11.xls__97_207_1766"/>
      <sheetName val="_97_207COSRP11.xls__97_207_1767"/>
      <sheetName val="_97_207COSRP11.xls_B________602"/>
      <sheetName val="_97_207COSRP11.xls_B________603"/>
      <sheetName val="_97_207COSRP11.xls__97_207_1769"/>
      <sheetName val="_97_207COSRP11.xls__97_207_1768"/>
      <sheetName val="_97_207COSRP11.xls_B________604"/>
      <sheetName val="_97_207COSRP11.xls_B________605"/>
      <sheetName val="_97_207COSRP11.xls__97_207_1770"/>
      <sheetName val="_97_207COSRP11.xls__97_207_1771"/>
      <sheetName val="_97_207COSRP11.xls_B________606"/>
      <sheetName val="_97_207COSRP11.xls_B________607"/>
      <sheetName val="_97_207COSRP11.xls__97_207_2499"/>
      <sheetName val="_97_207COSRP11.xls__97_207_1772"/>
      <sheetName val="_97_207COSRP11.xls__97_207_1773"/>
      <sheetName val="_97_207COSRP11.xls__97_207_1774"/>
      <sheetName val="_97_207COSRP11.xls_B________831"/>
      <sheetName val="_97_207COSRP11.xls_B________832"/>
      <sheetName val="_97_207COSRP11.xls__97_207_2502"/>
      <sheetName val="_97_207COSRP11.xls__97_207_2500"/>
      <sheetName val="_97_207COSRP11.xls__97_207_2501"/>
      <sheetName val="_97_207COSRP11.xls_B________792"/>
      <sheetName val="_97_207COSRP11.xls_B________793"/>
      <sheetName val="_97_207COSRP11.xls__97_207_2376"/>
      <sheetName val="_97_207COSRP11.xls__97_207_2369"/>
      <sheetName val="_97_207COSRP11.xls__97_207_2370"/>
      <sheetName val="_97_207COSRP11.xls__97_207_2371"/>
      <sheetName val="_97_207COSRP11.xls__97_207_2377"/>
      <sheetName val="_97_207COSRP11.xls__97_207_2372"/>
      <sheetName val="_97_207COSRP11.xls__97_207_2373"/>
      <sheetName val="_97_207COSRP11.xls__97_207_2378"/>
      <sheetName val="_97_207COSRP11.xls_B________794"/>
      <sheetName val="_97_207COSRP11.xls__97_207_2374"/>
      <sheetName val="_97_207COSRP11.xls__97_207_2375"/>
      <sheetName val="_97_207COSRP11.xls__97_207_1848"/>
      <sheetName val="_97_207COSRP11.xls__97_207_1849"/>
      <sheetName val="_97_207COSRP11.xls__97_207_1850"/>
      <sheetName val="_97_207COSRP11.xls__97_207_1806"/>
      <sheetName val="_97_207COSRP11.xls__97_207_1799"/>
      <sheetName val="_97_207COSRP11.xls__97_207_1800"/>
      <sheetName val="_97_207COSRP11.xls__97_207_1801"/>
      <sheetName val="_97_207COSRP11.xls__97_207_1802"/>
      <sheetName val="_97_207COSRP11.xls__97_207_1803"/>
      <sheetName val="_97_207COSRP11.xls__97_207_1807"/>
      <sheetName val="_97_207COSRP11.xls__97_207_1804"/>
      <sheetName val="_97_207COSRP11.xls__97_207_1805"/>
      <sheetName val="_97_207COSRP11.xls__97_207_1808"/>
      <sheetName val="_97_207COSRP11.xls__97_207_1776"/>
      <sheetName val="_97_207COSRP11.xls__97_207_1777"/>
      <sheetName val="_97_207COSRP11.xls__97_207_1775"/>
      <sheetName val="_97_207COSRP11.xls__97_207_1778"/>
      <sheetName val="_97_207COSRP11.xls__97_207_1779"/>
      <sheetName val="_97_207COSRP11.xls__97_207_1780"/>
      <sheetName val="_97_207COSRP11.xls__97_207_1781"/>
      <sheetName val="_97_207COSRP11.xls__97_207_1786"/>
      <sheetName val="_97_207COSRP11.xls__97_207_1782"/>
      <sheetName val="_97_207COSRP11.xls__97_207_1783"/>
      <sheetName val="_97_207COSRP11.xls__97_207_1787"/>
      <sheetName val="_97_207COSRP11.xls__97_207_1784"/>
      <sheetName val="_97_207COSRP11.xls__97_207_1785"/>
      <sheetName val="_97_207COSRP11.xls__97_207_1788"/>
      <sheetName val="_97_207COSRP11.xls__97_207_1796"/>
      <sheetName val="_97_207COSRP11.xls__97_207_1789"/>
      <sheetName val="_97_207COSRP11.xls__97_207_1790"/>
      <sheetName val="_97_207COSRP11.xls__97_207_1797"/>
      <sheetName val="_97_207COSRP11.xls__97_207_1791"/>
      <sheetName val="_97_207COSRP11.xls__97_207_1792"/>
      <sheetName val="_97_207COSRP11.xls__97_207_1798"/>
      <sheetName val="_97_207COSRP11.xls__97_207_1793"/>
      <sheetName val="_97_207COSRP11.xls__97_207_1794"/>
      <sheetName val="_97_207COSRP11.xls__97_207_1795"/>
      <sheetName val="_97_207COSRP11.xls__97_207_1828"/>
      <sheetName val="_97_207COSRP11.xls__97_207_1829"/>
      <sheetName val="_97_207COSRP11.xls__97_207_1830"/>
      <sheetName val="_97_207COSRP11.xls_B________617"/>
      <sheetName val="_97_207COSRP11.xls_B________618"/>
      <sheetName val="_97_207COSRP11.xls__97_207_1835"/>
      <sheetName val="_97_207COSRP11.xls__97_207_1831"/>
      <sheetName val="_97_207COSRP11.xls__97_207_1832"/>
      <sheetName val="_97_207COSRP11.xls__97_207_1836"/>
      <sheetName val="_97_207COSRP11.xls_B________619"/>
      <sheetName val="_97_207COSRP11.xls__97_207_1833"/>
      <sheetName val="_97_207COSRP11.xls__97_207_1834"/>
      <sheetName val="_97_207COSRP11.xls__97_207_1837"/>
      <sheetName val="_97_207COSRP11.xls__97_207_1821"/>
      <sheetName val="_97_207COSRP11.xls__97_207_1822"/>
      <sheetName val="_97_207COSRP11.xls__97_207_1823"/>
      <sheetName val="_97_207COSRP11.xls_B________614"/>
      <sheetName val="_97_207COSRP11.xls_B________615"/>
      <sheetName val="_97_207COSRP11.xls__97_207_1824"/>
      <sheetName val="_97_207COSRP11.xls__97_207_1825"/>
      <sheetName val="_97_207COSRP11.xls_B________616"/>
      <sheetName val="_97_207COSRP11.xls__97_207_1826"/>
      <sheetName val="_97_207COSRP11.xls__97_207_1827"/>
      <sheetName val="_97_207COSRP11.xls__97_207_1809"/>
      <sheetName val="_97_207COSRP11.xls_B________608"/>
      <sheetName val="_97_207COSRP11.xls_B________609"/>
      <sheetName val="_97_207COSRP11.xls__97_207_1810"/>
      <sheetName val="_97_207COSRP11.xls__97_207_1811"/>
      <sheetName val="_97_207COSRP11.xls_B________610"/>
      <sheetName val="_97_207COSRP11.xls__97_207_1812"/>
      <sheetName val="_97_207COSRP11.xls__97_207_1813"/>
      <sheetName val="_97_207COSRP11.xls__97_207_1814"/>
      <sheetName val="_97_207COSRP11.xls__97_207_1815"/>
      <sheetName val="_97_207COSRP11.xls__97_207_1816"/>
      <sheetName val="_97_207COSRP11.xls_B________611"/>
      <sheetName val="_97_207COSRP11.xls_B________612"/>
      <sheetName val="_97_207COSRP11.xls__97_207_1817"/>
      <sheetName val="_97_207COSRP11.xls__97_207_1818"/>
      <sheetName val="_97_207COSRP11.xls_B________613"/>
      <sheetName val="_97_207COSRP11.xls__97_207_1819"/>
      <sheetName val="_97_207COSRP11.xls__97_207_1820"/>
      <sheetName val="_97_207COSRP11.xls__97_207_1838"/>
      <sheetName val="_97_207COSRP11.xls__97_207_1839"/>
      <sheetName val="_97_207COSRP11.xls__97_207_1840"/>
      <sheetName val="_97_207COSRP11.xls_B________620"/>
      <sheetName val="_97_207COSRP11.xls_B________621"/>
      <sheetName val="_97_207COSRP11.xls__97_207_1841"/>
      <sheetName val="_97_207COSRP11.xls__97_207_1842"/>
      <sheetName val="_97_207COSRP11.xls_B________622"/>
      <sheetName val="_97_207COSRP11.xls__97_207_1843"/>
      <sheetName val="_97_207COSRP11.xls__97_207_1844"/>
      <sheetName val="_97_207COSRP11.xls__97_207_1845"/>
      <sheetName val="_97_207COSRP11.xls__97_207_1846"/>
      <sheetName val="_97_207COSRP11.xls__97_207_1847"/>
      <sheetName val="_97_207COSRP11.xls_B________623"/>
      <sheetName val="_97_207COSRP11.xls_B________624"/>
      <sheetName val="_97_207COSRP11.xls__97_207_1855"/>
      <sheetName val="_97_207COSRP11.xls__97_207_1851"/>
      <sheetName val="_97_207COSRP11.xls__97_207_1852"/>
      <sheetName val="_97_207COSRP11.xls__97_207_1856"/>
      <sheetName val="_97_207COSRP11.xls_B________625"/>
      <sheetName val="_97_207COSRP11.xls__97_207_1853"/>
      <sheetName val="_97_207COSRP11.xls__97_207_1854"/>
      <sheetName val="_97_207COSRP11.xls__97_207_1857"/>
      <sheetName val="_97_207COSRP11.xls_B________626"/>
      <sheetName val="_97_207COSRP11.xls_B________627"/>
      <sheetName val="_97_207COSRP11.xls__97_207_1956"/>
      <sheetName val="_97_207COSRP11.xls__97_207_1858"/>
      <sheetName val="_97_207COSRP11.xls__97_207_1859"/>
      <sheetName val="_97_207COSRP11.xls__97_207_1860"/>
      <sheetName val="_97_207COSRP11.xls__97_207_1957"/>
      <sheetName val="_97_207COSRP11.xls__97_207_1861"/>
      <sheetName val="_97_207COSRP11.xls__97_207_1873"/>
      <sheetName val="_97_207COSRP11.xls__97_207_1874"/>
      <sheetName val="_97_207COSRP11.xls__97_207_1875"/>
      <sheetName val="_97_207COSRP11.xls_B________635"/>
      <sheetName val="_97_207COSRP11.xls_B________636"/>
      <sheetName val="_97_207COSRP11.xls__97_207_1880"/>
      <sheetName val="_97_207COSRP11.xls__97_207_1876"/>
      <sheetName val="_97_207COSRP11.xls__97_207_1877"/>
      <sheetName val="_97_207COSRP11.xls__97_207_1881"/>
      <sheetName val="_97_207COSRP11.xls_B________637"/>
      <sheetName val="_97_207COSRP11.xls__97_207_1878"/>
      <sheetName val="_97_207COSRP11.xls__97_207_1879"/>
      <sheetName val="_97_207COSRP11.xls__97_207_1882"/>
      <sheetName val="_97_207COSRP11.xls__97_207_1866"/>
      <sheetName val="_97_207COSRP11.xls__97_207_1867"/>
      <sheetName val="_97_207COSRP11.xls_B________628"/>
      <sheetName val="_97_207COSRP11.xls__97_207_1868"/>
      <sheetName val="_97_207COSRP11.xls_B________632"/>
      <sheetName val="_97_207COSRP11.xls_B________633"/>
      <sheetName val="_97_207COSRP11.xls__97_207_1869"/>
      <sheetName val="_97_207COSRP11.xls__97_207_1870"/>
      <sheetName val="_97_207COSRP11.xls_B________634"/>
      <sheetName val="_97_207COSRP11.xls__97_207_1871"/>
      <sheetName val="_97_207COSRP11.xls__97_207_1872"/>
      <sheetName val="_97_207COSRP11.xls_B________629"/>
      <sheetName val="_97_207COSRP11.xls_B________630"/>
      <sheetName val="_97_207COSRP11.xls__97_207_1862"/>
      <sheetName val="_97_207COSRP11.xls__97_207_1863"/>
      <sheetName val="_97_207COSRP11.xls_B________631"/>
      <sheetName val="_97_207COSRP11.xls__97_207_1864"/>
      <sheetName val="_97_207COSRP11.xls__97_207_1865"/>
      <sheetName val="_97_207COSRP11.xls_B________638"/>
      <sheetName val="_97_207COSRP11.xls_B________639"/>
      <sheetName val="_97_207COSRP11.xls__97_207_1887"/>
      <sheetName val="_97_207COSRP11.xls__97_207_1883"/>
      <sheetName val="_97_207COSRP11.xls__97_207_1884"/>
      <sheetName val="_97_207COSRP11.xls__97_207_1888"/>
      <sheetName val="_97_207COSRP11.xls_B________640"/>
      <sheetName val="_97_207COSRP11.xls__97_207_1885"/>
      <sheetName val="_97_207COSRP11.xls__97_207_1886"/>
      <sheetName val="_97_207COSRP11.xls__97_207_1889"/>
      <sheetName val="_97_207COSRP11.xls_B________641"/>
      <sheetName val="_97_207COSRP11.xls_B________642"/>
      <sheetName val="_97_207COSRP11.xls__97_207_1894"/>
      <sheetName val="_97_207COSRP11.xls__97_207_1890"/>
      <sheetName val="_97_207COSRP11.xls__97_207_1891"/>
      <sheetName val="_97_207COSRP11.xls__97_207_1895"/>
      <sheetName val="_97_207COSRP11.xls_B________643"/>
      <sheetName val="_97_207COSRP11.xls__97_207_1892"/>
      <sheetName val="_97_207COSRP11.xls__97_207_1893"/>
      <sheetName val="_97_207COSRP11.xls__97_207_1896"/>
      <sheetName val="_97_207COSRP11.xls_B________644"/>
      <sheetName val="_97_207COSRP11.xls_B________645"/>
      <sheetName val="_97_207COSRP11.xls__97_207_1901"/>
      <sheetName val="_97_207COSRP11.xls__97_207_1897"/>
      <sheetName val="_97_207COSRP11.xls__97_207_1898"/>
      <sheetName val="_97_207COSRP11.xls__97_207_1902"/>
      <sheetName val="_97_207COSRP11.xls_B________646"/>
      <sheetName val="_97_207COSRP11.xls__97_207_1899"/>
      <sheetName val="_97_207COSRP11.xls__97_207_1900"/>
      <sheetName val="_97_207COSRP11.xls__97_207_1903"/>
      <sheetName val="_97_207COSRP11.xls__97_207_1904"/>
      <sheetName val="_97_207COSRP11.xls__97_207_1905"/>
      <sheetName val="_97_207COSRP11.xls__97_207_1906"/>
      <sheetName val="_97_207COSRP11.xls_B________647"/>
      <sheetName val="_97_207COSRP11.xls_B________648"/>
      <sheetName val="_97_207COSRP11.xls__97_207_1911"/>
      <sheetName val="_97_207COSRP11.xls__97_207_1907"/>
      <sheetName val="_97_207COSRP11.xls__97_207_1908"/>
      <sheetName val="_97_207COSRP11.xls__97_207_1912"/>
      <sheetName val="_97_207COSRP11.xls__97_207_1913"/>
      <sheetName val="_97_207COSRP11.xls_B________649"/>
      <sheetName val="_97_207COSRP11.xls__97_207_1909"/>
      <sheetName val="_97_207COSRP11.xls__97_207_1910"/>
      <sheetName val="_97_207COSRP11.xls__97_207_1914"/>
      <sheetName val="_97_207COSRP11.xls__97_207_1915"/>
      <sheetName val="_97_207COSRP11.xls__97_207_1916"/>
      <sheetName val="_97_207COSRP11.xls_B________650"/>
      <sheetName val="_97_207COSRP11.xls_B________651"/>
      <sheetName val="_97_207COSRP11.xls__97_207_1921"/>
      <sheetName val="_97_207COSRP11.xls__97_207_1917"/>
      <sheetName val="_97_207COSRP11.xls__97_207_1922"/>
      <sheetName val="_97_207COSRP11.xls_B________652"/>
      <sheetName val="_97_207COSRP11.xls__97_207_1918"/>
      <sheetName val="_97_207COSRP11.xls__97_207_1919"/>
      <sheetName val="_97_207COSRP11.xls__97_207_1920"/>
      <sheetName val="_97_207COSRP11.xls__97_207_1923"/>
      <sheetName val="_97_207COSRP11.xls_B________653"/>
      <sheetName val="_97_207COSRP11.xls_B________654"/>
      <sheetName val="_97_207COSRP11.xls__97_207_1946"/>
      <sheetName val="_97_207COSRP11.xls__97_207_1924"/>
      <sheetName val="_97_207COSRP11.xls__97_207_1925"/>
      <sheetName val="_97_207COSRP11.xls__97_207_1947"/>
      <sheetName val="_97_207COSRP11.xls__97_207_1948"/>
      <sheetName val="_97_207COSRP11.xls_B________662"/>
      <sheetName val="_97_207COSRP11.xls_B________663"/>
      <sheetName val="_97_207COSRP11.xls__97_207_1953"/>
      <sheetName val="_97_207COSRP11.xls__97_207_1949"/>
      <sheetName val="_97_207COSRP11.xls__97_207_1954"/>
      <sheetName val="_97_207COSRP11.xls_B________664"/>
      <sheetName val="_97_207COSRP11.xls__97_207_1950"/>
      <sheetName val="_97_207COSRP11.xls__97_207_1951"/>
      <sheetName val="_97_207COSRP11.xls__97_207_1952"/>
      <sheetName val="_97_207COSRP11.xls__97_207_1955"/>
      <sheetName val="_97_207COSRP11.xls__97_207_1926"/>
      <sheetName val="_97_207COSRP11.xls__97_207_1927"/>
      <sheetName val="_97_207COSRP11.xls__97_207_1928"/>
      <sheetName val="_97_207COSRP11.xls__97_207_1929"/>
      <sheetName val="_97_207COSRP11.xls__97_207_1930"/>
      <sheetName val="_97_207COSRP11.xls__97_207_1931"/>
      <sheetName val="_97_207COSRP11.xls_B________655"/>
      <sheetName val="_97_207COSRP11.xls_B________656"/>
      <sheetName val="_97_207COSRP11.xls__97_207_1932"/>
      <sheetName val="_97_207COSRP11.xls_B________657"/>
      <sheetName val="_97_207COSRP11.xls__97_207_1933"/>
      <sheetName val="_97_207COSRP11.xls__97_207_1934"/>
      <sheetName val="_97_207COSRP11.xls__97_207_1935"/>
      <sheetName val="_97_207COSRP11.xls__97_207_1936"/>
      <sheetName val="_97_207COSRP11.xls__97_207_1937"/>
      <sheetName val="_97_207COSRP11.xls__97_207_1938"/>
      <sheetName val="_97_207COSRP11.xls_B________659"/>
      <sheetName val="_97_207COSRP11.xls_B________660"/>
      <sheetName val="_97_207COSRP11.xls__97_207_1943"/>
      <sheetName val="_97_207COSRP11.xls__97_207_1939"/>
      <sheetName val="_97_207COSRP11.xls__97_207_1944"/>
      <sheetName val="_97_207COSRP11.xls_B________661"/>
      <sheetName val="_97_207COSRP11.xls__97_207_1940"/>
      <sheetName val="_97_207COSRP11.xls__97_207_1941"/>
      <sheetName val="_97_207COSRP11.xls__97_207_1942"/>
      <sheetName val="_97_207COSRP11.xls__97_207_1945"/>
      <sheetName val="_97_207COSRP11.xls_B________658"/>
      <sheetName val="_97_207COSRP11.xls__97_207_1958"/>
      <sheetName val="_97_207COSRP11.xls__97_207_1959"/>
      <sheetName val="_97_207COSRP11.xls__97_207_1960"/>
      <sheetName val="_97_207COSRP11.xls__97_207_1961"/>
      <sheetName val="_97_207COSRP11.xls_B________665"/>
      <sheetName val="_97_207COSRP11.xls_B________666"/>
      <sheetName val="_97_207COSRP11.xls__97_207_1966"/>
      <sheetName val="_97_207COSRP11.xls__97_207_1962"/>
      <sheetName val="_97_207COSRP11.xls__97_207_1967"/>
      <sheetName val="_97_207COSRP11.xls_B________667"/>
      <sheetName val="_97_207COSRP11.xls__97_207_1963"/>
      <sheetName val="_97_207COSRP11.xls__97_207_1964"/>
      <sheetName val="_97_207COSRP11.xls__97_207_1965"/>
      <sheetName val="_97_207COSRP11.xls__97_207_1968"/>
      <sheetName val="_97_207COSRP11.xls_B________668"/>
      <sheetName val="_97_207COSRP11.xls_B________669"/>
      <sheetName val="_97_207COSRP11.xls__97_207_1975"/>
      <sheetName val="_97_207COSRP11.xls__97_207_1969"/>
      <sheetName val="_97_207COSRP11.xls__97_207_1970"/>
      <sheetName val="_97_207COSRP11.xls__97_207_1971"/>
      <sheetName val="_97_207COSRP11.xls__97_207_1976"/>
      <sheetName val="_97_207COSRP11.xls__97_207_1972"/>
      <sheetName val="_97_207COSRP11.xls__97_207_1973"/>
      <sheetName val="_97_207COSRP11.xls__97_207_1974"/>
      <sheetName val="_97_207COSRP11.xls_B________678"/>
      <sheetName val="_97_207COSRP11.xls_B________679"/>
      <sheetName val="_97_207COSRP11.xls__97_207_1998"/>
      <sheetName val="_97_207COSRP11.xls__97_207_1994"/>
      <sheetName val="_97_207COSRP11.xls__97_207_1995"/>
      <sheetName val="_97_207COSRP11.xls__97_207_1996"/>
      <sheetName val="_97_207COSRP11.xls__97_207_1997"/>
      <sheetName val="_97_207COSRP11.xls__97_207_1986"/>
      <sheetName val="_97_207COSRP11.xls_B________674"/>
      <sheetName val="_97_207COSRP11.xls_B________675"/>
      <sheetName val="_97_207COSRP11.xls__97_207_1990"/>
      <sheetName val="_97_207COSRP11.xls__97_207_1987"/>
      <sheetName val="_97_207COSRP11.xls__97_207_1988"/>
      <sheetName val="_97_207COSRP11.xls__97_207_1989"/>
      <sheetName val="_97_207COSRP11.xls__97_207_1977"/>
      <sheetName val="_97_207COSRP11.xls_B________670"/>
      <sheetName val="_97_207COSRP11.xls_B________671"/>
      <sheetName val="_97_207COSRP11.xls__97_207_1981"/>
      <sheetName val="_97_207COSRP11.xls__97_207_1978"/>
      <sheetName val="_97_207COSRP11.xls__97_207_1979"/>
      <sheetName val="_97_207COSRP11.xls__97_207_1980"/>
      <sheetName val="_97_207COSRP11.xls__97_207_1982"/>
      <sheetName val="_97_207COSRP11.xls_B________672"/>
      <sheetName val="_97_207COSRP11.xls_B________673"/>
      <sheetName val="_97_207COSRP11.xls__97_207_1983"/>
      <sheetName val="_97_207COSRP11.xls__97_207_1984"/>
      <sheetName val="_97_207COSRP11.xls__97_207_1985"/>
      <sheetName val="_97_207COSRP11.xls_B________676"/>
      <sheetName val="_97_207COSRP11.xls_B________677"/>
      <sheetName val="_97_207COSRP11.xls__97_207_1991"/>
      <sheetName val="_97_207COSRP11.xls__97_207_1992"/>
      <sheetName val="_97_207COSRP11.xls__97_207_1993"/>
      <sheetName val="_97_207COSRP11.xls__97_207_1999"/>
      <sheetName val="_97_207COSRP11.xls_B________680"/>
      <sheetName val="_97_207COSRP11.xls_B________681"/>
      <sheetName val="_97_207COSRP11.xls__97_207_2285"/>
      <sheetName val="_97_207COSRP11.xls__97_207_2000"/>
      <sheetName val="_97_207COSRP11.xls__97_207_2001"/>
      <sheetName val="_97_207COSRP11.xls__97_207_2002"/>
      <sheetName val="_97_207COSRP11.xls__97_207_2003"/>
      <sheetName val="_97_207COSRP11.xls__97_207_2015"/>
      <sheetName val="_97_207COSRP11.xls__97_207_2016"/>
      <sheetName val="_97_207COSRP11.xls__97_207_2017"/>
      <sheetName val="_97_207COSRP11.xls_B________683"/>
      <sheetName val="_97_207COSRP11.xls_B________684"/>
      <sheetName val="_97_207COSRP11.xls__97_207_2028"/>
      <sheetName val="_97_207COSRP11.xls__97_207_2018"/>
      <sheetName val="_97_207COSRP11.xls__97_207_2029"/>
      <sheetName val="_97_207COSRP11.xls_B________685"/>
      <sheetName val="_97_207COSRP11.xls__97_207_2019"/>
      <sheetName val="_97_207COSRP11.xls__97_207_2020"/>
      <sheetName val="_97_207COSRP11.xls__97_207_2021"/>
      <sheetName val="_97_207COSRP11.xls__97_207_2030"/>
      <sheetName val="_97_207COSRP11.xls__97_207_2005"/>
      <sheetName val="_97_207COSRP11.xls__97_207_2006"/>
      <sheetName val="_97_207COSRP11.xls__97_207_2004"/>
      <sheetName val="_97_207COSRP11.xls__97_207_2007"/>
      <sheetName val="_97_207COSRP11.xls__97_207_2008"/>
      <sheetName val="_97_207COSRP11.xls__97_207_2009"/>
      <sheetName val="_97_207COSRP11.xls__97_207_2010"/>
      <sheetName val="_97_207COSRP11.xls__97_207_2011"/>
      <sheetName val="_97_207COSRP11.xls_B________682"/>
      <sheetName val="_97_207COSRP11.xls__97_207_2012"/>
      <sheetName val="_97_207COSRP11.xls__97_207_2013"/>
      <sheetName val="_97_207COSRP11.xls__97_207_2014"/>
      <sheetName val="_97_207COSRP11.xls__97_207_2022"/>
      <sheetName val="_97_207COSRP11.xls__97_207_2023"/>
      <sheetName val="_97_207COSRP11.xls__97_207_2024"/>
      <sheetName val="_97_207COSRP11.xls__97_207_2025"/>
      <sheetName val="_97_207COSRP11.xls__97_207_2026"/>
      <sheetName val="_97_207COSRP11.xls__97_207_2027"/>
      <sheetName val="_97_207COSRP11.xls__97_207_2052"/>
      <sheetName val="_97_207COSRP11.xls__97_207_2053"/>
      <sheetName val="_97_207COSRP11.xls__97_207_2054"/>
      <sheetName val="_97_207COSRP11.xls_B________695"/>
      <sheetName val="_97_207COSRP11.xls_B________696"/>
      <sheetName val="_97_207COSRP11.xls__97_207_2059"/>
      <sheetName val="_97_207COSRP11.xls__97_207_2055"/>
      <sheetName val="_97_207COSRP11.xls__97_207_2060"/>
      <sheetName val="_97_207COSRP11.xls_B________697"/>
      <sheetName val="_97_207COSRP11.xls__97_207_2056"/>
      <sheetName val="_97_207COSRP11.xls__97_207_2057"/>
      <sheetName val="_97_207COSRP11.xls__97_207_2058"/>
      <sheetName val="_97_207COSRP11.xls__97_207_2061"/>
      <sheetName val="_97_207COSRP11.xls__97_207_2031"/>
      <sheetName val="_97_207COSRP11.xls__97_207_2032"/>
      <sheetName val="_97_207COSRP11.xls__97_207_2033"/>
      <sheetName val="_97_207COSRP11.xls_B________686"/>
      <sheetName val="_97_207COSRP11.xls_B________687"/>
      <sheetName val="_97_207COSRP11.xls__97_207_2034"/>
      <sheetName val="_97_207COSRP11.xls_B________688"/>
      <sheetName val="_97_207COSRP11.xls__97_207_2035"/>
      <sheetName val="_97_207COSRP11.xls__97_207_2036"/>
      <sheetName val="_97_207COSRP11.xls__97_207_2037"/>
      <sheetName val="_97_207COSRP11.xls__97_207_2038"/>
      <sheetName val="_97_207COSRP11.xls__97_207_2039"/>
      <sheetName val="_97_207COSRP11.xls__97_207_2040"/>
      <sheetName val="_97_207COSRP11.xls_B________689"/>
      <sheetName val="_97_207COSRP11.xls_B________690"/>
      <sheetName val="_97_207COSRP11.xls__97_207_2041"/>
      <sheetName val="_97_207COSRP11.xls_B________691"/>
      <sheetName val="_97_207COSRP11.xls__97_207_2042"/>
      <sheetName val="_97_207COSRP11.xls__97_207_2043"/>
      <sheetName val="_97_207COSRP11.xls__97_207_2044"/>
      <sheetName val="_97_207COSRP11.xls__97_207_2045"/>
      <sheetName val="_97_207COSRP11.xls__97_207_2046"/>
      <sheetName val="_97_207COSRP11.xls__97_207_2047"/>
      <sheetName val="_97_207COSRP11.xls_B________692"/>
      <sheetName val="_97_207COSRP11.xls_B________693"/>
      <sheetName val="_97_207COSRP11.xls__97_207_2048"/>
      <sheetName val="_97_207COSRP11.xls_B________694"/>
      <sheetName val="_97_207COSRP11.xls__97_207_2049"/>
      <sheetName val="_97_207COSRP11.xls__97_207_2050"/>
      <sheetName val="_97_207COSRP11.xls__97_207_2051"/>
      <sheetName val="_97_207COSRP11.xls__97_207_2062"/>
      <sheetName val="_97_207COSRP11.xls__97_207_2063"/>
      <sheetName val="_97_207COSRP11.xls__97_207_2064"/>
      <sheetName val="_97_207COSRP11.xls__97_207_2065"/>
      <sheetName val="_97_207COSRP11.xls__97_207_2066"/>
      <sheetName val="_97_207COSRP11.xls__97_207_2067"/>
      <sheetName val="_97_207COSRP11.xls__97_207_2068"/>
      <sheetName val="_97_207COSRP11.xls_B________698"/>
      <sheetName val="_97_207COSRP11.xls_B________699"/>
      <sheetName val="_97_207COSRP11.xls_B________700"/>
      <sheetName val="_97_207COSRP11.xls_B________701"/>
      <sheetName val="_97_207COSRP11.xls_B________702"/>
      <sheetName val="_97_207COSRP11.xls__97_207_2073"/>
      <sheetName val="_97_207COSRP11.xls__97_207_2074"/>
      <sheetName val="_97_207COSRP11.xls_B________703"/>
      <sheetName val="_97_207COSRP11.xls__97_207_2069"/>
      <sheetName val="_97_207COSRP11.xls__97_207_2075"/>
      <sheetName val="_97_207COSRP11.xls__97_207_2070"/>
      <sheetName val="_97_207COSRP11.xls__97_207_2071"/>
      <sheetName val="_97_207COSRP11.xls__97_207_2072"/>
      <sheetName val="_97_207COSRP11.xls__97_207_2115"/>
      <sheetName val="_97_207COSRP11.xls__97_207_2116"/>
      <sheetName val="_97_207COSRP11.xls__97_207_2117"/>
      <sheetName val="_97_207COSRP11.xls_B________716"/>
      <sheetName val="_97_207COSRP11.xls_B________717"/>
      <sheetName val="_97_207COSRP11.xls__97_207_2122"/>
      <sheetName val="_97_207COSRP11.xls__97_207_2118"/>
      <sheetName val="_97_207COSRP11.xls__97_207_2123"/>
      <sheetName val="_97_207COSRP11.xls_B________718"/>
      <sheetName val="_97_207COSRP11.xls__97_207_2119"/>
      <sheetName val="_97_207COSRP11.xls__97_207_2120"/>
      <sheetName val="_97_207COSRP11.xls__97_207_2121"/>
      <sheetName val="_97_207COSRP11.xls__97_207_2124"/>
      <sheetName val="_97_207COSRP11.xls__97_207_2082"/>
      <sheetName val="_97_207COSRP11.xls__97_207_2083"/>
      <sheetName val="_97_207COSRP11.xls__97_207_2084"/>
      <sheetName val="_97_207COSRP11.xls_B________704"/>
      <sheetName val="_97_207COSRP11.xls_B________705"/>
      <sheetName val="_97_207COSRP11.xls__97_207_2105"/>
      <sheetName val="_97_207COSRP11.xls__97_207_2085"/>
      <sheetName val="_97_207COSRP11.xls__97_207_2106"/>
      <sheetName val="_97_207COSRP11.xls_B________706"/>
      <sheetName val="_97_207COSRP11.xls__97_207_2086"/>
      <sheetName val="_97_207COSRP11.xls__97_207_2087"/>
      <sheetName val="_97_207COSRP11.xls__97_207_2088"/>
      <sheetName val="_97_207COSRP11.xls__97_207_2107"/>
      <sheetName val="_97_207COSRP11.xls__97_207_2076"/>
      <sheetName val="_97_207COSRP11.xls__97_207_2077"/>
      <sheetName val="_97_207COSRP11.xls__97_207_2078"/>
      <sheetName val="_97_207COSRP11.xls__97_207_2079"/>
      <sheetName val="_97_207COSRP11.xls__97_207_2080"/>
      <sheetName val="_97_207COSRP11.xls__97_207_2081"/>
      <sheetName val="_97_207COSRP11.xls_B________713"/>
      <sheetName val="_97_207COSRP11.xls_B________714"/>
      <sheetName val="_97_207COSRP11.xls__97_207_2112"/>
      <sheetName val="_97_207COSRP11.xls__97_207_2108"/>
      <sheetName val="_97_207COSRP11.xls__97_207_2113"/>
      <sheetName val="_97_207COSRP11.xls_B________715"/>
      <sheetName val="_97_207COSRP11.xls__97_207_2109"/>
      <sheetName val="_97_207COSRP11.xls__97_207_2110"/>
      <sheetName val="_97_207COSRP11.xls__97_207_2111"/>
      <sheetName val="_97_207COSRP11.xls__97_207_2114"/>
      <sheetName val="_97_207COSRP11.xls__97_207_2089"/>
      <sheetName val="_97_207COSRP11.xls__97_207_2090"/>
      <sheetName val="_97_207COSRP11.xls__97_207_2091"/>
      <sheetName val="_97_207COSRP11.xls_B________707"/>
      <sheetName val="_97_207COSRP11.xls_B________708"/>
      <sheetName val="_97_207COSRP11.xls__97_207_2092"/>
      <sheetName val="_97_207COSRP11.xls_B________709"/>
      <sheetName val="_97_207COSRP11.xls__97_207_2093"/>
      <sheetName val="_97_207COSRP11.xls__97_207_2094"/>
      <sheetName val="_97_207COSRP11.xls__97_207_2095"/>
      <sheetName val="_97_207COSRP11.xls__97_207_2096"/>
      <sheetName val="_97_207COSRP11.xls__97_207_2097"/>
      <sheetName val="_97_207COSRP11.xls__97_207_2098"/>
      <sheetName val="_97_207COSRP11.xls__97_207_2099"/>
      <sheetName val="_97_207COSRP11.xls__97_207_2100"/>
      <sheetName val="_97_207COSRP11.xls_B________710"/>
      <sheetName val="_97_207COSRP11.xls_B________711"/>
      <sheetName val="_97_207COSRP11.xls__97_207_2101"/>
      <sheetName val="_97_207COSRP11.xls_B________712"/>
      <sheetName val="_97_207COSRP11.xls__97_207_2102"/>
      <sheetName val="_97_207COSRP11.xls__97_207_2103"/>
      <sheetName val="_97_207COSRP11.xls__97_207_2104"/>
      <sheetName val="_97_207COSRP11.xls__97_207_2125"/>
      <sheetName val="_97_207COSRP11.xls__97_207_2126"/>
      <sheetName val="_97_207COSRP11.xls__97_207_2127"/>
      <sheetName val="_97_207COSRP11.xls_B________719"/>
      <sheetName val="_97_207COSRP11.xls_B________720"/>
      <sheetName val="_97_207COSRP11.xls__97_207_2132"/>
      <sheetName val="_97_207COSRP11.xls__97_207_2128"/>
      <sheetName val="_97_207COSRP11.xls__97_207_2133"/>
      <sheetName val="_97_207COSRP11.xls_B________721"/>
      <sheetName val="_97_207COSRP11.xls__97_207_2129"/>
      <sheetName val="_97_207COSRP11.xls__97_207_2130"/>
      <sheetName val="_97_207COSRP11.xls__97_207_2131"/>
      <sheetName val="_97_207COSRP11.xls__97_207_2134"/>
      <sheetName val="_97_207COSRP11.xls__97_207_2143"/>
      <sheetName val="_97_207COSRP11.xls__97_207_2144"/>
      <sheetName val="_97_207COSRP11.xls__97_207_2145"/>
      <sheetName val="_97_207COSRP11.xls_B________728"/>
      <sheetName val="_97_207COSRP11.xls_B________729"/>
      <sheetName val="_97_207COSRP11.xls__97_207_2156"/>
      <sheetName val="_97_207COSRP11.xls__97_207_2146"/>
      <sheetName val="_97_207COSRP11.xls__97_207_2157"/>
      <sheetName val="_97_207COSRP11.xls_B________730"/>
      <sheetName val="_97_207COSRP11.xls__97_207_2147"/>
      <sheetName val="_97_207COSRP11.xls__97_207_2148"/>
      <sheetName val="_97_207COSRP11.xls__97_207_2149"/>
      <sheetName val="_97_207COSRP11.xls__97_207_2158"/>
      <sheetName val="_97_207COSRP11.xls_B________722"/>
      <sheetName val="_97_207COSRP11.xls_B________723"/>
      <sheetName val="_97_207COSRP11.xls_B________724"/>
      <sheetName val="_97_207COSRP11.xls__97_207_2135"/>
      <sheetName val="_97_207COSRP11.xls__97_207_2136"/>
      <sheetName val="_97_207COSRP11.xls__97_207_2137"/>
      <sheetName val="_97_207COSRP11.xls__97_207_2138"/>
      <sheetName val="_97_207COSRP11.xls_B________725"/>
      <sheetName val="_97_207COSRP11.xls_B________726"/>
      <sheetName val="_97_207COSRP11.xls__97_207_2139"/>
      <sheetName val="_97_207COSRP11.xls_B________727"/>
      <sheetName val="_97_207COSRP11.xls__97_207_2140"/>
      <sheetName val="_97_207COSRP11.xls__97_207_2141"/>
      <sheetName val="_97_207COSRP11.xls__97_207_2142"/>
      <sheetName val="_97_207COSRP11.xls__97_207_2150"/>
      <sheetName val="_97_207COSRP11.xls__97_207_2151"/>
      <sheetName val="_97_207COSRP11.xls__97_207_2152"/>
      <sheetName val="_97_207COSRP11.xls__97_207_2153"/>
      <sheetName val="_97_207COSRP11.xls__97_207_2154"/>
      <sheetName val="_97_207COSRP11.xls__97_207_2155"/>
      <sheetName val="_97_207COSRP11.xls__97_207_2159"/>
      <sheetName val="_97_207COSRP11.xls__97_207_2160"/>
      <sheetName val="_97_207COSRP11.xls__97_207_2161"/>
      <sheetName val="_97_207COSRP11.xls_B________731"/>
      <sheetName val="_97_207COSRP11.xls_B________732"/>
      <sheetName val="_97_207COSRP11.xls__97_207_2180"/>
      <sheetName val="_97_207COSRP11.xls__97_207_2162"/>
      <sheetName val="_97_207COSRP11.xls__97_207_2181"/>
      <sheetName val="_97_207COSRP11.xls_B________733"/>
      <sheetName val="_97_207COSRP11.xls__97_207_2163"/>
      <sheetName val="_97_207COSRP11.xls__97_207_2164"/>
      <sheetName val="_97_207COSRP11.xls__97_207_2165"/>
      <sheetName val="_97_207COSRP11.xls__97_207_2182"/>
      <sheetName val="_97_207COSRP11.xls_B________740"/>
      <sheetName val="_97_207COSRP11.xls_B________741"/>
      <sheetName val="_97_207COSRP11.xls__97_207_2197"/>
      <sheetName val="_97_207COSRP11.xls__97_207_2183"/>
      <sheetName val="_97_207COSRP11.xls__97_207_2198"/>
      <sheetName val="_97_207COSRP11.xls_B________742"/>
      <sheetName val="_97_207COSRP11.xls__97_207_2184"/>
      <sheetName val="_97_207COSRP11.xls__97_207_2185"/>
      <sheetName val="_97_207COSRP11.xls__97_207_2186"/>
      <sheetName val="_97_207COSRP11.xls__97_207_2199"/>
      <sheetName val="_97_207COSRP11.xls__97_207_2166"/>
      <sheetName val="_97_207COSRP11.xls__97_207_2167"/>
      <sheetName val="_97_207COSRP11.xls__97_207_2168"/>
      <sheetName val="_97_207COSRP11.xls_B________734"/>
      <sheetName val="_97_207COSRP11.xls_B________735"/>
      <sheetName val="_97_207COSRP11.xls__97_207_2169"/>
      <sheetName val="_97_207COSRP11.xls_B________736"/>
      <sheetName val="_97_207COSRP11.xls__97_207_2170"/>
      <sheetName val="_97_207COSRP11.xls__97_207_2171"/>
      <sheetName val="_97_207COSRP11.xls__97_207_2172"/>
      <sheetName val="_97_207COSRP11.xls__97_207_2173"/>
      <sheetName val="_97_207COSRP11.xls__97_207_2174"/>
      <sheetName val="_97_207COSRP11.xls__97_207_2175"/>
      <sheetName val="_97_207COSRP11.xls_B________737"/>
      <sheetName val="_97_207COSRP11.xls_B________738"/>
      <sheetName val="_97_207COSRP11.xls__97_207_2176"/>
      <sheetName val="_97_207COSRP11.xls_B________739"/>
      <sheetName val="_97_207COSRP11.xls__97_207_2177"/>
      <sheetName val="_97_207COSRP11.xls__97_207_2178"/>
      <sheetName val="_97_207COSRP11.xls__97_207_2179"/>
      <sheetName val="_97_207COSRP11.xls__97_207_2187"/>
      <sheetName val="_97_207COSRP11.xls__97_207_2188"/>
      <sheetName val="_97_207COSRP11.xls__97_207_2189"/>
      <sheetName val="_97_207COSRP11.xls_B________743"/>
      <sheetName val="_97_207COSRP11.xls_B________744"/>
      <sheetName val="_97_207COSRP11.xls__97_207_2194"/>
      <sheetName val="_97_207COSRP11.xls__97_207_2190"/>
      <sheetName val="_97_207COSRP11.xls__97_207_2195"/>
      <sheetName val="_97_207COSRP11.xls_B________745"/>
      <sheetName val="_97_207COSRP11.xls__97_207_2191"/>
      <sheetName val="_97_207COSRP11.xls__97_207_2192"/>
      <sheetName val="_97_207COSRP11.xls__97_207_2193"/>
      <sheetName val="_97_207COSRP11.xls__97_207_2196"/>
      <sheetName val="_97_207COSRP11.xls__97_207_2200"/>
      <sheetName val="_97_207COSRP11.xls__97_207_2201"/>
      <sheetName val="_97_207COSRP11.xls__97_207_2202"/>
      <sheetName val="_97_207COSRP11.xls__97_207_2221"/>
      <sheetName val="_97_207COSRP11.xls__97_207_2222"/>
      <sheetName val="_97_207COSRP11.xls__97_207_2223"/>
      <sheetName val="_97_207COSRP11.xls__97_207_2203"/>
      <sheetName val="_97_207COSRP11.xls__97_207_2204"/>
      <sheetName val="_97_207COSRP11.xls__97_207_2205"/>
      <sheetName val="_97_207COSRP11.xls__97_207_2206"/>
      <sheetName val="_97_207COSRP11.xls__97_207_2207"/>
      <sheetName val="_97_207COSRP11.xls__97_207_2208"/>
      <sheetName val="_97_207COSRP11.xls__97_207_2209"/>
      <sheetName val="_97_207COSRP11.xls__97_207_2210"/>
      <sheetName val="_97_207COSRP11.xls__97_207_2211"/>
      <sheetName val="_97_207COSRP11.xls__97_207_2212"/>
      <sheetName val="_97_207COSRP11.xls__97_207_2213"/>
      <sheetName val="_97_207COSRP11.xls__97_207_2214"/>
      <sheetName val="_97_207COSRP11.xls__97_207_2215"/>
      <sheetName val="_97_207COSRP11.xls__97_207_2216"/>
      <sheetName val="_97_207COSRP11.xls__97_207_2217"/>
      <sheetName val="_97_207COSRP11.xls__97_207_2218"/>
      <sheetName val="_97_207COSRP11.xls__97_207_2219"/>
      <sheetName val="_97_207COSRP11.xls__97_207_2220"/>
      <sheetName val="_97_207COSRP11.xls__97_207_2231"/>
      <sheetName val="_97_207COSRP11.xls__97_207_2232"/>
      <sheetName val="_97_207COSRP11.xls__97_207_2233"/>
      <sheetName val="_97_207COSRP11.xls_B________749"/>
      <sheetName val="_97_207COSRP11.xls_B________750"/>
      <sheetName val="_97_207COSRP11.xls__97_207_2238"/>
      <sheetName val="_97_207COSRP11.xls__97_207_2234"/>
      <sheetName val="_97_207COSRP11.xls__97_207_2239"/>
      <sheetName val="_97_207COSRP11.xls_B________751"/>
      <sheetName val="_97_207COSRP11.xls__97_207_2235"/>
      <sheetName val="_97_207COSRP11.xls__97_207_2236"/>
      <sheetName val="_97_207COSRP11.xls__97_207_2237"/>
      <sheetName val="_97_207COSRP11.xls__97_207_2240"/>
      <sheetName val="_97_207COSRP11.xls__97_207_2224"/>
      <sheetName val="_97_207COSRP11.xls__97_207_2225"/>
      <sheetName val="_97_207COSRP11.xls__97_207_2226"/>
      <sheetName val="_97_207COSRP11.xls_B________746"/>
      <sheetName val="_97_207COSRP11.xls_B________747"/>
      <sheetName val="_97_207COSRP11.xls__97_207_2227"/>
      <sheetName val="_97_207COSRP11.xls_B________748"/>
      <sheetName val="_97_207COSRP11.xls__97_207_2228"/>
      <sheetName val="_97_207COSRP11.xls__97_207_2229"/>
      <sheetName val="_97_207COSRP11.xls__97_207_2230"/>
      <sheetName val="_97_207COSRP11.xls__97_207_2241"/>
      <sheetName val="_97_207COSRP11.xls__97_207_2242"/>
      <sheetName val="_97_207COSRP11.xls__97_207_2243"/>
      <sheetName val="_97_207COSRP11.xls__97_207_2244"/>
      <sheetName val="_97_207COSRP11.xls__97_207_2245"/>
      <sheetName val="_97_207COSRP11.xls__97_207_2246"/>
      <sheetName val="_97_207COSRP11.xls_B________752"/>
      <sheetName val="_97_207COSRP11.xls_B________753"/>
      <sheetName val="_97_207COSRP11.xls__97_207_2251"/>
      <sheetName val="_97_207COSRP11.xls__97_207_2247"/>
      <sheetName val="_97_207COSRP11.xls__97_207_2252"/>
      <sheetName val="_97_207COSRP11.xls_B________754"/>
      <sheetName val="_97_207COSRP11.xls__97_207_2248"/>
      <sheetName val="_97_207COSRP11.xls__97_207_2249"/>
      <sheetName val="_97_207COSRP11.xls__97_207_2250"/>
      <sheetName val="_97_207COSRP11.xls__97_207_2253"/>
      <sheetName val="_97_207COSRP11.xls__97_207_2261"/>
      <sheetName val="_97_207COSRP11.xls__97_207_2262"/>
      <sheetName val="_97_207COSRP11.xls__97_207_2263"/>
      <sheetName val="_97_207COSRP11.xls_B________758"/>
      <sheetName val="_97_207COSRP11.xls_B________759"/>
      <sheetName val="_97_207COSRP11.xls__97_207_2268"/>
      <sheetName val="_97_207COSRP11.xls__97_207_2264"/>
      <sheetName val="_97_207COSRP11.xls__97_207_2269"/>
      <sheetName val="_97_207COSRP11.xls_B________760"/>
      <sheetName val="_97_207COSRP11.xls__97_207_2265"/>
      <sheetName val="_97_207COSRP11.xls__97_207_2266"/>
      <sheetName val="_97_207COSRP11.xls__97_207_2267"/>
      <sheetName val="_97_207COSRP11.xls__97_207_2270"/>
      <sheetName val="_97_207COSRP11.xls__97_207_2254"/>
      <sheetName val="_97_207COSRP11.xls__97_207_2255"/>
      <sheetName val="_97_207COSRP11.xls__97_207_2256"/>
      <sheetName val="_97_207COSRP11.xls_B________755"/>
      <sheetName val="_97_207COSRP11.xls_B________756"/>
      <sheetName val="_97_207COSRP11.xls__97_207_2257"/>
      <sheetName val="_97_207COSRP11.xls_B________757"/>
      <sheetName val="_97_207COSRP11.xls__97_207_2258"/>
      <sheetName val="_97_207COSRP11.xls__97_207_2259"/>
      <sheetName val="_97_207COSRP11.xls__97_207_2260"/>
      <sheetName val="_97_207COSRP11.xls_B________761"/>
      <sheetName val="_97_207COSRP11.xls_B________762"/>
      <sheetName val="_97_207COSRP11.xls__97_207_2275"/>
      <sheetName val="_97_207COSRP11.xls__97_207_2271"/>
      <sheetName val="_97_207COSRP11.xls__97_207_2276"/>
      <sheetName val="_97_207COSRP11.xls_B________763"/>
      <sheetName val="_97_207COSRP11.xls__97_207_2272"/>
      <sheetName val="_97_207COSRP11.xls__97_207_2273"/>
      <sheetName val="_97_207COSRP11.xls__97_207_2274"/>
      <sheetName val="_97_207COSRP11.xls__97_207_2277"/>
      <sheetName val="_97_207COSRP11.xls_B________764"/>
      <sheetName val="_97_207COSRP11.xls_B________765"/>
      <sheetName val="_97_207COSRP11.xls__97_207_2282"/>
      <sheetName val="_97_207COSRP11.xls__97_207_2278"/>
      <sheetName val="_97_207COSRP11.xls__97_207_2279"/>
      <sheetName val="_97_207COSRP11.xls__97_207_2280"/>
      <sheetName val="_97_207COSRP11.xls__97_207_2281"/>
      <sheetName val="_97_207COSRP11.xls__97_207_2283"/>
      <sheetName val="_97_207COSRP11.xls__97_207_2284"/>
      <sheetName val="_97_207COSRP11.xls__97_207_2286"/>
      <sheetName val="_97_207COSRP11.xls__97_207_2287"/>
      <sheetName val="_97_207COSRP11.xls_B________766"/>
      <sheetName val="_97_207COSRP11.xls_B________767"/>
      <sheetName val="_97_207COSRP11.xls__97_207_2292"/>
      <sheetName val="_97_207COSRP11.xls_B________771"/>
      <sheetName val="_97_207COSRP11.xls_B________772"/>
      <sheetName val="_97_207COSRP11.xls__97_207_2316"/>
      <sheetName val="_97_207COSRP11.xls__97_207_2293"/>
      <sheetName val="_97_207COSRP11.xls__97_207_2294"/>
      <sheetName val="_97_207COSRP11.xls__97_207_2295"/>
      <sheetName val="_97_207COSRP11.xls__97_207_2317"/>
      <sheetName val="_97_207COSRP11.xls__97_207_2296"/>
      <sheetName val="_97_207COSRP11.xls__97_207_2318"/>
      <sheetName val="_97_207COSRP11.xls_B________773"/>
      <sheetName val="_97_207COSRP11.xls__97_207_2297"/>
      <sheetName val="_97_207COSRP11.xls__97_207_2298"/>
      <sheetName val="_97_207COSRP11.xls_B________768"/>
      <sheetName val="_97_207COSRP11.xls_B________769"/>
      <sheetName val="_97_207COSRP11.xls__97_207_2288"/>
      <sheetName val="_97_207COSRP11.xls__97_207_2289"/>
      <sheetName val="_97_207COSRP11.xls_B________770"/>
      <sheetName val="_97_207COSRP11.xls__97_207_2290"/>
      <sheetName val="_97_207COSRP11.xls__97_207_2291"/>
      <sheetName val="_97_207COSRP11.xls__97_207_2299"/>
      <sheetName val="_97_207COSRP11.xls__97_207_2300"/>
      <sheetName val="_97_207COSRP11.xls__97_207_2301"/>
      <sheetName val="_97_207COSRP11.xls_B________780"/>
      <sheetName val="_97_207COSRP11.xls_B________781"/>
      <sheetName val="_97_207COSRP11.xls__97_207_2326"/>
      <sheetName val="_97_207COSRP11.xls__97_207_2319"/>
      <sheetName val="_97_207COSRP11.xls__97_207_2320"/>
      <sheetName val="_97_207COSRP11.xls__97_207_2327"/>
      <sheetName val="_97_207COSRP11.xls__97_207_2328"/>
      <sheetName val="_97_207COSRP11.xls_B________782"/>
      <sheetName val="_97_207COSRP11.xls__97_207_2321"/>
      <sheetName val="_97_207COSRP11.xls__97_207_2322"/>
      <sheetName val="_97_207COSRP11.xls__97_207_2302"/>
      <sheetName val="_97_207COSRP11.xls__97_207_2303"/>
      <sheetName val="_97_207COSRP11.xls__97_207_2304"/>
      <sheetName val="_97_207COSRP11.xls_B________774"/>
      <sheetName val="_97_207COSRP11.xls_B________775"/>
      <sheetName val="_97_207COSRP11.xls__97_207_2305"/>
      <sheetName val="_97_207COSRP11.xls__97_207_2306"/>
      <sheetName val="_97_207COSRP11.xls_B________776"/>
      <sheetName val="_97_207COSRP11.xls__97_207_2307"/>
      <sheetName val="_97_207COSRP11.xls__97_207_2308"/>
      <sheetName val="_97_207COSRP11.xls__97_207_2309"/>
      <sheetName val="_97_207COSRP11.xls__97_207_2310"/>
      <sheetName val="_97_207COSRP11.xls__97_207_2311"/>
      <sheetName val="_97_207COSRP11.xls_B________777"/>
      <sheetName val="_97_207COSRP11.xls_B________778"/>
      <sheetName val="_97_207COSRP11.xls__97_207_2312"/>
      <sheetName val="_97_207COSRP11.xls__97_207_2313"/>
      <sheetName val="_97_207COSRP11.xls_B________779"/>
      <sheetName val="_97_207COSRP11.xls__97_207_2314"/>
      <sheetName val="_97_207COSRP11.xls__97_207_2315"/>
      <sheetName val="_97_207COSRP11.xls__97_207_2323"/>
      <sheetName val="_97_207COSRP11.xls__97_207_2324"/>
      <sheetName val="_97_207COSRP11.xls__97_207_2325"/>
      <sheetName val="_97_207COSRP11.xls__97_207_2329"/>
      <sheetName val="_97_207COSRP11.xls__97_207_2330"/>
      <sheetName val="_97_207COSRP11.xls_B________783"/>
      <sheetName val="_97_207COSRP11.xls_B________784"/>
      <sheetName val="_97_207COSRP11.xls__97_207_2344"/>
      <sheetName val="_97_207COSRP11.xls__97_207_2331"/>
      <sheetName val="_97_207COSRP11.xls__97_207_2332"/>
      <sheetName val="_97_207COSRP11.xls__97_207_2333"/>
      <sheetName val="_97_207COSRP11.xls__97_207_2334"/>
      <sheetName val="_97_207COSRP11.xls__97_207_2345"/>
      <sheetName val="_97_207COSRP11.xls__97_207_2335"/>
      <sheetName val="_97_207COSRP11.xls__97_207_2346"/>
      <sheetName val="_97_207COSRP11.xls_B________785"/>
      <sheetName val="_97_207COSRP11.xls__97_207_2336"/>
      <sheetName val="_97_207COSRP11.xls__97_207_2337"/>
      <sheetName val="_97_207COSRP11.xls__97_207_2338"/>
      <sheetName val="_97_207COSRP11.xls__97_207_2339"/>
      <sheetName val="_97_207COSRP11.xls__97_207_2340"/>
      <sheetName val="_97_207COSRP11.xls__97_207_2341"/>
      <sheetName val="_97_207COSRP11.xls__97_207_2342"/>
      <sheetName val="_97_207COSRP11.xls__97_207_2343"/>
      <sheetName val="_97_207COSRP11.xls__97_207_2347"/>
      <sheetName val="_97_207COSRP11.xls__97_207_2348"/>
      <sheetName val="_97_207COSRP11.xls__97_207_2349"/>
      <sheetName val="_97_207COSRP11.xls__97_207_2350"/>
      <sheetName val="_97_207COSRP11.xls__97_207_2351"/>
      <sheetName val="_97_207COSRP11.xls_B________786"/>
      <sheetName val="_97_207COSRP11.xls_B________787"/>
      <sheetName val="_97_207COSRP11.xls_B________788"/>
      <sheetName val="_97_207COSRP11.xls__97_207_2359"/>
      <sheetName val="_97_207COSRP11.xls__97_207_2360"/>
      <sheetName val="_97_207COSRP11.xls__97_207_2361"/>
      <sheetName val="_97_207COSRP11.xls__97_207_2352"/>
      <sheetName val="_97_207COSRP11.xls__97_207_2353"/>
      <sheetName val="_97_207COSRP11.xls__97_207_2354"/>
      <sheetName val="_97_207COSRP11.xls__97_207_2355"/>
      <sheetName val="_97_207COSRP11.xls__97_207_2356"/>
      <sheetName val="_97_207COSRP11.xls__97_207_2357"/>
      <sheetName val="_97_207COSRP11.xls__97_207_2358"/>
      <sheetName val="_97_207COSRP11.xls_B________789"/>
      <sheetName val="_97_207COSRP11.xls_B________790"/>
      <sheetName val="_97_207COSRP11.xls__97_207_2366"/>
      <sheetName val="_97_207COSRP11.xls__97_207_2362"/>
      <sheetName val="_97_207COSRP11.xls__97_207_2363"/>
      <sheetName val="_97_207COSRP11.xls__97_207_2367"/>
      <sheetName val="_97_207COSRP11.xls__97_207_2368"/>
      <sheetName val="_97_207COSRP11.xls_B________791"/>
      <sheetName val="_97_207COSRP11.xls__97_207_2364"/>
      <sheetName val="_97_207COSRP11.xls__97_207_2365"/>
      <sheetName val="_97_207COSRP11.xls__97_207_2379"/>
      <sheetName val="_97_207COSRP11.xls__97_207_2380"/>
      <sheetName val="_97_207COSRP11.xls__97_207_2381"/>
      <sheetName val="_97_207COSRP11.xls__97_207_2382"/>
      <sheetName val="_97_207COSRP11.xls__97_207_2383"/>
      <sheetName val="_97_207COSRP11.xls__97_207_2384"/>
      <sheetName val="_97_207COSRP11.xls_B________798"/>
      <sheetName val="_97_207COSRP11.xls_B________799"/>
      <sheetName val="_97_207COSRP11.xls__97_207_2399"/>
      <sheetName val="_97_207COSRP11.xls__97_207_2392"/>
      <sheetName val="_97_207COSRP11.xls__97_207_2393"/>
      <sheetName val="_97_207COSRP11.xls__97_207_2394"/>
      <sheetName val="_97_207COSRP11.xls__97_207_2400"/>
      <sheetName val="_97_207COSRP11.xls__97_207_2395"/>
      <sheetName val="_97_207COSRP11.xls__97_207_2396"/>
      <sheetName val="_97_207COSRP11.xls__97_207_2401"/>
      <sheetName val="_97_207COSRP11.xls_B________800"/>
      <sheetName val="_97_207COSRP11.xls__97_207_2397"/>
      <sheetName val="_97_207COSRP11.xls__97_207_2398"/>
      <sheetName val="_97_207COSRP11.xls__97_207_2385"/>
      <sheetName val="_97_207COSRP11.xls__97_207_2386"/>
      <sheetName val="_97_207COSRP11.xls__97_207_2387"/>
      <sheetName val="_97_207COSRP11.xls_B________795"/>
      <sheetName val="_97_207COSRP11.xls_B________796"/>
      <sheetName val="_97_207COSRP11.xls__97_207_2388"/>
      <sheetName val="_97_207COSRP11.xls__97_207_2389"/>
      <sheetName val="_97_207COSRP11.xls_B________797"/>
      <sheetName val="_97_207COSRP11.xls__97_207_2390"/>
      <sheetName val="_97_207COSRP11.xls__97_207_2391"/>
      <sheetName val="_97_207COSRP11.xls__97_207_2402"/>
      <sheetName val="_97_207COSRP11.xls__97_207_2403"/>
      <sheetName val="_97_207COSRP11.xls__97_207_2404"/>
      <sheetName val="_97_207COSRP11.xls__97_207_2405"/>
      <sheetName val="_97_207COSRP11.xls__97_207_2406"/>
      <sheetName val="_97_207COSRP11.xls__97_207_2407"/>
      <sheetName val="_97_207COSRP11.xls_B________801"/>
      <sheetName val="_97_207COSRP11.xls_B________802"/>
      <sheetName val="_97_207COSRP11.xls__97_207_2412"/>
      <sheetName val="_97_207COSRP11.xls__97_207_2408"/>
      <sheetName val="_97_207COSRP11.xls__97_207_2409"/>
      <sheetName val="_97_207COSRP11.xls__97_207_2413"/>
      <sheetName val="_97_207COSRP11.xls__97_207_2414"/>
      <sheetName val="_97_207COSRP11.xls_B________803"/>
      <sheetName val="_97_207COSRP11.xls__97_207_2410"/>
      <sheetName val="_97_207COSRP11.xls__97_207_2411"/>
      <sheetName val="_97_207COSRP11.xls__97_207_2422"/>
      <sheetName val="_97_207COSRP11.xls__97_207_2423"/>
      <sheetName val="_97_207COSRP11.xls__97_207_2424"/>
      <sheetName val="_97_207COSRP11.xls_B________807"/>
      <sheetName val="_97_207COSRP11.xls_B________808"/>
      <sheetName val="_97_207COSRP11.xls__97_207_2429"/>
      <sheetName val="_97_207COSRP11.xls__97_207_2425"/>
      <sheetName val="_97_207COSRP11.xls__97_207_2426"/>
      <sheetName val="_97_207COSRP11.xls__97_207_2430"/>
      <sheetName val="_97_207COSRP11.xls__97_207_2431"/>
      <sheetName val="_97_207COSRP11.xls_B________809"/>
      <sheetName val="_97_207COSRP11.xls__97_207_2427"/>
      <sheetName val="_97_207COSRP11.xls__97_207_2428"/>
      <sheetName val="_97_207COSRP11.xls__97_207_2415"/>
      <sheetName val="_97_207COSRP11.xls__97_207_2416"/>
      <sheetName val="_97_207COSRP11.xls__97_207_2417"/>
      <sheetName val="_97_207COSRP11.xls_B________804"/>
      <sheetName val="_97_207COSRP11.xls_B________805"/>
      <sheetName val="_97_207COSRP11.xls__97_207_2418"/>
      <sheetName val="_97_207COSRP11.xls__97_207_2419"/>
      <sheetName val="_97_207COSRP11.xls_B________806"/>
      <sheetName val="_97_207COSRP11.xls__97_207_2420"/>
      <sheetName val="_97_207COSRP11.xls__97_207_2421"/>
      <sheetName val="_97_207COSRP11.xls__97_207_2432"/>
      <sheetName val="_97_207COSRP11.xls__97_207_2433"/>
      <sheetName val="_97_207COSRP11.xls__97_207_2434"/>
      <sheetName val="_97_207COSRP11.xls_B________810"/>
      <sheetName val="_97_207COSRP11.xls_B________811"/>
      <sheetName val="_97_207COSRP11.xls__97_207_2438"/>
      <sheetName val="_97_207COSRP11.xls__97_207_2435"/>
      <sheetName val="_97_207COSRP11.xls__97_207_2436"/>
      <sheetName val="_97_207COSRP11.xls__97_207_2437"/>
      <sheetName val="_97_207COSRP11.xls_B________825"/>
      <sheetName val="_97_207COSRP11.xls_B________826"/>
      <sheetName val="_97_207COSRP11.xls__97_207_2477"/>
      <sheetName val="_97_207COSRP11.xls__97_207_2470"/>
      <sheetName val="_97_207COSRP11.xls__97_207_2471"/>
      <sheetName val="_97_207COSRP11.xls__97_207_2472"/>
      <sheetName val="_97_207COSRP11.xls__97_207_2478"/>
      <sheetName val="_97_207COSRP11.xls__97_207_2473"/>
      <sheetName val="_97_207COSRP11.xls__97_207_2474"/>
      <sheetName val="_97_207COSRP11.xls__97_207_2479"/>
      <sheetName val="_97_207COSRP11.xls_B________827"/>
      <sheetName val="_97_207COSRP11.xls__97_207_2475"/>
      <sheetName val="_97_207COSRP11.xls__97_207_2476"/>
      <sheetName val="_97_207COSRP11.xls__97_207_2439"/>
      <sheetName val="_97_207COSRP11.xls_B________812"/>
      <sheetName val="_97_207COSRP11.xls__97_207_2440"/>
      <sheetName val="_97_207COSRP11.xls__97_207_2441"/>
      <sheetName val="_97_207COSRP11.xls_B________813"/>
      <sheetName val="_97_207COSRP11.xls_B________814"/>
      <sheetName val="_97_207COSRP11.xls__97_207_2442"/>
      <sheetName val="_97_207COSRP11.xls__97_207_2443"/>
      <sheetName val="_97_207COSRP11.xls__97_207_2444"/>
      <sheetName val="_97_207COSRP11.xls__97_207_2445"/>
      <sheetName val="_97_207COSRP11.xls__97_207_2446"/>
      <sheetName val="_97_207COSRP11.xls_B________815"/>
      <sheetName val="_97_207COSRP11.xls__97_207_2447"/>
      <sheetName val="_97_207COSRP11.xls__97_207_2448"/>
      <sheetName val="_97_207COSRP11.xls_B________816"/>
      <sheetName val="_97_207COSRP11.xls_B________817"/>
      <sheetName val="_97_207COSRP11.xls__97_207_2449"/>
      <sheetName val="_97_207COSRP11.xls__97_207_2450"/>
      <sheetName val="_97_207COSRP11.xls__97_207_2451"/>
      <sheetName val="_97_207COSRP11.xls__97_207_2452"/>
      <sheetName val="_97_207COSRP11.xls__97_207_2453"/>
      <sheetName val="_97_207COSRP11.xls_B________818"/>
      <sheetName val="_97_207COSRP11.xls__97_207_2454"/>
      <sheetName val="_97_207COSRP11.xls__97_207_2455"/>
      <sheetName val="_97_207COSRP11.xls_B________819"/>
      <sheetName val="_97_207COSRP11.xls_B________820"/>
      <sheetName val="_97_207COSRP11.xls__97_207_2456"/>
      <sheetName val="_97_207COSRP11.xls__97_207_2457"/>
      <sheetName val="_97_207COSRP11.xls__97_207_2458"/>
      <sheetName val="_97_207COSRP11.xls__97_207_2459"/>
      <sheetName val="_97_207COSRP11.xls__97_207_2460"/>
      <sheetName val="_97_207COSRP11.xls_B________821"/>
      <sheetName val="_97_207COSRP11.xls__97_207_2461"/>
      <sheetName val="_97_207COSRP11.xls__97_207_2462"/>
      <sheetName val="_97_207COSRP11.xls_B________822"/>
      <sheetName val="_97_207COSRP11.xls_B________823"/>
      <sheetName val="_97_207COSRP11.xls__97_207_2463"/>
      <sheetName val="_97_207COSRP11.xls__97_207_2464"/>
      <sheetName val="_97_207COSRP11.xls__97_207_2465"/>
      <sheetName val="_97_207COSRP11.xls__97_207_2466"/>
      <sheetName val="_97_207COSRP11.xls__97_207_2467"/>
      <sheetName val="_97_207COSRP11.xls_B________824"/>
      <sheetName val="_97_207COSRP11.xls__97_207_2468"/>
      <sheetName val="_97_207COSRP11.xls__97_207_2469"/>
      <sheetName val="_97_207COSRP11.xls__97_207_2480"/>
      <sheetName val="_97_207COSRP11.xls__97_207_2481"/>
      <sheetName val="_97_207COSRP11.xls__97_207_2482"/>
      <sheetName val="_97_207COSRP11.xls_B________828"/>
      <sheetName val="_97_207COSRP11.xls_B________829"/>
      <sheetName val="_97_207COSRP11.xls__97_207_2496"/>
      <sheetName val="_97_207COSRP11.xls__97_207_2489"/>
      <sheetName val="_97_207COSRP11.xls__97_207_2490"/>
      <sheetName val="_97_207COSRP11.xls__97_207_2491"/>
      <sheetName val="_97_207COSRP11.xls__97_207_2497"/>
      <sheetName val="_97_207COSRP11.xls__97_207_2492"/>
      <sheetName val="_97_207COSRP11.xls__97_207_2493"/>
      <sheetName val="_97_207COSRP11.xls__97_207_2498"/>
      <sheetName val="_97_207COSRP11.xls_B________830"/>
      <sheetName val="_97_207COSRP11.xls__97_207_2494"/>
      <sheetName val="_97_207COSRP11.xls__97_207_2495"/>
      <sheetName val="_97_207COSRP11.xls__97_207_2486"/>
      <sheetName val="_97_207COSRP11.xls__97_207_2487"/>
      <sheetName val="_97_207COSRP11.xls__97_207_2488"/>
      <sheetName val="_97_207COSRP11.xls__97_207_2483"/>
      <sheetName val="_97_207COSRP11.xls__97_207_2484"/>
      <sheetName val="_97_207COSRP11.xls__97_207_2485"/>
      <sheetName val="_97_207COSRP11.xls__97_207_2513"/>
      <sheetName val="_97_207COSRP11.xls_B________837"/>
      <sheetName val="_97_207COSRP11.xls_B________838"/>
      <sheetName val="_97_207COSRP11.xls__97_207_2514"/>
      <sheetName val="_97_207COSRP11.xls__97_207_2515"/>
      <sheetName val="_97_207COSRP11.xls__97_207_2516"/>
      <sheetName val="_97_207COSRP11.xls__97_207_2508"/>
      <sheetName val="_97_207COSRP11.xls_B________835"/>
      <sheetName val="_97_207COSRP11.xls_B________836"/>
      <sheetName val="_97_207COSRP11.xls__97_207_2512"/>
      <sheetName val="_97_207COSRP11.xls__97_207_2509"/>
      <sheetName val="_97_207COSRP11.xls__97_207_2510"/>
      <sheetName val="_97_207COSRP11.xls__97_207_2511"/>
      <sheetName val="_97_207COSRP11.xls__97_207_2517"/>
      <sheetName val="_97_207COSRP11.xls_B________839"/>
      <sheetName val="_97_207COSRP11.xls_B________840"/>
      <sheetName val="_97_207COSRP11.xls__97_207_2521"/>
      <sheetName val="_97_207COSRP11.xls__97_207_2518"/>
      <sheetName val="_97_207COSRP11.xls__97_207_2519"/>
      <sheetName val="_97_207COSRP11.xls__97_207_2520"/>
      <sheetName val="_97_207COSRP11.xls__97_207_2544"/>
      <sheetName val="_97_207COSRP11.xls_B________851"/>
      <sheetName val="_97_207COSRP11.xls_B________852"/>
      <sheetName val="_97_207COSRP11.xls__97_207_2552"/>
      <sheetName val="_97_207COSRP11.xls__97_207_2545"/>
      <sheetName val="_97_207COSRP11.xls__97_207_2546"/>
      <sheetName val="_97_207COSRP11.xls__97_207_2547"/>
      <sheetName val="_97_207COSRP11.xls_B________843"/>
      <sheetName val="_97_207COSRP11.xls_B________844"/>
      <sheetName val="_97_207COSRP11.xls__97_207_2529"/>
      <sheetName val="_97_207COSRP11.xls__97_207_2527"/>
      <sheetName val="_97_207COSRP11.xls__97_207_2528"/>
      <sheetName val="_97_207COSRP11.xls__97_207_2534"/>
      <sheetName val="_97_207COSRP11.xls_B________847"/>
      <sheetName val="_97_207COSRP11.xls_B________848"/>
      <sheetName val="_97_207COSRP11.xls__97_207_2538"/>
      <sheetName val="_97_207COSRP11.xls__97_207_2535"/>
      <sheetName val="_97_207COSRP11.xls__97_207_2536"/>
      <sheetName val="_97_207COSRP11.xls__97_207_2537"/>
      <sheetName val="_97_207COSRP11.xls__97_207_2530"/>
      <sheetName val="_97_207COSRP11.xls_B________845"/>
      <sheetName val="_97_207COSRP11.xls_B________846"/>
      <sheetName val="_97_207COSRP11.xls__97_207_2531"/>
      <sheetName val="_97_207COSRP11.xls__97_207_2532"/>
      <sheetName val="_97_207COSRP11.xls__97_207_2533"/>
      <sheetName val="_97_207COSRP11.xls__97_207_2539"/>
      <sheetName val="_97_207COSRP11.xls__97_207_2540"/>
      <sheetName val="_97_207COSRP11.xls__97_207_2541"/>
      <sheetName val="_97_207COSRP11.xls_B________849"/>
      <sheetName val="_97_207COSRP11.xls_B________850"/>
      <sheetName val="_97_207COSRP11.xls__97_207_2542"/>
      <sheetName val="_97_207COSRP11.xls__97_207_2543"/>
      <sheetName val="_97_207COSRP11.xls_B________855"/>
      <sheetName val="_97_207COSRP11.xls_B________856"/>
      <sheetName val="_97_207COSRP11.xls__97_207_2556"/>
      <sheetName val="_97_207COSRP11.xls__97_207_2553"/>
      <sheetName val="_97_207COSRP11.xls__97_207_2554"/>
      <sheetName val="_97_207COSRP11.xls__97_207_2555"/>
      <sheetName val="_97_207COSRP11.xls__97_207_2548"/>
      <sheetName val="_97_207COSRP11.xls_B________853"/>
      <sheetName val="_97_207COSRP11.xls_B________854"/>
      <sheetName val="_97_207COSRP11.xls__97_207_2549"/>
      <sheetName val="_97_207COSRP11.xls__97_207_2550"/>
      <sheetName val="_97_207COSRP11.xls__97_207_2551"/>
      <sheetName val="_97_207COSRP11.xls__97_207_2557"/>
      <sheetName val="_97_207COSRP11.xls_B________857"/>
      <sheetName val="_97_207COSRP11.xls_B________858"/>
      <sheetName val="_97_207COSRP11.xls__97_207_2561"/>
      <sheetName val="_97_207COSRP11.xls__97_207_2558"/>
      <sheetName val="_97_207COSRP11.xls__97_207_2559"/>
      <sheetName val="_97_207COSRP11.xls__97_207_2560"/>
      <sheetName val="_97_207COSRP11.xls__97_207_2932"/>
      <sheetName val="_97_207COSRP11.xls_B________984"/>
      <sheetName val="_97_207COSRP11.xls_B________985"/>
      <sheetName val="_97_207COSRP11.xls__97_207_2936"/>
      <sheetName val="_97_207COSRP11.xls__97_207_2933"/>
      <sheetName val="_97_207COSRP11.xls__97_207_2934"/>
      <sheetName val="_97_207COSRP11.xls__97_207_2935"/>
      <sheetName val="_97_207COSRP11.xls__97_207_2562"/>
      <sheetName val="_97_207COSRP11.xls_B________859"/>
      <sheetName val="_97_207COSRP11.xls_B________860"/>
      <sheetName val="_97_207COSRP11.xls__97_207_2566"/>
      <sheetName val="_97_207COSRP11.xls__97_207_2563"/>
      <sheetName val="_97_207COSRP11.xls__97_207_2564"/>
      <sheetName val="_97_207COSRP11.xls__97_207_2565"/>
      <sheetName val="_97_207COSRP11.xls__97_207_2567"/>
      <sheetName val="_97_207COSRP11.xls_B________861"/>
      <sheetName val="_97_207COSRP11.xls_B________862"/>
      <sheetName val="_97_207COSRP11.xls__97_207_2571"/>
      <sheetName val="_97_207COSRP11.xls__97_207_2568"/>
      <sheetName val="_97_207COSRP11.xls__97_207_2569"/>
      <sheetName val="_97_207COSRP11.xls__97_207_2570"/>
      <sheetName val="_97_207COSRP11.xls__97_207_2576"/>
      <sheetName val="_97_207COSRP11.xls_B________865"/>
      <sheetName val="_97_207COSRP11.xls_B________866"/>
      <sheetName val="_97_207COSRP11.xls__97_207_2580"/>
      <sheetName val="_97_207COSRP11.xls__97_207_2577"/>
      <sheetName val="_97_207COSRP11.xls__97_207_2578"/>
      <sheetName val="_97_207COSRP11.xls__97_207_2579"/>
      <sheetName val="_97_207COSRP11.xls__97_207_2572"/>
      <sheetName val="_97_207COSRP11.xls_B________863"/>
      <sheetName val="_97_207COSRP11.xls_B________864"/>
      <sheetName val="_97_207COSRP11.xls__97_207_2573"/>
      <sheetName val="_97_207COSRP11.xls__97_207_2574"/>
      <sheetName val="_97_207COSRP11.xls__97_207_2575"/>
      <sheetName val="_97_207COSRP11.xls__97_207_2848"/>
      <sheetName val="_97_207COSRP11.xls_B________953"/>
      <sheetName val="_97_207COSRP11.xls_B________954"/>
      <sheetName val="_97_207COSRP11.xls__97_207_2855"/>
      <sheetName val="_97_207COSRP11.xls__97_207_2849"/>
      <sheetName val="_97_207COSRP11.xls__97_207_2850"/>
      <sheetName val="_97_207COSRP11.xls__97_207_2851"/>
      <sheetName val="_97_207COSRP11.xls__97_207_2852"/>
      <sheetName val="_97_207COSRP11.xls__97_207_2856"/>
      <sheetName val="_97_207COSRP11.xls_B________955"/>
      <sheetName val="_97_207COSRP11.xls__97_207_2853"/>
      <sheetName val="_97_207COSRP11.xls__97_207_2854"/>
      <sheetName val="_97_207COSRP11.xls__97_207_2857"/>
      <sheetName val="_97_207COSRP11.xls__97_207_2690"/>
      <sheetName val="_97_207COSRP11.xls__97_207_2691"/>
      <sheetName val="_97_207COSRP11.xls__97_207_2692"/>
      <sheetName val="_97_207COSRP11.xls_B________902"/>
      <sheetName val="_97_207COSRP11.xls_B________903"/>
      <sheetName val="_97_207COSRP11.xls__97_207_2697"/>
      <sheetName val="_97_207COSRP11.xls__97_207_2693"/>
      <sheetName val="_97_207COSRP11.xls__97_207_2698"/>
      <sheetName val="_97_207COSRP11.xls_B________904"/>
      <sheetName val="_97_207COSRP11.xls__97_207_2694"/>
      <sheetName val="_97_207COSRP11.xls__97_207_2695"/>
      <sheetName val="_97_207COSRP11.xls__97_207_2696"/>
      <sheetName val="_97_207COSRP11.xls__97_207_2699"/>
      <sheetName val="_97_207COSRP11.xls__97_207_2683"/>
      <sheetName val="_97_207COSRP11.xls__97_207_2684"/>
      <sheetName val="_97_207COSRP11.xls__97_207_2685"/>
      <sheetName val="_97_207COSRP11.xls_B________899"/>
      <sheetName val="_97_207COSRP11.xls_B________900"/>
      <sheetName val="_97_207COSRP11.xls__97_207_2686"/>
      <sheetName val="_97_207COSRP11.xls_B________901"/>
      <sheetName val="_97_207COSRP11.xls__97_207_2687"/>
      <sheetName val="_97_207COSRP11.xls__97_207_2688"/>
      <sheetName val="_97_207COSRP11.xls__97_207_2689"/>
      <sheetName val="_97_207COSRP11.xls__97_207_2680"/>
      <sheetName val="_97_207COSRP11.xls__97_207_2681"/>
      <sheetName val="_97_207COSRP11.xls__97_207_2682"/>
      <sheetName val="_97_207COSRP11.xls__97_207_2650"/>
      <sheetName val="_97_207COSRP11.xls__97_207_2651"/>
      <sheetName val="_97_207COSRP11.xls__97_207_2652"/>
      <sheetName val="_97_207COSRP11.xls_B________890"/>
      <sheetName val="_97_207COSRP11.xls_B________891"/>
      <sheetName val="_97_207COSRP11.xls__97_207_2657"/>
      <sheetName val="_97_207COSRP11.xls__97_207_2653"/>
      <sheetName val="_97_207COSRP11.xls__97_207_2654"/>
      <sheetName val="_97_207COSRP11.xls__97_207_2658"/>
      <sheetName val="_97_207COSRP11.xls_B________892"/>
      <sheetName val="_97_207COSRP11.xls__97_207_2655"/>
      <sheetName val="_97_207COSRP11.xls__97_207_2656"/>
      <sheetName val="_97_207COSRP11.xls__97_207_2659"/>
      <sheetName val="_97_207COSRP11.xls_B________869"/>
      <sheetName val="_97_207COSRP11.xls_B________870"/>
      <sheetName val="_97_207COSRP11.xls__97_207_2584"/>
      <sheetName val="_97_207COSRP11.xls__97_207_2581"/>
      <sheetName val="_97_207COSRP11.xls__97_207_2585"/>
      <sheetName val="_97_207COSRP11.xls_B________871"/>
      <sheetName val="_97_207COSRP11.xls__97_207_2582"/>
      <sheetName val="_97_207COSRP11.xls__97_207_2583"/>
      <sheetName val="_97_207COSRP11.xls__97_207_2586"/>
      <sheetName val="_97_207COSRP11.xls_B________867"/>
      <sheetName val="_97_207COSRP11.xls_B________868"/>
      <sheetName val="_97_207COSRP11.xls_B________872"/>
      <sheetName val="_97_207COSRP11.xls_B________873"/>
      <sheetName val="_97_207COSRP11.xls__97_207_2605"/>
      <sheetName val="_97_207COSRP11.xls__97_207_2587"/>
      <sheetName val="_97_207COSRP11.xls__97_207_2588"/>
      <sheetName val="_97_207COSRP11.xls__97_207_2606"/>
      <sheetName val="_97_207COSRP11.xls_B________874"/>
      <sheetName val="_97_207COSRP11.xls__97_207_2589"/>
      <sheetName val="_97_207COSRP11.xls__97_207_2590"/>
      <sheetName val="_97_207COSRP11.xls__97_207_2607"/>
      <sheetName val="_97_207COSRP11.xls_B________881"/>
      <sheetName val="_97_207COSRP11.xls_B________882"/>
      <sheetName val="_97_207COSRP11.xls__97_207_2612"/>
      <sheetName val="_97_207COSRP11.xls__97_207_2608"/>
      <sheetName val="_97_207COSRP11.xls__97_207_2609"/>
      <sheetName val="_97_207COSRP11.xls__97_207_2613"/>
      <sheetName val="_97_207COSRP11.xls_B________883"/>
      <sheetName val="_97_207COSRP11.xls__97_207_2610"/>
      <sheetName val="_97_207COSRP11.xls__97_207_2611"/>
      <sheetName val="_97_207COSRP11.xls__97_207_2614"/>
      <sheetName val="_97_207COSRP11.xls__97_207_2591"/>
      <sheetName val="_97_207COSRP11.xls__97_207_2592"/>
      <sheetName val="_97_207COSRP11.xls__97_207_2593"/>
      <sheetName val="_97_207COSRP11.xls_B________875"/>
      <sheetName val="_97_207COSRP11.xls_B________876"/>
      <sheetName val="_97_207COSRP11.xls__97_207_2594"/>
      <sheetName val="_97_207COSRP11.xls__97_207_2595"/>
      <sheetName val="_97_207COSRP11.xls_B________877"/>
      <sheetName val="_97_207COSRP11.xls__97_207_2596"/>
      <sheetName val="_97_207COSRP11.xls__97_207_2597"/>
      <sheetName val="_97_207COSRP11.xls__97_207_2598"/>
      <sheetName val="_97_207COSRP11.xls__97_207_2599"/>
      <sheetName val="_97_207COSRP11.xls__97_207_2600"/>
      <sheetName val="_97_207COSRP11.xls_B________878"/>
      <sheetName val="_97_207COSRP11.xls_B________879"/>
      <sheetName val="_97_207COSRP11.xls__97_207_2601"/>
      <sheetName val="_97_207COSRP11.xls__97_207_2602"/>
      <sheetName val="_97_207COSRP11.xls_B________880"/>
      <sheetName val="_97_207COSRP11.xls__97_207_2603"/>
      <sheetName val="_97_207COSRP11.xls__97_207_2604"/>
      <sheetName val="_97_207COSRP11.xls_B________884"/>
      <sheetName val="_97_207COSRP11.xls_B________885"/>
      <sheetName val="_97_207COSRP11.xls__97_207_2643"/>
      <sheetName val="_97_207COSRP11.xls__97_207_2615"/>
      <sheetName val="_97_207COSRP11.xls__97_207_2616"/>
      <sheetName val="_97_207COSRP11.xls__97_207_2644"/>
      <sheetName val="_97_207COSRP11.xls_B________886"/>
      <sheetName val="_97_207COSRP11.xls__97_207_2617"/>
      <sheetName val="_97_207COSRP11.xls__97_207_2618"/>
      <sheetName val="_97_207COSRP11.xls__97_207_2645"/>
      <sheetName val="_97_207COSRP11.xls__97_207_2640"/>
      <sheetName val="_97_207COSRP11.xls__97_207_2641"/>
      <sheetName val="_97_207COSRP11.xls__97_207_2642"/>
      <sheetName val="_97_207COSRP11.xls__97_207_2626"/>
      <sheetName val="_97_207COSRP11.xls__97_207_2627"/>
      <sheetName val="_97_207COSRP11.xls__97_207_2628"/>
      <sheetName val="_97_207COSRP11.xls__97_207_2633"/>
      <sheetName val="_97_207COSRP11.xls__97_207_2629"/>
      <sheetName val="_97_207COSRP11.xls__97_207_2630"/>
      <sheetName val="_97_207COSRP11.xls__97_207_2634"/>
      <sheetName val="_97_207COSRP11.xls__97_207_2631"/>
      <sheetName val="_97_207COSRP11.xls__97_207_2632"/>
      <sheetName val="_97_207COSRP11.xls__97_207_2635"/>
      <sheetName val="_97_207COSRP11.xls__97_207_2619"/>
      <sheetName val="_97_207COSRP11.xls__97_207_2620"/>
      <sheetName val="_97_207COSRP11.xls__97_207_2621"/>
      <sheetName val="_97_207COSRP11.xls__97_207_2622"/>
      <sheetName val="_97_207COSRP11.xls__97_207_2623"/>
      <sheetName val="_97_207COSRP11.xls__97_207_2624"/>
      <sheetName val="_97_207COSRP11.xls__97_207_2625"/>
      <sheetName val="_97_207COSRP11.xls__97_207_2636"/>
      <sheetName val="_97_207COSRP11.xls__97_207_2637"/>
      <sheetName val="_97_207COSRP11.xls__97_207_2638"/>
      <sheetName val="_97_207COSRP11.xls__97_207_2639"/>
      <sheetName val="_97_207COSRP11.xls_B________887"/>
      <sheetName val="_97_207COSRP11.xls_B________888"/>
      <sheetName val="_97_207COSRP11.xls__97_207_2646"/>
      <sheetName val="_97_207COSRP11.xls__97_207_2647"/>
      <sheetName val="_97_207COSRP11.xls_B________889"/>
      <sheetName val="_97_207COSRP11.xls__97_207_2648"/>
      <sheetName val="_97_207COSRP11.xls__97_207_2649"/>
      <sheetName val="_97_207COSRP11.xls_B________893"/>
      <sheetName val="_97_207COSRP11.xls_B________894"/>
      <sheetName val="_97_207COSRP11.xls__97_207_2670"/>
      <sheetName val="_97_207COSRP11.xls__97_207_2660"/>
      <sheetName val="_97_207COSRP11.xls__97_207_2661"/>
      <sheetName val="_97_207COSRP11.xls__97_207_2671"/>
      <sheetName val="_97_207COSRP11.xls_B________895"/>
      <sheetName val="_97_207COSRP11.xls__97_207_2662"/>
      <sheetName val="_97_207COSRP11.xls__97_207_2663"/>
      <sheetName val="_97_207COSRP11.xls__97_207_2672"/>
      <sheetName val="_97_207COSRP11.xls__97_207_2664"/>
      <sheetName val="_97_207COSRP11.xls__97_207_2665"/>
      <sheetName val="_97_207COSRP11.xls__97_207_2666"/>
      <sheetName val="_97_207COSRP11.xls__97_207_2667"/>
      <sheetName val="_97_207COSRP11.xls__97_207_2668"/>
      <sheetName val="_97_207COSRP11.xls__97_207_2669"/>
      <sheetName val="_97_207COSRP11.xls_B________896"/>
      <sheetName val="_97_207COSRP11.xls_B________897"/>
      <sheetName val="_97_207COSRP11.xls__97_207_2673"/>
      <sheetName val="_97_207COSRP11.xls__97_207_2674"/>
      <sheetName val="_97_207COSRP11.xls_B________898"/>
      <sheetName val="_97_207COSRP11.xls__97_207_2675"/>
      <sheetName val="_97_207COSRP11.xls__97_207_2676"/>
      <sheetName val="_97_207COSRP11.xls__97_207_2677"/>
      <sheetName val="_97_207COSRP11.xls__97_207_2678"/>
      <sheetName val="_97_207COSRP11.xls__97_207_2679"/>
      <sheetName val="_97_207COSRP11.xls__97_207_2714"/>
      <sheetName val="_97_207COSRP11.xls__97_207_2715"/>
      <sheetName val="_97_207COSRP11.xls__97_207_2716"/>
      <sheetName val="_97_207COSRP11.xls_B________911"/>
      <sheetName val="_97_207COSRP11.xls_B________912"/>
      <sheetName val="_97_207COSRP11.xls__97_207_2721"/>
      <sheetName val="_97_207COSRP11.xls__97_207_2717"/>
      <sheetName val="_97_207COSRP11.xls__97_207_2722"/>
      <sheetName val="_97_207COSRP11.xls_B________913"/>
      <sheetName val="_97_207COSRP11.xls__97_207_2718"/>
      <sheetName val="_97_207COSRP11.xls__97_207_2719"/>
      <sheetName val="_97_207COSRP11.xls__97_207_2720"/>
      <sheetName val="_97_207COSRP11.xls__97_207_2723"/>
      <sheetName val="_97_207COSRP11.xls_B________905"/>
      <sheetName val="_97_207COSRP11.xls_B________906"/>
      <sheetName val="_97_207COSRP11.xls__97_207_2700"/>
      <sheetName val="_97_207COSRP11.xls_B________907"/>
      <sheetName val="_97_207COSRP11.xls__97_207_2701"/>
      <sheetName val="_97_207COSRP11.xls__97_207_2702"/>
      <sheetName val="_97_207COSRP11.xls__97_207_2703"/>
      <sheetName val="_97_207COSRP11.xls__97_207_2704"/>
      <sheetName val="_97_207COSRP11.xls__97_207_2705"/>
      <sheetName val="_97_207COSRP11.xls__97_207_2706"/>
      <sheetName val="_97_207COSRP11.xls__97_207_2707"/>
      <sheetName val="_97_207COSRP11.xls__97_207_2708"/>
      <sheetName val="_97_207COSRP11.xls__97_207_2709"/>
      <sheetName val="_97_207COSRP11.xls_B________908"/>
      <sheetName val="_97_207COSRP11.xls_B________909"/>
      <sheetName val="_97_207COSRP11.xls__97_207_2710"/>
      <sheetName val="_97_207COSRP11.xls_B________910"/>
      <sheetName val="_97_207COSRP11.xls__97_207_2711"/>
      <sheetName val="_97_207COSRP11.xls__97_207_2712"/>
      <sheetName val="_97_207COSRP11.xls__97_207_2713"/>
      <sheetName val="_97_207COSRP11.xls__97_207_2724"/>
      <sheetName val="_97_207COSRP11.xls__97_207_2725"/>
      <sheetName val="_97_207COSRP11.xls__97_207_2726"/>
      <sheetName val="_97_207COSRP11.xls_B________914"/>
      <sheetName val="_97_207COSRP11.xls_B________915"/>
      <sheetName val="_97_207COSRP11.xls__97_207_2731"/>
      <sheetName val="_97_207COSRP11.xls__97_207_2727"/>
      <sheetName val="_97_207COSRP11.xls__97_207_2728"/>
      <sheetName val="_97_207COSRP11.xls__97_207_2732"/>
      <sheetName val="_97_207COSRP11.xls__97_207_2733"/>
      <sheetName val="_97_207COSRP11.xls_B________916"/>
      <sheetName val="_97_207COSRP11.xls__97_207_2729"/>
      <sheetName val="_97_207COSRP11.xls__97_207_2730"/>
      <sheetName val="_97_207COSRP11.xls__97_207_2734"/>
      <sheetName val="_97_207COSRP11.xls__97_207_2735"/>
      <sheetName val="_97_207COSRP11.xls__97_207_2736"/>
      <sheetName val="_97_207COSRP11.xls_B________917"/>
      <sheetName val="_97_207COSRP11.xls_B________918"/>
      <sheetName val="_97_207COSRP11.xls__97_207_2741"/>
      <sheetName val="_97_207COSRP11.xls__97_207_2737"/>
      <sheetName val="_97_207COSRP11.xls__97_207_2738"/>
      <sheetName val="_97_207COSRP11.xls__97_207_2742"/>
      <sheetName val="_97_207COSRP11.xls_B________919"/>
      <sheetName val="_97_207COSRP11.xls__97_207_2739"/>
      <sheetName val="_97_207COSRP11.xls__97_207_2740"/>
      <sheetName val="_97_207COSRP11.xls__97_207_2743"/>
      <sheetName val="_97_207COSRP11.xls__97_207_2744"/>
      <sheetName val="_97_207COSRP11.xls__97_207_2745"/>
      <sheetName val="_97_207COSRP11.xls__97_207_2746"/>
      <sheetName val="_97_207COSRP11.xls__97_207_2747"/>
      <sheetName val="_97_207COSRP11.xls__97_207_2748"/>
      <sheetName val="_97_207COSRP11.xls__97_207_2749"/>
      <sheetName val="_97_207COSRP11.xls_B________920"/>
      <sheetName val="_97_207COSRP11.xls_B________921"/>
      <sheetName val="_97_207COSRP11.xls__97_207_2754"/>
      <sheetName val="_97_207COSRP11.xls__97_207_2750"/>
      <sheetName val="_97_207COSRP11.xls__97_207_2751"/>
      <sheetName val="_97_207COSRP11.xls__97_207_2755"/>
      <sheetName val="_97_207COSRP11.xls__97_207_2756"/>
      <sheetName val="_97_207COSRP11.xls_B________922"/>
      <sheetName val="_97_207COSRP11.xls__97_207_2752"/>
      <sheetName val="_97_207COSRP11.xls__97_207_2753"/>
      <sheetName val="_97_207COSRP11.xls__97_207_2764"/>
      <sheetName val="_97_207COSRP11.xls__97_207_2765"/>
      <sheetName val="_97_207COSRP11.xls__97_207_2766"/>
      <sheetName val="_97_207COSRP11.xls_B________926"/>
      <sheetName val="_97_207COSRP11.xls_B________927"/>
      <sheetName val="_97_207COSRP11.xls__97_207_2771"/>
      <sheetName val="_97_207COSRP11.xls__97_207_2767"/>
      <sheetName val="_97_207COSRP11.xls__97_207_2768"/>
      <sheetName val="_97_207COSRP11.xls__97_207_2772"/>
      <sheetName val="_97_207COSRP11.xls__97_207_2773"/>
      <sheetName val="_97_207COSRP11.xls_B________928"/>
      <sheetName val="_97_207COSRP11.xls__97_207_2769"/>
      <sheetName val="_97_207COSRP11.xls__97_207_2770"/>
      <sheetName val="_97_207COSRP11.xls_B________923"/>
      <sheetName val="_97_207COSRP11.xls_B________924"/>
      <sheetName val="_97_207COSRP11.xls__97_207_2761"/>
      <sheetName val="_97_207COSRP11.xls__97_207_2757"/>
      <sheetName val="_97_207COSRP11.xls__97_207_2762"/>
      <sheetName val="_97_207COSRP11.xls_B________925"/>
      <sheetName val="_97_207COSRP11.xls__97_207_2758"/>
      <sheetName val="_97_207COSRP11.xls__97_207_2759"/>
      <sheetName val="_97_207COSRP11.xls__97_207_2760"/>
      <sheetName val="_97_207COSRP11.xls__97_207_2763"/>
      <sheetName val="_97_207COSRP11.xls__97_207_2774"/>
      <sheetName val="_97_207COSRP11.xls__97_207_2775"/>
      <sheetName val="_97_207COSRP11.xls__97_207_2776"/>
      <sheetName val="_97_207COSRP11.xls_B________929"/>
      <sheetName val="_97_207COSRP11.xls_B________930"/>
      <sheetName val="_97_207COSRP11.xls__97_207_2777"/>
      <sheetName val="_97_207COSRP11.xls__97_207_2778"/>
      <sheetName val="_97_207COSRP11.xls_B________931"/>
      <sheetName val="_97_207COSRP11.xls__97_207_2779"/>
      <sheetName val="_97_207COSRP11.xls__97_207_2780"/>
      <sheetName val="_97_207COSRP11.xls__97_207_2781"/>
      <sheetName val="_97_207COSRP11.xls__97_207_2782"/>
      <sheetName val="_97_207COSRP11.xls__97_207_2783"/>
      <sheetName val="_97_207COSRP11.xls__97_207_2784"/>
      <sheetName val="_97_207COSRP11.xls__97_207_2785"/>
      <sheetName val="_97_207COSRP11.xls__97_207_2786"/>
      <sheetName val="_97_207COSRP11.xls_B________932"/>
      <sheetName val="_97_207COSRP11.xls_B________933"/>
      <sheetName val="_97_207COSRP11.xls__97_207_2794"/>
      <sheetName val="_97_207COSRP11.xls__97_207_2787"/>
      <sheetName val="_97_207COSRP11.xls__97_207_2788"/>
      <sheetName val="_97_207COSRP11.xls__97_207_2795"/>
      <sheetName val="_97_207COSRP11.xls_B________934"/>
      <sheetName val="_97_207COSRP11.xls__97_207_2789"/>
      <sheetName val="_97_207COSRP11.xls__97_207_2790"/>
      <sheetName val="_97_207COSRP11.xls__97_207_2796"/>
      <sheetName val="_97_207COSRP11.xls__97_207_2791"/>
      <sheetName val="_97_207COSRP11.xls__97_207_2792"/>
      <sheetName val="_97_207COSRP11.xls__97_207_2793"/>
      <sheetName val="_97_207COSRP11.xls__97_207_2797"/>
      <sheetName val="_97_207COSRP11.xls__97_207_2798"/>
      <sheetName val="_97_207COSRP11.xls__97_207_2799"/>
      <sheetName val="_97_207COSRP11.xls__97_207_2818"/>
      <sheetName val="_97_207COSRP11.xls__97_207_2819"/>
      <sheetName val="_97_207COSRP11.xls__97_207_2820"/>
      <sheetName val="_97_207COSRP11.xls_B________944"/>
      <sheetName val="_97_207COSRP11.xls_B________945"/>
      <sheetName val="_97_207COSRP11.xls__97_207_2825"/>
      <sheetName val="_97_207COSRP11.xls__97_207_2821"/>
      <sheetName val="_97_207COSRP11.xls__97_207_2822"/>
      <sheetName val="_97_207COSRP11.xls__97_207_2826"/>
      <sheetName val="_97_207COSRP11.xls__97_207_2827"/>
      <sheetName val="_97_207COSRP11.xls_B________946"/>
      <sheetName val="_97_207COSRP11.xls__97_207_2823"/>
      <sheetName val="_97_207COSRP11.xls__97_207_2824"/>
      <sheetName val="_97_207COSRP11.xls__97_207_2804"/>
      <sheetName val="_97_207COSRP11.xls__97_207_2805"/>
      <sheetName val="_97_207COSRP11.xls__97_207_2806"/>
      <sheetName val="_97_207COSRP11.xls_B________938"/>
      <sheetName val="_97_207COSRP11.xls_B________939"/>
      <sheetName val="_97_207COSRP11.xls__97_207_2807"/>
      <sheetName val="_97_207COSRP11.xls__97_207_2808"/>
      <sheetName val="_97_207COSRP11.xls_B________940"/>
      <sheetName val="_97_207COSRP11.xls__97_207_2809"/>
      <sheetName val="_97_207COSRP11.xls__97_207_2810"/>
      <sheetName val="_97_207COSRP11.xls_B________935"/>
      <sheetName val="_97_207COSRP11.xls_B________936"/>
      <sheetName val="_97_207COSRP11.xls__97_207_2800"/>
      <sheetName val="_97_207COSRP11.xls__97_207_2801"/>
      <sheetName val="_97_207COSRP11.xls_B________937"/>
      <sheetName val="_97_207COSRP11.xls__97_207_2802"/>
      <sheetName val="_97_207COSRP11.xls__97_207_2803"/>
      <sheetName val="_97_207COSRP11.xls__97_207_2811"/>
      <sheetName val="_97_207COSRP11.xls__97_207_2812"/>
      <sheetName val="_97_207COSRP11.xls__97_207_2813"/>
      <sheetName val="_97_207COSRP11.xls_B________941"/>
      <sheetName val="_97_207COSRP11.xls_B________942"/>
      <sheetName val="_97_207COSRP11.xls__97_207_2814"/>
      <sheetName val="_97_207COSRP11.xls__97_207_2815"/>
      <sheetName val="_97_207COSRP11.xls_B________943"/>
      <sheetName val="_97_207COSRP11.xls__97_207_2816"/>
      <sheetName val="_97_207COSRP11.xls__97_207_2817"/>
      <sheetName val="_97_207COSRP11.xls_B________947"/>
      <sheetName val="_97_207COSRP11.xls_B________948"/>
      <sheetName val="_97_207COSRP11.xls__97_207_2835"/>
      <sheetName val="_97_207COSRP11.xls__97_207_2828"/>
      <sheetName val="_97_207COSRP11.xls__97_207_2829"/>
      <sheetName val="_97_207COSRP11.xls__97_207_2836"/>
      <sheetName val="_97_207COSRP11.xls__97_207_2837"/>
      <sheetName val="_97_207COSRP11.xls_B________949"/>
      <sheetName val="_97_207COSRP11.xls__97_207_2830"/>
      <sheetName val="_97_207COSRP11.xls__97_207_2831"/>
      <sheetName val="_97_207COSRP11.xls__97_207_2832"/>
      <sheetName val="_97_207COSRP11.xls__97_207_2833"/>
      <sheetName val="_97_207COSRP11.xls__97_207_2834"/>
      <sheetName val="_97_207COSRP11.xls__97_207_2838"/>
      <sheetName val="_97_207COSRP11.xls__97_207_2839"/>
      <sheetName val="_97_207COSRP11.xls__97_207_2840"/>
      <sheetName val="_97_207COSRP11.xls__97_207_2841"/>
      <sheetName val="_97_207COSRP11.xls__97_207_2842"/>
      <sheetName val="_97_207COSRP11.xls__97_207_2843"/>
      <sheetName val="_97_207COSRP11.xls_B________950"/>
      <sheetName val="_97_207COSRP11.xls_B________951"/>
      <sheetName val="_97_207COSRP11.xls__97_207_2844"/>
      <sheetName val="_97_207COSRP11.xls__97_207_2845"/>
      <sheetName val="_97_207COSRP11.xls_B________952"/>
      <sheetName val="_97_207COSRP11.xls__97_207_2846"/>
      <sheetName val="_97_207COSRP11.xls__97_207_2847"/>
      <sheetName val="_97_207COSRP11_xls_B________475"/>
      <sheetName val="_97_207COSRP11_xls_B________476"/>
      <sheetName val="_97_207COSRP11_xls__97_207C_751"/>
      <sheetName val="_97_207COSRP11_xls__97_207C_752"/>
      <sheetName val="_97_207COSRP11_xls__97_207COSR4"/>
      <sheetName val="_97_207COSRP11_xls__97_207C_753"/>
      <sheetName val="_97_207COSRP11_xls__97_207C_754"/>
      <sheetName val="_97_207COSRP11_xls__97_207C_755"/>
      <sheetName val="_97_207COSRP11_xls__97_207C_756"/>
      <sheetName val="_97_207COSRP11_xls_B________477"/>
      <sheetName val="_97_207COSRP11_xls_B________478"/>
      <sheetName val="_97_207COSRP11_xls__97_207COS25"/>
      <sheetName val="_97_207COSRP11_xls__97_207COS26"/>
      <sheetName val="_97_207COSRP11_xls__97_207COS27"/>
      <sheetName val="_97_207COSRP11_xls__97_207COS28"/>
      <sheetName val="_97_207COSRP11_xls__97_207COS29"/>
      <sheetName val="_97_207COSRP11_xls__97_207COS30"/>
      <sheetName val="_97_207COSRP11_xls_B________479"/>
      <sheetName val="_97_207COSRP11_xls_B________480"/>
      <sheetName val="_97_207COSRP11_xls__97_207CO280"/>
      <sheetName val="_97_207COSRP11_xls__97_207COS31"/>
      <sheetName val="_97_207COSRP11_xls__97_207COS32"/>
      <sheetName val="_97_207COSRP11_xls__97_207CO281"/>
      <sheetName val="_97_207COSRP11_xls__97_207CO282"/>
      <sheetName val="_97_207COSRP11_xls__97_207CO283"/>
      <sheetName val="_97_207COSRP11_xls_B________481"/>
      <sheetName val="_97_207COSRP11_xls_B________482"/>
      <sheetName val="_97_207COSRP11_xls__97_207C_757"/>
      <sheetName val="_97_207COSRP11_xls__97_207C_758"/>
      <sheetName val="_97_207COSRP11_xls__97_207C_759"/>
      <sheetName val="_97_207COSRP11_xls__97_207C_760"/>
      <sheetName val="_97_207COSRP11_xls__97_207C_761"/>
      <sheetName val="_97_207COSRP11_xls__97_207C_762"/>
      <sheetName val="_97_207COSRP11_xls_B________483"/>
      <sheetName val="_97_207COSRP11_xls_B________484"/>
      <sheetName val="_97_207COSRP11_xls__97_207CO284"/>
      <sheetName val="_97_207COSRP11_xls__97_207CO285"/>
      <sheetName val="_97_207COSRP11_xls__97_207CO286"/>
      <sheetName val="_97_207COSRP11_xls__97_207CO287"/>
      <sheetName val="_97_207COSRP11_xls_B________485"/>
      <sheetName val="_97_207COSRP11_xls_B________486"/>
      <sheetName val="_97_207COSRP11_xls__97_207CO288"/>
      <sheetName val="_97_207COSRP11_xls__97_207CO289"/>
      <sheetName val="_97_207COSRP11_xls__97_207CO290"/>
      <sheetName val="_97_207COSRP11_xls__97_207CO291"/>
      <sheetName val="_97_207COSRP11_xls_B________487"/>
      <sheetName val="_97_207COSRP11_xls_B________488"/>
      <sheetName val="_97_207COSRP11_xls__97_207CO292"/>
      <sheetName val="_97_207COSRP11_xls__97_207CO293"/>
      <sheetName val="_97_207COSRP11_xls__97_207CO294"/>
      <sheetName val="_97_207COSRP11_xls__97_207CO295"/>
      <sheetName val="_97_207COSRP11_xls_B________489"/>
      <sheetName val="_97_207COSRP11_xls_B________490"/>
      <sheetName val="_97_207COSRP11_xls__97_207CO296"/>
      <sheetName val="_97_207COSRP11_xls__97_207CO297"/>
      <sheetName val="_97_207COSRP11_xls__97_207CO298"/>
      <sheetName val="_97_207COSRP11_xls__97_207CO299"/>
      <sheetName val="_97_207COSRP11_xls_B________491"/>
      <sheetName val="_97_207COSRP11_xls_B________492"/>
      <sheetName val="_97_207COSRP11_xls_B________493"/>
      <sheetName val="_97_207COSRP11_xls_B________494"/>
      <sheetName val="_97_207COSRP11_xls_B________495"/>
      <sheetName val="_97_207COSRP11_xls_B________496"/>
      <sheetName val="_97_207COSRP11_xls__97_207CO300"/>
      <sheetName val="_97_207COSRP11_xls__97_207CO301"/>
      <sheetName val="_97_207COSRP11_xls__97_207CO302"/>
      <sheetName val="_97_207COSRP11_xls__97_207CO303"/>
      <sheetName val="_97_207COSRP11_xls_B________497"/>
      <sheetName val="_97_207COSRP11_xls_B________498"/>
      <sheetName val="_97_207COSRP11_xls__97_207CO304"/>
      <sheetName val="_97_207COSRP11_xls__97_207CO305"/>
      <sheetName val="_97_207COSRP11_xls_B________499"/>
      <sheetName val="_97_207COSRP11_xls_B________500"/>
      <sheetName val="_97_207COSRP11_xls__97_207CO306"/>
      <sheetName val="_97_207COSRP11_xls__97_207CO307"/>
      <sheetName val="_97_207COSRP11_xls__97_207CO308"/>
      <sheetName val="_97_207COSRP11_xls_B________501"/>
      <sheetName val="_97_207COSRP11_xls_B________502"/>
      <sheetName val="_97_207COSRP11_xls__97_207CO309"/>
      <sheetName val="_97_207COSRP11_xls__97_207CO310"/>
      <sheetName val="_97_207COSRP11_xls__97_207CO311"/>
      <sheetName val="_97_207COSRP11_xls_B________503"/>
      <sheetName val="_97_207COSRP11_xls_B________504"/>
      <sheetName val="_97_207COSRP11_xls__97_207CO312"/>
      <sheetName val="_97_207COSRP11_xls__97_207CO313"/>
      <sheetName val="_97_207COSRP11_xls__97_207CO314"/>
      <sheetName val="_97_207COSRP11_xls__97_207CO315"/>
      <sheetName val="_97_207COSRP11_xls__97_207CO316"/>
      <sheetName val="_97_207COSRP11_xls__97_207CO317"/>
      <sheetName val="_97_207COSRP11_xls_B________505"/>
      <sheetName val="_97_207COSRP11_xls_B________506"/>
      <sheetName val="_97_207COSRP11_xls_B________507"/>
      <sheetName val="_97_207COSRP11_xls_B________508"/>
      <sheetName val="_97_207COSRP11_xls__97_207CO318"/>
      <sheetName val="_97_207COSRP11_xls__97_207CO319"/>
      <sheetName val="_97_207COSRP11_xls__97_207CO320"/>
      <sheetName val="_97_207COSRP11_xls__97_207CO321"/>
      <sheetName val="_97_207COSRP11_xls_B________509"/>
      <sheetName val="_97_207COSRP11_xls_B________510"/>
      <sheetName val="_97_207COSRP11_xls__97_207CO322"/>
      <sheetName val="_97_207COSRP11_xls__97_207CO323"/>
      <sheetName val="_97_207COSRP11_xls__97_207CO324"/>
      <sheetName val="_97_207COSRP11_xls__97_207CO325"/>
      <sheetName val="_97_207COSRP11_xls__97_207CO326"/>
      <sheetName val="_97_207COSRP11_xls__97_207CO327"/>
      <sheetName val="_97_207COSRP11_xls__97_207CO328"/>
      <sheetName val="_97_207COSRP11_xls_B________511"/>
      <sheetName val="_97_207COSRP11_xls_B________512"/>
      <sheetName val="_97_207COSRP11_xls__97_207CO329"/>
      <sheetName val="_97_207COSRP11_xls__97_207CO330"/>
      <sheetName val="_97_207COSRP11_xls__97_207CO331"/>
      <sheetName val="_97_207COSRP11_xls__97_207CO332"/>
      <sheetName val="_97_207COSRP11_xls__97_207CO333"/>
      <sheetName val="_97_207COSRP11_xls_B________513"/>
      <sheetName val="_97_207COSRP11_xls_B________514"/>
      <sheetName val="_97_207COSRP11_xls__97_207CO334"/>
      <sheetName val="_97_207COSRP11_xls__97_207CO335"/>
      <sheetName val="_97_207COSRP11_xls__97_207CO336"/>
      <sheetName val="_97_207COSRP11_xls__97_207CO337"/>
      <sheetName val="_97_207COSRP11_xls__97_207CO338"/>
      <sheetName val="_97_207COSRP11_xls__97_207CO339"/>
      <sheetName val="_97_207COSRP11_xls_B________515"/>
      <sheetName val="_97_207COSRP11_xls_B________516"/>
      <sheetName val="_97_207COSRP11_xls__97_207CO340"/>
      <sheetName val="_97_207COSRP11_xls__97_207CO341"/>
      <sheetName val="_97_207COSRP11_xls__97_207CO342"/>
      <sheetName val="_97_207COSRP11_xls__97_207CO343"/>
      <sheetName val="_97_207COSRP11_xls__97_207CO344"/>
      <sheetName val="_97_207COSRP11_xls__97_207CO345"/>
      <sheetName val="_97_207COSRP11_xls_B________517"/>
      <sheetName val="_97_207COSRP11_xls_B________518"/>
      <sheetName val="_97_207COSRP11_xls__97_207CO346"/>
      <sheetName val="_97_207COSRP11_xls__97_207CO347"/>
      <sheetName val="_97_207COSRP11_xls__97_207CO348"/>
      <sheetName val="_97_207COSRP11_xls__97_207CO349"/>
      <sheetName val="_97_207COSRP11_xls_B________519"/>
      <sheetName val="_97_207COSRP11_xls_B________520"/>
      <sheetName val="_97_207COSRP11_xls__97_207CO350"/>
      <sheetName val="_97_207COSRP11_xls__97_207CO351"/>
      <sheetName val="_97_207COSRP11_xls_B________521"/>
      <sheetName val="_97_207COSRP11_xls_B________522"/>
      <sheetName val="_97_207COSRP11_xls__97_207CO352"/>
      <sheetName val="_97_207COSRP11_xls__97_207CO353"/>
      <sheetName val="_97_207COSRP11_xls__97_207CO354"/>
      <sheetName val="_97_207COSRP11_xls__97_207CO355"/>
      <sheetName val="_97_207COSRP11_xls_B________523"/>
      <sheetName val="_97_207COSRP11_xls_B________524"/>
      <sheetName val="_97_207COSRP11_xls_B________525"/>
      <sheetName val="_97_207COSRP11_xls_B________526"/>
      <sheetName val="_97_207COSRP11_xls_B________527"/>
      <sheetName val="_97_207COSRP11_xls_B________528"/>
      <sheetName val="_97_207COSRP11_xls__97_207CO356"/>
      <sheetName val="_97_207COSRP11_xls_B________529"/>
      <sheetName val="_97_207COSRP11_xls_B________530"/>
      <sheetName val="_97_207COSRP11_xls__97_207CO357"/>
      <sheetName val="_97_207COSRP11_xls__97_207CO358"/>
      <sheetName val="_97_207COSRP11_xls__97_207CO359"/>
      <sheetName val="_97_207COSRP11_xls_B________531"/>
      <sheetName val="_97_207COSRP11_xls_B________532"/>
      <sheetName val="_97_207COSRP11_xls__97_207CO360"/>
      <sheetName val="_97_207COSRP11_xls__97_207CO361"/>
      <sheetName val="_97_207COSRP11_xls__97_207CO362"/>
      <sheetName val="_97_207COSRP11_xls_B________533"/>
      <sheetName val="_97_207COSRP11_xls_B________534"/>
      <sheetName val="_97_207COSRP11_xls__97_207CO363"/>
      <sheetName val="_97_207COSRP11_xls__97_207CO364"/>
      <sheetName val="_97_207COSRP11_xls__97_207CO365"/>
      <sheetName val="_97_207COSRP11_xls_B________535"/>
      <sheetName val="_97_207COSRP11_xls_B________536"/>
      <sheetName val="_97_207COSRP11_xls__97_207CO366"/>
      <sheetName val="_97_207COSRP11_xls__97_207CO367"/>
      <sheetName val="_97_207COSRP11_xls_B________537"/>
      <sheetName val="_97_207COSRP11_xls_B________538"/>
      <sheetName val="_97_207COSRP11_xls__97_207C_763"/>
      <sheetName val="_97_207COSRP11_xls__97_207CO368"/>
      <sheetName val="_97_207COSRP11_xls__97_207CO369"/>
      <sheetName val="_97_207COSRP11_xls__97_207C_764"/>
      <sheetName val="_97_207COSRP11_xls__97_207C_765"/>
      <sheetName val="_97_207COSRP11_xls__97_207C_766"/>
      <sheetName val="_97_207COSRP11_xls_B________539"/>
      <sheetName val="_97_207COSRP11_xls_B________540"/>
      <sheetName val="_97_207COSRP11_xls__97_207C_767"/>
      <sheetName val="_97_207COSRP11_xls__97_207C_768"/>
      <sheetName val="_97_207COSRP11_xls__97_207C_769"/>
      <sheetName val="_97_207COSRP11_xls__97_207C_770"/>
      <sheetName val="_97_207COSRP11_xls__97_207C_771"/>
      <sheetName val="_97_207COSRP11_xls_B________541"/>
      <sheetName val="_97_207COSRP11_xls_B________542"/>
      <sheetName val="_97_207COSRP11_xls__97_207C_772"/>
      <sheetName val="_97_207COSRP11_xls__97_207C_773"/>
      <sheetName val="_97_207COSRP11_xls__97_207C_774"/>
      <sheetName val="_97_207COSRP11_xls__97_207C_775"/>
      <sheetName val="_97_207COSRP11_xls_B________543"/>
      <sheetName val="_97_207COSRP11_xls_B________544"/>
      <sheetName val="_97_207COSRP11_xls__97_207C_776"/>
      <sheetName val="_97_207COSRP11_xls__97_207C_777"/>
      <sheetName val="_97_207COSRP11_xls__97_207C_778"/>
      <sheetName val="_97_207COSRP11_xls__97_207C_779"/>
      <sheetName val="_97_207COSRP11_xls__97_207C_780"/>
      <sheetName val="_97_207COSRP11_xls__97_207C_781"/>
      <sheetName val="_97_207COSRP11_xls__97_207C_782"/>
      <sheetName val="_97_207COSRP11_xls_B________545"/>
      <sheetName val="_97_207COSRP11_xls_B________546"/>
      <sheetName val="_97_207COSRP11_xls__97_207C_783"/>
      <sheetName val="_97_207COSRP11_xls__97_207C_784"/>
      <sheetName val="_97_207COSRP11_xls__97_207C_785"/>
      <sheetName val="_97_207COSRP11_xls__97_207C_786"/>
      <sheetName val="_97_207COSRP11_xls__97_207C_787"/>
      <sheetName val="_97_207COSRP11_xls__97_207C_788"/>
      <sheetName val="_97_207COSRP11_xls_B________547"/>
      <sheetName val="_97_207COSRP11_xls_B________548"/>
      <sheetName val="_97_207COSRP11_xls__97_207C_789"/>
      <sheetName val="_97_207COSRP11_xls__97_207C_790"/>
      <sheetName val="_97_207COSRP11_xls__97_207C_791"/>
      <sheetName val="_97_207COSRP11_xls__97_207C_792"/>
      <sheetName val="_97_207COSRP11_xls__97_207C_793"/>
      <sheetName val="_97_207COSRP11_xls_B________549"/>
      <sheetName val="_97_207COSRP11_xls_B________550"/>
      <sheetName val="_97_207COSRP11_xls_B________551"/>
      <sheetName val="_97_207COSRP11_xls_B________552"/>
      <sheetName val="_97_207COSRP11_xls__97_207C_794"/>
      <sheetName val="_97_207COSRP11_xls_B________553"/>
      <sheetName val="_97_207COSRP11_xls_B________554"/>
      <sheetName val="_97_207COSRP11_xls__97_207C_795"/>
      <sheetName val="_97_207COSRP11_xls__97_207C_796"/>
      <sheetName val="_97_207COSRP11_xls__97_207C_797"/>
      <sheetName val="_97_207COSRP11_xls__97_207C_798"/>
      <sheetName val="_97_207COSRP11_xls_B________555"/>
      <sheetName val="_97_207COSRP11_xls_B________556"/>
      <sheetName val="_97_207COSRP11_xls__97_207C_799"/>
      <sheetName val="_97_207COSRP11_xls__97_207C_800"/>
      <sheetName val="_97_207COSRP11_xls__97_207C_801"/>
      <sheetName val="_97_207COSRP11_xls__97_207C_802"/>
      <sheetName val="_97_207COSRP11_xls_B________557"/>
      <sheetName val="_97_207COSRP11_xls_B________558"/>
      <sheetName val="_97_207COSRP11_xls__97_207C_803"/>
      <sheetName val="_97_207COSRP11_xls__97_207C_804"/>
      <sheetName val="_97_207COSRP11_xls__97_207C_805"/>
      <sheetName val="_97_207COSRP11_xls__97_207C_806"/>
      <sheetName val="_97_207COSRP11_xls__97_207C_807"/>
      <sheetName val="_97_207COSRP11_xls__97_207C_808"/>
      <sheetName val="_97_207COSRP11_xls__97_207C_809"/>
      <sheetName val="_97_207COSRP11_xls_B________559"/>
      <sheetName val="_97_207COSRP11_xls_B________560"/>
      <sheetName val="_97_207COSRP11_xls__97_207C_810"/>
      <sheetName val="_97_207COSRP11_xls__97_207C_811"/>
      <sheetName val="_97_207COSRP11_xls__97_207C_812"/>
      <sheetName val="_97_207COSRP11_xls__97_207C_813"/>
      <sheetName val="_97_207COSRP11_xls_B________561"/>
      <sheetName val="_97_207COSRP11_xls_B________562"/>
      <sheetName val="_97_207COSRP11_xls__97_207C_814"/>
      <sheetName val="_97_207COSRP11_xls__97_207C_815"/>
      <sheetName val="_97_207COSRP11_xls_B________563"/>
      <sheetName val="_97_207COSRP11_xls_B________564"/>
      <sheetName val="_97_207COSRP11_xls__97_207C_816"/>
      <sheetName val="_97_207COSRP11_xls_B________565"/>
      <sheetName val="_97_207COSRP11_xls_B________566"/>
      <sheetName val="_97_207COSRP11_xls__97_207C_817"/>
      <sheetName val="_97_207COSRP11_xls_B________567"/>
      <sheetName val="_97_207COSRP11_xls_B________568"/>
      <sheetName val="_97_207COSRP11_xls__97_207C_818"/>
      <sheetName val="_97_207COSRP11_xls__97_207C_819"/>
      <sheetName val="_97_207COSRP11_xls__97_207C_820"/>
      <sheetName val="_97_207COSRP11_xls_B________569"/>
      <sheetName val="_97_207COSRP11_xls_B________570"/>
      <sheetName val="_97_207COSRP11_xls__97_207C_821"/>
      <sheetName val="_97_207COSRP11_xls__97_207C_822"/>
      <sheetName val="_97_207COSRP11_xls__97_207C_823"/>
      <sheetName val="_97_207COSRP11_xls_B________571"/>
      <sheetName val="_97_207COSRP11_xls_B________572"/>
      <sheetName val="_97_207COSRP11_xls__97_207C_824"/>
      <sheetName val="_97_207COSRP11_xls__97_207C_825"/>
      <sheetName val="_97_207COSRP11_xls__97_207C_826"/>
      <sheetName val="_97_207COSRP11_xls__97_207C_827"/>
      <sheetName val="_97_207COSRP11_xls_B________573"/>
      <sheetName val="_97_207COSRP11_xls_B________574"/>
      <sheetName val="_97_207COSRP11_xls__97_207C_828"/>
      <sheetName val="_97_207COSRP11_xls__97_207C_829"/>
      <sheetName val="_97_207COSRP11_xls__97_207C_830"/>
      <sheetName val="_97_207COSRP11_xls_B________575"/>
      <sheetName val="_97_207COSRP11_xls_B________576"/>
      <sheetName val="_97_207COSRP11_xls__97_207C_831"/>
      <sheetName val="_97_207COSRP11_xls__97_207C_832"/>
      <sheetName val="_97_207COSRP11_xls__97_207C_833"/>
      <sheetName val="_97_207COSRP11_xls_B________577"/>
      <sheetName val="_97_207COSRP11_xls_B________578"/>
      <sheetName val="_97_207COSRP11_xls__97_207C_834"/>
      <sheetName val="_97_207COSRP11_xls__97_207C_835"/>
      <sheetName val="_97_207COSRP11_xls__97_207C_836"/>
      <sheetName val="_97_207COSRP11_xls__97_207C_837"/>
      <sheetName val="_97_207COSRP11_xls__97_207C_838"/>
      <sheetName val="_97_207COSRP11_xls__97_207C_839"/>
      <sheetName val="_97_207COSRP11_xls__97_207C_840"/>
      <sheetName val="_97_207COSRP11_xls_B________579"/>
      <sheetName val="_97_207COSRP11_xls_B________580"/>
      <sheetName val="_97_207COSRP11_xls__97_207C_841"/>
      <sheetName val="_97_207COSRP11_xls__97_207C_842"/>
      <sheetName val="_97_207COSRP11_xls__97_207C_843"/>
      <sheetName val="_97_207COSRP11_xls__97_207C_844"/>
      <sheetName val="_97_207COSRP11_xls__97_207C_845"/>
      <sheetName val="_97_207COSRP11_xls__97_207C_846"/>
      <sheetName val="_97_207COSRP11_xls__97_207C_847"/>
      <sheetName val="_97_207COSRP11_xls__97_207C_848"/>
      <sheetName val="_97_207COSRP11_xls_B________581"/>
      <sheetName val="_97_207COSRP11_xls_B________582"/>
      <sheetName val="_97_207COSRP11_xls__97_207C_849"/>
      <sheetName val="_97_207COSRP11_xls__97_207C_850"/>
      <sheetName val="_97_207COSRP11_xls_B________583"/>
      <sheetName val="_97_207COSRP11_xls_B________584"/>
      <sheetName val="_97_207COSRP11_xls__97_207C_851"/>
      <sheetName val="_97_207COSRP11_xls__97_207C_852"/>
      <sheetName val="_97_207COSRP11_xls__97_207C_853"/>
      <sheetName val="_97_207COSRP11_xls_B________585"/>
      <sheetName val="_97_207COSRP11_xls_B________586"/>
      <sheetName val="_97_207COSRP11_xls__97_207C_854"/>
      <sheetName val="_97_207COSRP11_xls__97_207C_855"/>
      <sheetName val="_97_207COSRP11_xls__97_207C_856"/>
      <sheetName val="_97_207COSRP11_xls_B________587"/>
      <sheetName val="_97_207COSRP11_xls_B________588"/>
      <sheetName val="_97_207COSRP11_xls__97_207C_857"/>
      <sheetName val="_97_207COSRP11_xls__97_207C_858"/>
      <sheetName val="_97_207COSRP11_xls__97_207C_859"/>
      <sheetName val="_97_207COSRP11_xls_B________589"/>
      <sheetName val="_97_207COSRP11_xls_B________590"/>
      <sheetName val="_97_207COSRP11_xls__97_207C_860"/>
      <sheetName val="_97_207COSRP11_xls__97_207C_861"/>
      <sheetName val="_97_207COSRP11_xls_B________591"/>
      <sheetName val="_97_207COSRP11_xls_B________592"/>
      <sheetName val="_97_207COSRP11_xls__97_207C_862"/>
      <sheetName val="_97_207COSRP11_xls__97_207C_863"/>
      <sheetName val="_97_207COSRP11_xls__97_207C_864"/>
      <sheetName val="_97_207COSRP11_xls__97_207C_865"/>
      <sheetName val="_97_207COSRP11_xls__97_207C_866"/>
      <sheetName val="_97_207COSRP11_xls__97_207C_867"/>
      <sheetName val="_97_207COSRP11_xls__97_207C_868"/>
      <sheetName val="_97_207COSRP11_xls__97_207C_869"/>
      <sheetName val="_97_207COSRP11_xls__97_207C_870"/>
      <sheetName val="_97_207COSRP11_xls__97_207C_871"/>
      <sheetName val="_97_207COSRP11_xls__97_207C_872"/>
      <sheetName val="_97_207COSRP11_xls__97_207C_873"/>
      <sheetName val="_97_207COSRP11_xls_B________593"/>
      <sheetName val="_97_207COSRP11_xls_B________594"/>
      <sheetName val="_97_207COSRP11_xls__97_207C_874"/>
      <sheetName val="_97_207COSRP11_xls__97_207C_875"/>
      <sheetName val="_97_207COSRP11_xls__97_207C_876"/>
      <sheetName val="_97_207COSRP11_xls__97_207C_877"/>
      <sheetName val="_97_207COSRP11_xls_B________595"/>
      <sheetName val="_97_207COSRP11_xls_B________596"/>
      <sheetName val="_97_207COSRP11_xls__97_207C_878"/>
      <sheetName val="_97_207COSRP11_xls__97_207C_879"/>
      <sheetName val="_97_207COSRP11_xls__97_207C_880"/>
      <sheetName val="_97_207COSRP11_xls_B________597"/>
      <sheetName val="_97_207COSRP11_xls_B________598"/>
      <sheetName val="_97_207COSRP11_xls__97_207C_881"/>
      <sheetName val="_97_207COSRP11_xls__97_207C_882"/>
      <sheetName val="_97_207COSRP11_xls__97_207C_883"/>
      <sheetName val="_97_207COSRP11_xls_B________599"/>
      <sheetName val="_97_207COSRP11_xls_B________600"/>
      <sheetName val="_97_207COSRP11_xls__97_207C_884"/>
      <sheetName val="_97_207COSRP11_xls__97_207C_885"/>
      <sheetName val="_97_207COSRP11_xls__97_207C_886"/>
      <sheetName val="_97_207COSRP11_xls__97_207C_887"/>
      <sheetName val="_97_207COSRP11_xls__97_207C_888"/>
      <sheetName val="_97_207COSRP11_xls__97_207C_889"/>
      <sheetName val="_97_207COSRP11_xls__97_207C_890"/>
      <sheetName val="_97_207COSRP11_xls__97_207C_891"/>
      <sheetName val="_97_207COSRP11_xls__97_207C_892"/>
      <sheetName val="_97_207COSRP11_xls__97_207C_893"/>
      <sheetName val="_97_207COSRP11_xls__97_207C_894"/>
      <sheetName val="_97_207COSRP11_xls__97_207C_895"/>
      <sheetName val="_97_207COSRP11_xls__97_207C_896"/>
      <sheetName val="_97_207COSRP11_xls__97_207C_897"/>
      <sheetName val="_97_207COSRP11_xls__97_207C_898"/>
      <sheetName val="_97_207COSRP11_xls__97_207C_899"/>
      <sheetName val="_97_207COSRP11_xls_B________601"/>
      <sheetName val="_97_207COSRP11_xls_B________602"/>
      <sheetName val="_97_207COSRP11_xls__97_207C_900"/>
      <sheetName val="_97_207COSRP11_xls__97_207C_901"/>
      <sheetName val="_97_207COSRP11_xls__97_207C_902"/>
      <sheetName val="_97_207COSRP11_xls__97_207C_903"/>
      <sheetName val="_97_207COSRP11_xls__97_207C_904"/>
      <sheetName val="_97_207COSRP11_xls__97_207C_905"/>
      <sheetName val="_97_207COSRP11_xls_B________603"/>
      <sheetName val="_97_207COSRP11_xls_B________604"/>
      <sheetName val="_97_207COSRP11_xls_B________605"/>
      <sheetName val="_97_207COSRP11_xls_B________606"/>
      <sheetName val="_97_207COSRP11_xls__97_207C_906"/>
      <sheetName val="_97_207COSRP11_xls__97_207C_907"/>
      <sheetName val="_97_207COSRP11_xls__97_207C_908"/>
      <sheetName val="_97_207COSRP11_xls__97_207C_909"/>
      <sheetName val="_97_207COSRP11_xls_B________607"/>
      <sheetName val="_97_207COSRP11_xls_B________608"/>
      <sheetName val="_97_207COSRP11_xls__97_207C_910"/>
      <sheetName val="_97_207COSRP11_xls__97_207C_911"/>
      <sheetName val="_97_207COSRP11_xls__97_207C_912"/>
      <sheetName val="_97_207COSRP11_xls__97_207C_913"/>
      <sheetName val="_97_207COSRP11_xls_B________609"/>
      <sheetName val="_97_207COSRP11_xls_B________610"/>
      <sheetName val="_97_207COSRP11_xls__97_207C_914"/>
      <sheetName val="_97_207COSRP11_xls__97_207C_915"/>
      <sheetName val="_97_207COSRP11_xls__97_207C_916"/>
      <sheetName val="_97_207COSRP11_xls__97_207C_917"/>
      <sheetName val="_97_207COSRP11_xls_B________611"/>
      <sheetName val="_97_207COSRP11_xls_B________612"/>
      <sheetName val="_97_207COSRP11_xls__97_207C_918"/>
      <sheetName val="_97_207COSRP11_xls__97_207C_919"/>
      <sheetName val="_97_207COSRP11_xls__97_207C_920"/>
      <sheetName val="_97_207COSRP11_xls__97_207C_921"/>
      <sheetName val="_97_207COSRP11_xls__97_207C_922"/>
      <sheetName val="_97_207COSRP11_xls__97_207C_923"/>
      <sheetName val="_97_207COSRP11_xls_B________613"/>
      <sheetName val="_97_207COSRP11_xls_B________614"/>
      <sheetName val="_97_207COSRP11_xls__97_207C_924"/>
      <sheetName val="_97_207COSRP11_xls__97_207C_925"/>
      <sheetName val="_97_207COSRP11_xls__97_207C_926"/>
      <sheetName val="_97_207COSRP11_xls_B________615"/>
      <sheetName val="_97_207COSRP11_xls_B________616"/>
      <sheetName val="_97_207COSRP11_xls__97_207C_927"/>
      <sheetName val="_97_207COSRP11_xls__97_207C_928"/>
      <sheetName val="_97_207COSRP11_xls__97_207C_929"/>
      <sheetName val="_97_207COSRP11_xls__97_207C_930"/>
      <sheetName val="_97_207COSRP11_xls_B________617"/>
      <sheetName val="_97_207COSRP11_xls_B________618"/>
      <sheetName val="_97_207COSRP11_xls__97_207C_931"/>
      <sheetName val="_97_207COSRP11_xls__97_207C_932"/>
      <sheetName val="_97_207COSRP11_xls__97_207C_933"/>
      <sheetName val="_97_207COSRP11_xls__97_207C_934"/>
      <sheetName val="_97_207COSRP11_xls_B________619"/>
      <sheetName val="_97_207COSRP11_xls_B________620"/>
      <sheetName val="_97_207COSRP11_xls__97_207C_935"/>
      <sheetName val="_97_207COSRP11_xls__97_207C_936"/>
      <sheetName val="_97_207COSRP11_xls__97_207C_937"/>
      <sheetName val="_97_207COSRP11_xls__97_207C_938"/>
      <sheetName val="_97_207COSRP11_xls__97_207C_939"/>
      <sheetName val="_97_207COSRP11_xls__97_207C_940"/>
      <sheetName val="_97_207COSRP11_xls__97_207C_941"/>
      <sheetName val="_97_207COSRP11_xls__97_207C_942"/>
      <sheetName val="_97_207COSRP11_xls__97_207C_943"/>
      <sheetName val="_97_207COSRP11_xls__97_207C_944"/>
      <sheetName val="_97_207COSRP11_xls_B________621"/>
      <sheetName val="_97_207COSRP11_xls_B________622"/>
      <sheetName val="_97_207COSRP11_xls__97_207C_945"/>
      <sheetName val="_97_207COSRP11_xls__97_207C_946"/>
      <sheetName val="_97_207COSRP11_xls__97_207C_947"/>
      <sheetName val="_97_207COSRP11_xls__97_207C_948"/>
      <sheetName val="_97_207COSRP11_xls__97_207C_949"/>
      <sheetName val="_97_207COSRP11_xls__97_207C_950"/>
      <sheetName val="_97_207COSRP11_xls_B________623"/>
      <sheetName val="_97_207COSRP11_xls_B________624"/>
      <sheetName val="_97_207COSRP11_xls__97_207C_951"/>
      <sheetName val="_97_207COSRP11_xls__97_207C_952"/>
      <sheetName val="_97_207COSRP11_xls__97_207C_953"/>
      <sheetName val="_97_207COSRP11_xls_B________625"/>
      <sheetName val="_97_207COSRP11_xls_B________626"/>
      <sheetName val="_97_207COSRP11_xls__97_207C_954"/>
      <sheetName val="_97_207COSRP11_xls__97_207C_955"/>
      <sheetName val="_97_207COSRP11_xls__97_207C_956"/>
      <sheetName val="_97_207COSRP11_xls__97_207C_957"/>
      <sheetName val="_97_207COSRP11_xls_B________627"/>
      <sheetName val="_97_207COSRP11_xls_B________628"/>
      <sheetName val="_97_207COSRP11_xls__97_207C_958"/>
      <sheetName val="_97_207COSRP11_xls__97_207C_959"/>
      <sheetName val="_97_207COSRP11_xls__97_207C_960"/>
      <sheetName val="_97_207COSRP11_xls_B________629"/>
      <sheetName val="_97_207COSRP11_xls_B________630"/>
      <sheetName val="_97_207COSRP11_xls__97_207C_961"/>
      <sheetName val="_97_207COSRP11_xls__97_207C_962"/>
      <sheetName val="_97_207COSRP11_xls__97_207C_963"/>
      <sheetName val="_97_207COSRP11_xls_B________631"/>
      <sheetName val="_97_207COSRP11_xls_B________632"/>
      <sheetName val="_97_207COSRP11_xls__97_207C_964"/>
      <sheetName val="_97_207COSRP11_xls__97_207C_965"/>
      <sheetName val="_97_207COSRP11_xls__97_207C_966"/>
      <sheetName val="_97_207COSRP11_xls_B________633"/>
      <sheetName val="_97_207COSRP11_xls_B________634"/>
      <sheetName val="_97_207COSRP11_xls__97_207C_967"/>
      <sheetName val="_97_207COSRP11_xls__97_207C_968"/>
      <sheetName val="_97_207COSRP11_xls__97_207C_969"/>
      <sheetName val="_97_207COSRP11_xls__97_207C_970"/>
      <sheetName val="_97_207COSRP11_xls__97_207C_971"/>
      <sheetName val="_97_207COSRP11_xls_B________635"/>
      <sheetName val="_97_207COSRP11_xls_B________636"/>
      <sheetName val="_97_207COSRP11_xls_B________637"/>
      <sheetName val="_97_207COSRP11_xls_B________638"/>
      <sheetName val="_97_207COSRP11_xls__97_207C_972"/>
      <sheetName val="_97_207COSRP11_xls_B________639"/>
      <sheetName val="_97_207COSRP11_xls_B________640"/>
      <sheetName val="_97_207COSRP11_xls__97_207C_973"/>
      <sheetName val="_97_207COSRP11_xls__97_207C_974"/>
      <sheetName val="_97_207COSRP11_xls__97_207C_975"/>
      <sheetName val="_97_207COSRP11_xls__97_207C_976"/>
      <sheetName val="_97_207COSRP11_xls_B________641"/>
      <sheetName val="_97_207COSRP11_xls_B________642"/>
      <sheetName val="_97_207COSRP11_xls__97_207C_977"/>
      <sheetName val="_97_207COSRP11_xls__97_207C_978"/>
      <sheetName val="_97_207COSRP11_xls__97_207C_979"/>
      <sheetName val="_97_207COSRP11_xls__97_207C_980"/>
      <sheetName val="_97_207COSRP11_xls__97_207C_981"/>
      <sheetName val="_97_207COSRP11_xls__97_207C_982"/>
      <sheetName val="_97_207COSRP11_xls__97_207C_983"/>
      <sheetName val="_97_207COSRP11_xls_B________643"/>
      <sheetName val="_97_207COSRP11_xls_B________644"/>
      <sheetName val="_97_207COSRP11_xls__97_207C_984"/>
      <sheetName val="_97_207COSRP11_xls__97_207C_985"/>
      <sheetName val="_97_207COSRP11_xls__97_207C_986"/>
      <sheetName val="_97_207COSRP11_xls__97_207C_987"/>
      <sheetName val="_97_207COSRP11_xls__97_207C_988"/>
      <sheetName val="_97_207COSRP11_xls__97_207C_989"/>
      <sheetName val="_97_207COSRP11_xls_B________645"/>
      <sheetName val="_97_207COSRP11_xls_B________646"/>
      <sheetName val="_97_207COSRP11_xls__97_207C_990"/>
      <sheetName val="_97_207COSRP11_xls__97_207C_991"/>
      <sheetName val="_97_207COSRP11_xls__97_207C_992"/>
      <sheetName val="_97_207COSRP11_xls__97_207C_993"/>
      <sheetName val="_97_207COSRP11_xls__97_207C_994"/>
      <sheetName val="_97_207COSRP11_xls__97_207C_995"/>
      <sheetName val="_97_207COSRP11_xls_B________647"/>
      <sheetName val="_97_207COSRP11_xls_B________648"/>
      <sheetName val="_97_207COSRP11_xls__97_207C_996"/>
      <sheetName val="_97_207COSRP11_xls__97_207C_997"/>
      <sheetName val="_97_207COSRP11_xls__97_207C_998"/>
      <sheetName val="_97_207COSRP11_xls__97_207C_999"/>
      <sheetName val="_97_207COSRP11_xls_B________649"/>
      <sheetName val="_97_207COSRP11_xls_B________650"/>
      <sheetName val="_97_207COSRP11_xls__97_207C1000"/>
      <sheetName val="_97_207COSRP11_xls__97_207C1001"/>
      <sheetName val="_97_207COSRP11_xls__97_207C1002"/>
      <sheetName val="_97_207COSRP11_xls__97_207C1003"/>
      <sheetName val="_97_207COSRP11_xls__97_207C1004"/>
      <sheetName val="_97_207COSRP11_xls__97_207C1005"/>
      <sheetName val="_97_207COSRP11_xls_B________651"/>
      <sheetName val="_97_207COSRP11_xls_B________652"/>
      <sheetName val="_97_207COSRP11_xls__97_207C1006"/>
      <sheetName val="_97_207COSRP11_xls__97_207C1007"/>
      <sheetName val="_97_207COSRP11_xls__97_207C1008"/>
      <sheetName val="_97_207COSRP11_xls__97_207C1009"/>
      <sheetName val="_97_207COSRP11_xls__97_207C1010"/>
      <sheetName val="_97_207COSRP11_xls__97_207C1011"/>
      <sheetName val="_97_207COSRP11_xls__97_207C1012"/>
      <sheetName val="_97_207COSRP11_xls__97_207C1013"/>
      <sheetName val="_97_207COSRP11_xls__97_207C1014"/>
      <sheetName val="_97_207COSRP11_xls_B________653"/>
      <sheetName val="_97_207COSRP11_xls_B________654"/>
      <sheetName val="_97_207COSRP11_xls_B________655"/>
      <sheetName val="_97_207COSRP11_xls_B________656"/>
      <sheetName val="_97_207COSRP11_xls__97_207C1015"/>
      <sheetName val="_97_207COSRP11_xls__97_207C1016"/>
      <sheetName val="_97_207COSRP11_xls__97_207C1017"/>
      <sheetName val="_97_207COSRP11_xls__97_207C1018"/>
      <sheetName val="_97_207COSRP11_xls__97_207C1019"/>
      <sheetName val="_97_207COSRP11_xls__97_207C1020"/>
      <sheetName val="_97_207COSRP11_xls__97_207C1021"/>
      <sheetName val="_97_207COSRP11_xls__97_207C1022"/>
      <sheetName val="_97_207COSRP11_xls_B________657"/>
      <sheetName val="_97_207COSRP11_xls_B________658"/>
      <sheetName val="_97_207COSRP11_xls__97_207C1023"/>
      <sheetName val="_97_207COSRP11_xls__97_207C1024"/>
      <sheetName val="_97_207COSRP11_xls__97_207C1025"/>
      <sheetName val="_97_207COSRP11_xls__97_207C1026"/>
      <sheetName val="_97_207COSRP11.xls_B________956"/>
      <sheetName val="_97_207COSRP11.xls_B________957"/>
      <sheetName val="_97_207COSRP11.xls__97_207_2862"/>
      <sheetName val="_97_207COSRP11.xls__97_207_2858"/>
      <sheetName val="_97_207COSRP11.xls__97_207_2859"/>
      <sheetName val="_97_207COSRP11.xls__97_207_2863"/>
      <sheetName val="_97_207COSRP11.xls__97_207_2864"/>
      <sheetName val="_97_207COSRP11.xls_B________958"/>
      <sheetName val="_97_207COSRP11.xls__97_207_2860"/>
      <sheetName val="_97_207COSRP11.xls__97_207_2861"/>
      <sheetName val="_97_207COSRP11.xls_B________959"/>
      <sheetName val="_97_207COSRP11.xls_B________960"/>
      <sheetName val="_97_207COSRP11.xls__97_207_2872"/>
      <sheetName val="_97_207COSRP11.xls__97_207_2865"/>
      <sheetName val="_97_207COSRP11.xls__97_207_2866"/>
      <sheetName val="_97_207COSRP11.xls__97_207_2867"/>
      <sheetName val="_97_207COSRP11.xls__97_207_2873"/>
      <sheetName val="_97_207COSRP11.xls__97_207_2868"/>
      <sheetName val="_97_207COSRP11.xls__97_207_2869"/>
      <sheetName val="_97_207COSRP11.xls__97_207_2874"/>
      <sheetName val="_97_207COSRP11.xls_B________961"/>
      <sheetName val="_97_207COSRP11.xls__97_207_2870"/>
      <sheetName val="_97_207COSRP11.xls__97_207_2871"/>
      <sheetName val="_97_207COSRP11.xls_B________966"/>
      <sheetName val="_97_207COSRP11.xls_B________967"/>
      <sheetName val="_97_207COSRP11.xls__97_207_2887"/>
      <sheetName val="_97_207COSRP11.xls__97_207_2883"/>
      <sheetName val="_97_207COSRP11.xls__97_207_2884"/>
      <sheetName val="_97_207COSRP11.xls__97_207_2885"/>
      <sheetName val="_97_207COSRP11.xls__97_207_2888"/>
      <sheetName val="_97_207COSRP11.xls__97_207_2886"/>
      <sheetName val="_97_207COSRP11.xls_B________962"/>
      <sheetName val="_97_207COSRP11.xls_B________963"/>
      <sheetName val="_97_207COSRP11.xls__97_207_2875"/>
      <sheetName val="_97_207COSRP11.xls__97_207_2876"/>
      <sheetName val="_97_207COSRP11.xls__97_207_2877"/>
      <sheetName val="_97_207COSRP11.xls__97_207_2878"/>
      <sheetName val="_97_207COSRP11.xls_B________964"/>
      <sheetName val="_97_207COSRP11.xls_B________965"/>
      <sheetName val="_97_207COSRP11.xls__97_207_2879"/>
      <sheetName val="_97_207COSRP11.xls__97_207_2880"/>
      <sheetName val="_97_207COSRP11.xls__97_207_2881"/>
      <sheetName val="_97_207COSRP11.xls__97_207_2882"/>
      <sheetName val="_97_207COSRP11.xls_B________968"/>
      <sheetName val="_97_207COSRP11.xls_B________969"/>
      <sheetName val="_97_207COSRP11.xls__97_207_2896"/>
      <sheetName val="_97_207COSRP11.xls__97_207_2889"/>
      <sheetName val="_97_207COSRP11.xls__97_207_2890"/>
      <sheetName val="_97_207COSRP11.xls__97_207_2891"/>
      <sheetName val="_97_207COSRP11.xls__97_207_2897"/>
      <sheetName val="_97_207COSRP11.xls__97_207_2892"/>
      <sheetName val="_97_207COSRP11.xls__97_207_2893"/>
      <sheetName val="_97_207COSRP11.xls__97_207_2898"/>
      <sheetName val="_97_207COSRP11.xls_B________970"/>
      <sheetName val="_97_207COSRP11.xls__97_207_2894"/>
      <sheetName val="_97_207COSRP11.xls__97_207_2895"/>
      <sheetName val="_97_207COSRP11.xls_B________971"/>
      <sheetName val="_97_207COSRP11.xls_B________972"/>
      <sheetName val="_97_207COSRP11.xls__97_207_2906"/>
      <sheetName val="_97_207COSRP11.xls__97_207_2899"/>
      <sheetName val="_97_207COSRP11.xls__97_207_2900"/>
      <sheetName val="_97_207COSRP11.xls__97_207_2901"/>
      <sheetName val="_97_207COSRP11.xls__97_207_2907"/>
      <sheetName val="_97_207COSRP11.xls__97_207_2902"/>
      <sheetName val="_97_207COSRP11.xls__97_207_2903"/>
      <sheetName val="_97_207COSRP11.xls__97_207_2908"/>
      <sheetName val="_97_207COSRP11.xls_B________973"/>
      <sheetName val="_97_207COSRP11.xls__97_207_2904"/>
      <sheetName val="_97_207COSRP11.xls__97_207_2905"/>
      <sheetName val="_97_207COSRP11.xls_B________974"/>
      <sheetName val="_97_207COSRP11.xls_B________975"/>
      <sheetName val="_97_207COSRP11.xls__97_207_2913"/>
      <sheetName val="_97_207COSRP11.xls__97_207_2909"/>
      <sheetName val="_97_207COSRP11.xls__97_207_2910"/>
      <sheetName val="_97_207COSRP11.xls__97_207_2911"/>
      <sheetName val="_97_207COSRP11.xls__97_207_2912"/>
      <sheetName val="_97_207COSRP11.xls__97_207_2915"/>
      <sheetName val="_97_207COSRP11.xls_B________976"/>
      <sheetName val="_97_207COSRP11.xls_B________977"/>
      <sheetName val="_97_207COSRP11.xls__97_207_2920"/>
      <sheetName val="_97_207COSRP11.xls__97_207_2916"/>
      <sheetName val="_97_207COSRP11.xls__97_207_2917"/>
      <sheetName val="_97_207COSRP11.xls__97_207_2918"/>
      <sheetName val="_97_207COSRP11.xls__97_207_2914"/>
      <sheetName val="_97_207COSRP11.xls__97_207_2919"/>
      <sheetName val="_97_207COSRP11.xls__97_207_2921"/>
      <sheetName val="_97_207COSRP11.xls__97_207_2922"/>
      <sheetName val="_97_207COSRP11.xls_B________980"/>
      <sheetName val="_97_207COSRP11.xls_B________981"/>
      <sheetName val="_97_207COSRP11.xls__97_207_2926"/>
      <sheetName val="_97_207COSRP11.xls__97_207_2923"/>
      <sheetName val="_97_207COSRP11.xls__97_207_2924"/>
      <sheetName val="_97_207COSRP11.xls__97_207_2925"/>
      <sheetName val="_97_207COSRP11.xls_B________978"/>
      <sheetName val="_97_207COSRP11.xls_B________979"/>
      <sheetName val="_97_207COSRP11.xls__97_207_2927"/>
      <sheetName val="_97_207COSRP11.xls__97_207_2928"/>
      <sheetName val="_97_207COSRP11.xls_B________982"/>
      <sheetName val="_97_207COSRP11.xls_B________983"/>
      <sheetName val="_97_207COSRP11.xls__97_207_2929"/>
      <sheetName val="_97_207COSRP11.xls__97_207_2930"/>
      <sheetName val="_97_207COSRP11.xls__97_207_2931"/>
      <sheetName val="_97_207COSRP11.xls__97_207_2970"/>
      <sheetName val="_97_207COSRP11.xls_B_______1000"/>
      <sheetName val="_97_207COSRP11.xls_B_______1001"/>
      <sheetName val="_97_207COSRP11.xls__97_207_2975"/>
      <sheetName val="_97_207COSRP11.xls__97_207_2971"/>
      <sheetName val="_97_207COSRP11.xls__97_207_2972"/>
      <sheetName val="_97_207COSRP11.xls__97_207_2973"/>
      <sheetName val="_97_207COSRP11.xls__97_207_2947"/>
      <sheetName val="_97_207COSRP11.xls_B________990"/>
      <sheetName val="_97_207COSRP11.xls_B________991"/>
      <sheetName val="_97_207COSRP11.xls__97_207_2952"/>
      <sheetName val="_97_207COSRP11.xls__97_207_2948"/>
      <sheetName val="_97_207COSRP11.xls__97_207_2949"/>
      <sheetName val="_97_207COSRP11.xls__97_207_2950"/>
      <sheetName val="_97_207COSRP11.xls__97_207_2938"/>
      <sheetName val="_97_207COSRP11.xls_B________986"/>
      <sheetName val="_97_207COSRP11.xls_B________987"/>
      <sheetName val="_97_207COSRP11.xls__97_207_2942"/>
      <sheetName val="_97_207COSRP11.xls__97_207_2939"/>
      <sheetName val="_97_207COSRP11.xls__97_207_2940"/>
      <sheetName val="_97_207COSRP11.xls__97_207_2941"/>
      <sheetName val="_97_207COSRP11.xls__97_207_2937"/>
      <sheetName val="_97_207COSRP11.xls_B________988"/>
      <sheetName val="_97_207COSRP11.xls_B________989"/>
      <sheetName val="_97_207COSRP11.xls__97_207_2946"/>
      <sheetName val="_97_207COSRP11.xls__97_207_2943"/>
      <sheetName val="_97_207COSRP11.xls__97_207_2944"/>
      <sheetName val="_97_207COSRP11.xls__97_207_2945"/>
      <sheetName val="_97_207COSRP11.xls__97_207_2951"/>
      <sheetName val="_97_207COSRP11.xls_B________992"/>
      <sheetName val="_97_207COSRP11.xls_B________993"/>
      <sheetName val="_97_207COSRP11.xls__97_207_2956"/>
      <sheetName val="_97_207COSRP11.xls__97_207_2953"/>
      <sheetName val="_97_207COSRP11.xls__97_207_2954"/>
      <sheetName val="_97_207COSRP11.xls__97_207_2955"/>
      <sheetName val="_97_207COSRP11.xls__97_207_2957"/>
      <sheetName val="_97_207COSRP11.xls_B________994"/>
      <sheetName val="_97_207COSRP11.xls_B________995"/>
      <sheetName val="_97_207COSRP11.xls__97_207_2961"/>
      <sheetName val="_97_207COSRP11.xls__97_207_2958"/>
      <sheetName val="_97_207COSRP11.xls__97_207_2959"/>
      <sheetName val="_97_207COSRP11.xls__97_207_2960"/>
      <sheetName val="_97_207COSRP11.xls__97_207_2962"/>
      <sheetName val="_97_207COSRP11.xls_B________996"/>
      <sheetName val="_97_207COSRP11.xls_B________997"/>
      <sheetName val="_97_207COSRP11.xls__97_207_2967"/>
      <sheetName val="_97_207COSRP11.xls__97_207_2963"/>
      <sheetName val="_97_207COSRP11.xls__97_207_2964"/>
      <sheetName val="_97_207COSRP11.xls__97_207_2965"/>
      <sheetName val="_97_207COSRP11.xls__97_207_2966"/>
      <sheetName val="_97_207COSRP11.xls_B________998"/>
      <sheetName val="_97_207COSRP11.xls_B________999"/>
      <sheetName val="_97_207COSRP11.xls__97_207_2969"/>
      <sheetName val="_97_207COSRP11.xls__97_207_2968"/>
      <sheetName val="_97_207COSRP11.xls_B_______1002"/>
      <sheetName val="_97_207COSRP11.xls_B_______1003"/>
      <sheetName val="_97_207COSRP11.xls__97_207_3185"/>
      <sheetName val="_97_207COSRP11.xls__97_207_2976"/>
      <sheetName val="_97_207COSRP11.xls__97_207_2977"/>
      <sheetName val="_97_207COSRP11.xls__97_207_2978"/>
      <sheetName val="_97_207COSRP11.xls__97_207_2974"/>
      <sheetName val="_97_207COSRP11.xls_B_______1056"/>
      <sheetName val="_97_207COSRP11.xls_B_______1057"/>
      <sheetName val="_97_207COSRP11.xls__97_207_3189"/>
      <sheetName val="_97_207COSRP11.xls__97_207_3186"/>
      <sheetName val="_97_207COSRP11.xls__97_207_3187"/>
      <sheetName val="_97_207COSRP11.xls__97_207_3188"/>
      <sheetName val="_97_207COSRP11.xls__97_207_3116"/>
      <sheetName val="_97_207COSRP11.xls_B_______1024"/>
      <sheetName val="_97_207COSRP11.xls_B_______1025"/>
      <sheetName val="_97_207COSRP11.xls__97_207_3120"/>
      <sheetName val="_97_207COSRP11.xls__97_207_3117"/>
      <sheetName val="_97_207COSRP11.xls__97_207_3118"/>
      <sheetName val="_97_207COSRP11.xls__97_207_3119"/>
      <sheetName val="_97_207COSRP11.xls__97_207_3115"/>
      <sheetName val="_97_207COSRP11.xls__97_207_3110"/>
      <sheetName val="_97_207COSRP11.xls_B_______1022"/>
      <sheetName val="_97_207COSRP11.xls_B_______1023"/>
      <sheetName val="_97_207COSRP11.xls__97_207_3114"/>
      <sheetName val="_97_207COSRP11.xls__97_207_3111"/>
      <sheetName val="_97_207COSRP11.xls__97_207_3112"/>
      <sheetName val="_97_207COSRP11.xls__97_207_3113"/>
      <sheetName val="_97_207COSRP11.xls__97_207_3023"/>
      <sheetName val="_97_207COSRP11.xls__97_207_3024"/>
      <sheetName val="_97_207COSRP11.xls__97_207_3031"/>
      <sheetName val="_97_207COSRP11.xls__97_207_3025"/>
      <sheetName val="_97_207COSRP11.xls__97_207_3026"/>
      <sheetName val="_97_207COSRP11.xls__97_207_3032"/>
      <sheetName val="_97_207COSRP11.xls__97_207_3019"/>
      <sheetName val="_97_207COSRP11.xls__97_207_3020"/>
      <sheetName val="_97_207COSRP11.xls__97_207_3021"/>
      <sheetName val="_97_207COSRP11.xls__97_207_3022"/>
      <sheetName val="_97_207COSRP11.xls__97_207_3013"/>
      <sheetName val="_97_207COSRP11.xls__97_207_3014"/>
      <sheetName val="_97_207COSRP11.xls__97_207_3017"/>
      <sheetName val="_97_207COSRP11.xls__97_207_3015"/>
      <sheetName val="_97_207COSRP11.xls__97_207_3016"/>
      <sheetName val="_97_207COSRP11.xls__97_207_3018"/>
      <sheetName val="_97_207COSRP11.xls__97_207_3009"/>
      <sheetName val="_97_207COSRP11.xls__97_207_3010"/>
      <sheetName val="_97_207COSRP11.xls__97_207_2997"/>
      <sheetName val="_97_207COSRP11.xls__97_207_2998"/>
      <sheetName val="_97_207COSRP11.xls__97_207_2999"/>
      <sheetName val="_97_207COSRP11.xls__97_207_2983"/>
      <sheetName val="_97_207COSRP11.xls__97_207_2984"/>
      <sheetName val="_97_207COSRP11.xls__97_207_2985"/>
      <sheetName val="_97_207COSRP11.xls__97_207_2979"/>
      <sheetName val="_97_207COSRP11.xls__97_207_2980"/>
      <sheetName val="_97_207COSRP11.xls__97_207_2981"/>
      <sheetName val="_97_207COSRP11.xls__97_207_2982"/>
      <sheetName val="_97_207COSRP11.xls__97_207_2986"/>
      <sheetName val="_97_207COSRP11.xls__97_207_2987"/>
      <sheetName val="_97_207COSRP11.xls__97_207_2988"/>
      <sheetName val="_97_207COSRP11.xls__97_207_2989"/>
      <sheetName val="_97_207COSRP11.xls__97_207_2994"/>
      <sheetName val="_97_207COSRP11.xls__97_207_2990"/>
      <sheetName val="_97_207COSRP11.xls__97_207_2991"/>
      <sheetName val="_97_207COSRP11.xls__97_207_2995"/>
      <sheetName val="_97_207COSRP11.xls__97_207_2992"/>
      <sheetName val="_97_207COSRP11.xls__97_207_2993"/>
      <sheetName val="_97_207COSRP11.xls__97_207_2996"/>
      <sheetName val="_97_207COSRP11.xls__97_207_3004"/>
      <sheetName val="_97_207COSRP11.xls__97_207_3000"/>
      <sheetName val="_97_207COSRP11.xls__97_207_3001"/>
      <sheetName val="_97_207COSRP11.xls__97_207_3005"/>
      <sheetName val="_97_207COSRP11.xls__97_207_3002"/>
      <sheetName val="_97_207COSRP11.xls__97_207_3003"/>
      <sheetName val="_97_207COSRP11.xls__97_207_3006"/>
      <sheetName val="_97_207COSRP11.xls__97_207_3007"/>
      <sheetName val="_97_207COSRP11.xls__97_207_3008"/>
      <sheetName val="_97_207COSRP11.xls__97_207_3011"/>
      <sheetName val="_97_207COSRP11.xls__97_207_3012"/>
      <sheetName val="_97_207COSRP11.xls__97_207_3027"/>
      <sheetName val="_97_207COSRP11.xls__97_207_3028"/>
      <sheetName val="_97_207COSRP11.xls__97_207_3029"/>
      <sheetName val="_97_207COSRP11.xls__97_207_3030"/>
      <sheetName val="_97_207COSRP11.xls__97_207_3042"/>
      <sheetName val="_97_207COSRP11.xls__97_207_3043"/>
      <sheetName val="_97_207COSRP11.xls__97_207_3033"/>
      <sheetName val="_97_207COSRP11.xls__97_207_3034"/>
      <sheetName val="_97_207COSRP11.xls__97_207_3035"/>
      <sheetName val="_97_207COSRP11.xls__97_207_3036"/>
      <sheetName val="_97_207COSRP11.xls__97_207_3037"/>
      <sheetName val="_97_207COSRP11.xls__97_207_3038"/>
      <sheetName val="_97_207COSRP11.xls__97_207_3039"/>
      <sheetName val="_97_207COSRP11.xls__97_207_3040"/>
      <sheetName val="_97_207COSRP11.xls__97_207_3041"/>
      <sheetName val="_97_207COSRP11.xls__97_207_3044"/>
      <sheetName val="_97_207COSRP11.xls__97_207_3045"/>
      <sheetName val="_97_207COSRP11.xls__97_207_3046"/>
      <sheetName val="_97_207COSRP11.xls__97_207_3047"/>
      <sheetName val="_97_207COSRP11.xls__97_207_3048"/>
      <sheetName val="_97_207COSRP11.xls_B_______1016"/>
      <sheetName val="_97_207COSRP11.xls_B_______1017"/>
      <sheetName val="_97_207COSRP11.xls__97_207_3049"/>
      <sheetName val="_97_207COSRP11.xls__97_207_3050"/>
      <sheetName val="_97_207COSRP11.xls_B_______1018"/>
      <sheetName val="_97_207COSRP11.xls__97_207_3051"/>
      <sheetName val="_97_207COSRP11.xls_B_______1010"/>
      <sheetName val="_97_207COSRP11.xls_B_______1011"/>
      <sheetName val="_97_207COSRP11.xls_B_______1012"/>
      <sheetName val="_97_207COSRP11.xls_B_______1004"/>
      <sheetName val="_97_207COSRP11.xls_B_______1005"/>
      <sheetName val="_97_207COSRP11.xls_B_______1006"/>
      <sheetName val="_97_207COSRP11.xls_B_______1007"/>
      <sheetName val="_97_207COSRP11.xls_B_______1008"/>
      <sheetName val="_97_207COSRP11.xls_B_______1009"/>
      <sheetName val="_97_207COSRP11.xls_B_______1013"/>
      <sheetName val="_97_207COSRP11.xls_B_______1014"/>
      <sheetName val="_97_207COSRP11.xls_B_______1015"/>
      <sheetName val="_97_207COSRP11.xls_B____x005f_x0004_2"/>
      <sheetName val="_97_207COSRP11.xls_B___x005f_x0000__2"/>
      <sheetName val="_97_207COSRP11.xls__97_207_3052"/>
      <sheetName val="_97_207COSRP11.xls__97_207_3053"/>
      <sheetName val="_97_207COSRP11.xls__97_207_3054"/>
      <sheetName val="_97_207COSRP11.xls_B_______1019"/>
      <sheetName val="_97_207COSRP11.xls_B_______1020"/>
      <sheetName val="_97_207COSRP11.xls__97_207_3105"/>
      <sheetName val="_97_207COSRP11.xls__97_207_3055"/>
      <sheetName val="_97_207COSRP11.xls__97_207_3056"/>
      <sheetName val="_97_207COSRP11.xls__97_207_3106"/>
      <sheetName val="_97_207COSRP11.xls_B_______1021"/>
      <sheetName val="_97_207COSRP11.xls__97_207_3057"/>
      <sheetName val="_97_207COSRP11.xls__97_207_3058"/>
      <sheetName val="_97_207COSRP11.xls__97_207_3107"/>
      <sheetName val="_97_207COSRP11.xls__97_207_3073"/>
      <sheetName val="_97_207COSRP11.xls__97_207_3074"/>
      <sheetName val="_97_207COSRP11.xls__97_207_3075"/>
      <sheetName val="_97_207COSRP11.xls__97_207_3060"/>
      <sheetName val="_97_207COSRP11.xls__97_207_3061"/>
      <sheetName val="_97_207COSRP11.xls__97_207_3062"/>
      <sheetName val="_97_207COSRP11.xls__97_207_3067"/>
      <sheetName val="_97_207COSRP11.xls__97_207_3063"/>
      <sheetName val="_97_207COSRP11.xls__97_207_3064"/>
      <sheetName val="_97_207COSRP11.xls__97_207_3068"/>
      <sheetName val="_97_207COSRP11.xls__97_207_3059"/>
      <sheetName val="_97_207COSRP11.xls__97_207_3065"/>
      <sheetName val="_97_207COSRP11.xls__97_207_3066"/>
      <sheetName val="_97_207COSRP11.xls__97_207_3071"/>
      <sheetName val="_97_207COSRP11.xls__97_207_3072"/>
      <sheetName val="_97_207COSRP11.xls__97_207_3069"/>
      <sheetName val="_97_207COSRP11.xls__97_207_3070"/>
      <sheetName val="_97_207COSRP11.xls__97_207_3076"/>
      <sheetName val="_97_207COSRP11.xls__97_207_3077"/>
      <sheetName val="_97_207COSRP11.xls__97_207_3078"/>
      <sheetName val="_97_207COSRP11.xls__97_207_3082"/>
      <sheetName val="_97_207COSRP11.xls__97_207_3083"/>
      <sheetName val="_97_207COSRP11.xls__97_207_3084"/>
      <sheetName val="_97_207COSRP11.xls__97_207_3079"/>
      <sheetName val="_97_207COSRP11.xls__97_207_3080"/>
      <sheetName val="_97_207COSRP11.xls__97_207_3081"/>
      <sheetName val="_97_207COSRP11.xls__97_207_3085"/>
      <sheetName val="_97_207COSRP11.xls__97_207_3086"/>
      <sheetName val="_97_207COSRP11.xls__97_207_3087"/>
      <sheetName val="_97_207COSRP11.xls__97_207_3088"/>
      <sheetName val="_97_207COSRP11.xls__97_207_3089"/>
      <sheetName val="_97_207COSRP11.xls__97_207_3090"/>
      <sheetName val="_97_207COSRP11.xls__97_207_3091"/>
      <sheetName val="_97_207COSRP11.xls__97_207_3094"/>
      <sheetName val="_97_207COSRP11.xls__97_207_3095"/>
      <sheetName val="_97_207COSRP11.xls__97_207_3092"/>
      <sheetName val="_97_207COSRP11.xls__97_207_3093"/>
      <sheetName val="_97_207COSRP11.xls__97_207_3096"/>
      <sheetName val="_97_207COSRP11.xls__97_207_3097"/>
      <sheetName val="_97_207COSRP11.xls__97_207_3098"/>
      <sheetName val="_97_207COSRP11.xls__97_207_3099"/>
      <sheetName val="_97_207COSRP11.xls__97_207_3100"/>
      <sheetName val="_97_207COSRP11.xls__97_207_3101"/>
      <sheetName val="_97_207COSRP11.xls__97_207_3102"/>
      <sheetName val="_97_207COSRP11.xls__97_207_3103"/>
      <sheetName val="_97_207COSRP11.xls__97_207_3104"/>
      <sheetName val="_97_207COSRP11.xls__97_207_3108"/>
      <sheetName val="_97_207COSRP11.xls__97_207_3109"/>
      <sheetName val="_97_207COSRP11.xls__97_207_3129"/>
      <sheetName val="_97_207COSRP11.xls__97_207_3125"/>
      <sheetName val="_97_207COSRP11.xls_B_______1028"/>
      <sheetName val="_97_207COSRP11.xls_B_______1029"/>
      <sheetName val="_97_207COSRP11.xls__97_207_3126"/>
      <sheetName val="_97_207COSRP11.xls__97_207_3127"/>
      <sheetName val="_97_207COSRP11.xls__97_207_3128"/>
      <sheetName val="_97_207COSRP11.xls_B_______1026"/>
      <sheetName val="_97_207COSRP11.xls_B_______1027"/>
      <sheetName val="_97_207COSRP11.xls__97_207_3124"/>
      <sheetName val="_97_207COSRP11.xls__97_207_3121"/>
      <sheetName val="_97_207COSRP11.xls__97_207_3122"/>
      <sheetName val="_97_207COSRP11.xls__97_207_3123"/>
      <sheetName val="_97_207COSRP11.xls__97_207_3130"/>
      <sheetName val="_97_207COSRP11.xls_B_______1030"/>
      <sheetName val="_97_207COSRP11.xls_B_______1031"/>
      <sheetName val="_97_207COSRP11.xls__97_207_3134"/>
      <sheetName val="_97_207COSRP11.xls__97_207_3131"/>
      <sheetName val="_97_207COSRP11.xls__97_207_3132"/>
      <sheetName val="_97_207COSRP11.xls__97_207_3133"/>
      <sheetName val="_97_207COSRP11.xls__97_207_3135"/>
      <sheetName val="_97_207COSRP11.xls_B_______1032"/>
      <sheetName val="_97_207COSRP11.xls_B_______1033"/>
      <sheetName val="_97_207COSRP11.xls__97_207_3139"/>
      <sheetName val="_97_207COSRP11.xls__97_207_3136"/>
      <sheetName val="_97_207COSRP11.xls__97_207_3137"/>
      <sheetName val="_97_207COSRP11.xls__97_207_3138"/>
      <sheetName val="_97_207COSRP11.xls__97_207_3152"/>
      <sheetName val="_97_207COSRP11.xls_B_______1040"/>
      <sheetName val="_97_207COSRP11.xls_B_______1041"/>
      <sheetName val="_97_207COSRP11.xls__97_207_3153"/>
      <sheetName val="_97_207COSRP11.xls__97_207_3154"/>
      <sheetName val="_97_207COSRP11.xls__97_207_3155"/>
      <sheetName val="_97_207COSRP11.xls__97_207_3140"/>
      <sheetName val="_97_207COSRP11.xls_B_______1034"/>
      <sheetName val="_97_207COSRP11.xls_B_______1035"/>
      <sheetName val="_97_207COSRP11.xls__97_207_3141"/>
      <sheetName val="_97_207COSRP11.xls__97_207_3142"/>
      <sheetName val="_97_207COSRP11.xls__97_207_3143"/>
      <sheetName val="_97_207COSRP11.xls__97_207_3144"/>
      <sheetName val="_97_207COSRP11.xls_B_______1036"/>
      <sheetName val="_97_207COSRP11.xls_B_______1037"/>
      <sheetName val="_97_207COSRP11.xls__97_207_3145"/>
      <sheetName val="_97_207COSRP11.xls__97_207_3146"/>
      <sheetName val="_97_207COSRP11.xls__97_207_3147"/>
      <sheetName val="_97_207COSRP11.xls__97_207_3148"/>
      <sheetName val="_97_207COSRP11.xls_B_______1038"/>
      <sheetName val="_97_207COSRP11.xls_B_______1039"/>
      <sheetName val="_97_207COSRP11.xls__97_207_3149"/>
      <sheetName val="_97_207COSRP11.xls__97_207_3150"/>
      <sheetName val="_97_207COSRP11.xls__97_207_3151"/>
      <sheetName val="_97_207COSRP11.xls__97_207_3160"/>
      <sheetName val="_97_207COSRP11.xls_B_______1044"/>
      <sheetName val="_97_207COSRP11.xls_B_______1045"/>
      <sheetName val="_97_207COSRP11.xls__97_207_3161"/>
      <sheetName val="_97_207COSRP11.xls__97_207_3162"/>
      <sheetName val="_97_207COSRP11.xls__97_207_3163"/>
      <sheetName val="_97_207COSRP11.xls__97_207_3156"/>
      <sheetName val="_97_207COSRP11.xls_B_______1042"/>
      <sheetName val="_97_207COSRP11.xls_B_______1043"/>
      <sheetName val="_97_207COSRP11.xls__97_207_3157"/>
      <sheetName val="_97_207COSRP11.xls__97_207_3158"/>
      <sheetName val="_97_207COSRP11.xls__97_207_3159"/>
      <sheetName val="_97_207COSRP11.xls__97_207_3177"/>
      <sheetName val="_97_207COSRP11.xls_B_______1052"/>
      <sheetName val="_97_207COSRP11.xls_B_______1053"/>
      <sheetName val="_97_207COSRP11.xls__97_207_3181"/>
      <sheetName val="_97_207COSRP11.xls__97_207_3178"/>
      <sheetName val="_97_207COSRP11.xls__97_207_3179"/>
      <sheetName val="_97_207COSRP11.xls__97_207_3180"/>
      <sheetName val="_97_207COSRP11.xls__97_207_3164"/>
      <sheetName val="_97_207COSRP11.xls_B_______1046"/>
      <sheetName val="_97_207COSRP11.xls_B_______1047"/>
      <sheetName val="_97_207COSRP11.xls__97_207_3168"/>
      <sheetName val="_97_207COSRP11.xls__97_207_3165"/>
      <sheetName val="_97_207COSRP11.xls__97_207_3166"/>
      <sheetName val="_97_207COSRP11.xls__97_207_3167"/>
      <sheetName val="_97_207COSRP11.xls__97_207_3169"/>
      <sheetName val="_97_207COSRP11.xls_B_______1048"/>
      <sheetName val="_97_207COSRP11.xls_B_______1049"/>
      <sheetName val="_97_207COSRP11.xls__97_207_3170"/>
      <sheetName val="_97_207COSRP11.xls__97_207_3171"/>
      <sheetName val="_97_207COSRP11.xls__97_207_3172"/>
      <sheetName val="_97_207COSRP11.xls__97_207_3173"/>
      <sheetName val="_97_207COSRP11.xls_B_______1050"/>
      <sheetName val="_97_207COSRP11.xls_B_______1051"/>
      <sheetName val="_97_207COSRP11.xls__97_207_3174"/>
      <sheetName val="_97_207COSRP11.xls__97_207_3175"/>
      <sheetName val="_97_207COSRP11.xls__97_207_3176"/>
      <sheetName val="_97_207COSRP11.xls_B_______1054"/>
      <sheetName val="_97_207COSRP11.xls_B_______1055"/>
      <sheetName val="_97_207COSRP11.xls__97_207_3182"/>
      <sheetName val="_97_207COSRP11.xls__97_207_3183"/>
      <sheetName val="_97_207COSRP11.xls__97_207_3184"/>
      <sheetName val="_97_207COSRP11.xls__97_207_3190"/>
      <sheetName val="_97_207COSRP11.xls_B_______1058"/>
      <sheetName val="_97_207COSRP11.xls_B_______1059"/>
      <sheetName val="_97_207COSRP11.xls__97_207_3194"/>
      <sheetName val="_97_207COSRP11.xls__97_207_3191"/>
      <sheetName val="_97_207COSRP11.xls__97_207_3192"/>
      <sheetName val="_97_207COSRP11.xls__97_207_3193"/>
      <sheetName val="_97_207COSRP11.xls__97_207_3195"/>
      <sheetName val="_97_207COSRP11.xls__97_207_3196"/>
      <sheetName val="_97_207COSRP11.xls__97_207_3197"/>
      <sheetName val="_97_207COSRP11.xls__97_207_3198"/>
      <sheetName val="_97_207COSRP11.xls_B_______1060"/>
      <sheetName val="_97_207COSRP11.xls_B_______1061"/>
      <sheetName val="_97_207COSRP11.xls_B_______1062"/>
      <sheetName val="_97_207COSRP11.xls__97_207_3199"/>
      <sheetName val="_97_207COSRP11.xls__97_207_3200"/>
      <sheetName val="_97_207COSRP11.xls_B_______1063"/>
      <sheetName val="_97_207COSRP11.xls__97_207_3201"/>
      <sheetName val="_97_207COSRP11.xls_B_______1064"/>
      <sheetName val="_97_207COSRP11.xls_B_______1065"/>
      <sheetName val="_97_207COSRP11.xls__97_207_3209"/>
      <sheetName val="_97_207COSRP11.xls__97_207_3202"/>
      <sheetName val="_97_207COSRP11.xls__97_207_3203"/>
      <sheetName val="_97_207COSRP11.xls__97_207_3204"/>
      <sheetName val="_97_207COSRP11.xls__97_207_3210"/>
      <sheetName val="_97_207COSRP11.xls__97_207_3205"/>
      <sheetName val="_97_207COSRP11.xls__97_207_3206"/>
      <sheetName val="_97_207COSRP11.xls__97_207_3211"/>
      <sheetName val="_97_207COSRP11.xls_B_______1066"/>
      <sheetName val="_97_207COSRP11.xls__97_207_3207"/>
      <sheetName val="_97_207COSRP11.xls__97_207_3208"/>
      <sheetName val="_97_207COSRP11.xls_B_______1067"/>
      <sheetName val="_97_207COSRP11.xls_B_______1068"/>
      <sheetName val="_97_207COSRP11.xls__97_207_3215"/>
      <sheetName val="_97_207COSRP11.xls__97_207_3212"/>
      <sheetName val="_97_207COSRP11.xls__97_207_3213"/>
      <sheetName val="_97_207COSRP11.xls__97_207_3214"/>
      <sheetName val="_97_207COSRP11.xls_B_______1069"/>
      <sheetName val="_97_207COSRP11.xls_B_______1070"/>
      <sheetName val="_97_207COSRP11.xls__97_207_3218"/>
      <sheetName val="_97_207COSRP11.xls__97_207_3216"/>
      <sheetName val="_97_207COSRP11.xls__97_207_3217"/>
      <sheetName val="_97_207COSRP11.xls__97_207_3781"/>
      <sheetName val="_97_207COSRP11.xls__97_207_3782"/>
      <sheetName val="_97_207COSRP11.xls__97_207_3783"/>
      <sheetName val="_97_207COSRP11.xls_B_______1269"/>
      <sheetName val="_97_207COSRP11.xls_B_______1270"/>
      <sheetName val="_97_207COSRP11.xls__97_207_3788"/>
      <sheetName val="_97_207COSRP11.xls__97_207_3784"/>
      <sheetName val="_97_207COSRP11.xls__97_207_3785"/>
      <sheetName val="_97_207COSRP11.xls__97_207_3789"/>
      <sheetName val="_97_207COSRP11.xls_B_______1271"/>
      <sheetName val="_97_207COSRP11.xls__97_207_3786"/>
      <sheetName val="_97_207COSRP11.xls__97_207_3787"/>
      <sheetName val="_97_207COSRP11.xls__97_207_3790"/>
      <sheetName val="_97_207COSRP11.xls__97_207_3759"/>
      <sheetName val="_97_207COSRP11.xls__97_207_3334"/>
      <sheetName val="_97_207COSRP11.xls__97_207_3335"/>
      <sheetName val="_97_207COSRP11.xls__97_207_3336"/>
      <sheetName val="_97_207COSRP11.xls__97_207_3267"/>
      <sheetName val="_97_207COSRP11.xls__97_207_3268"/>
      <sheetName val="_97_207COSRP11.xls_B_______1108"/>
      <sheetName val="_97_207COSRP11.xls_B_______1109"/>
      <sheetName val="_97_207COSRP11.xls__97_207_3274"/>
      <sheetName val="_97_207COSRP11.xls__97_207_3269"/>
      <sheetName val="_97_207COSRP11.xls__97_207_3270"/>
      <sheetName val="_97_207COSRP11.xls__97_207_3275"/>
      <sheetName val="_97_207COSRP11.xls_B_______1110"/>
      <sheetName val="_97_207COSRP11.xls__97_207_3271"/>
      <sheetName val="_97_207COSRP11.xls__97_207_3272"/>
      <sheetName val="_97_207COSRP11.xls__97_207_3273"/>
      <sheetName val="_97_207COSRP11.xls__97_207_3276"/>
      <sheetName val="_97_207COSRP11.xls_B_______1071"/>
      <sheetName val="_97_207COSRP11.xls_B_______1081"/>
      <sheetName val="_97_207COSRP11.xls_B_______1082"/>
      <sheetName val="_97_207COSRP11.xls_B_______1083"/>
      <sheetName val="_97_207COSRP11.xls_B_______1072"/>
      <sheetName val="_97_207COSRP11.xls_B_______1073"/>
      <sheetName val="_97_207COSRP11.xls_B_______1074"/>
      <sheetName val="_97_207COSRP11.xls_B_______1075"/>
      <sheetName val="_97_207COSRP11.xls_B_______1076"/>
      <sheetName val="_97_207COSRP11.xls_B_______1077"/>
      <sheetName val="_97_207COSRP11.xls_B_______1078"/>
      <sheetName val="_97_207COSRP11.xls_B_______1079"/>
      <sheetName val="_97_207COSRP11.xls_B_______1080"/>
      <sheetName val="_97_207COSRP11.xls_B_______1084"/>
      <sheetName val="_97_207COSRP11.xls_B_______1085"/>
      <sheetName val="_97_207COSRP11.xls_B_______1086"/>
      <sheetName val="_97_207COSRP11.xls_B_______1087"/>
      <sheetName val="_97_207COSRP11.xls_B_______1088"/>
      <sheetName val="_97_207COSRP11.xls_B_______1089"/>
      <sheetName val="_97_207COSRP11.xls_B_______1090"/>
      <sheetName val="_97_207COSRP11.xls_B_______1091"/>
      <sheetName val="_97_207COSRP11.xls_B_______1092"/>
      <sheetName val="_97_207COSRP11.xls_B_______1096"/>
      <sheetName val="_97_207COSRP11.xls_B_______1097"/>
      <sheetName val="_97_207COSRP11.xls__97_207_3222"/>
      <sheetName val="_97_207COSRP11.xls__97_207_3219"/>
      <sheetName val="_97_207COSRP11.xls__97_207_3223"/>
      <sheetName val="_97_207COSRP11.xls_B_______1098"/>
      <sheetName val="_97_207COSRP11.xls__97_207_3220"/>
      <sheetName val="_97_207COSRP11.xls__97_207_3221"/>
      <sheetName val="_97_207COSRP11.xls__97_207_3224"/>
      <sheetName val="_97_207COSRP11.xls_B_______1093"/>
      <sheetName val="_97_207COSRP11.xls_B_______1094"/>
      <sheetName val="_97_207COSRP11.xls_B_______1095"/>
      <sheetName val="_97_207COSRP11.xls__97_207_3231"/>
      <sheetName val="_97_207COSRP11.xls__97_207_3232"/>
      <sheetName val="_97_207COSRP11.xls__97_207_3233"/>
      <sheetName val="_97_207COSRP11.xls__97_207_3225"/>
      <sheetName val="_97_207COSRP11.xls__97_207_3226"/>
      <sheetName val="_97_207COSRP11.xls__97_207_3227"/>
      <sheetName val="_97_207COSRP11.xls__97_207_3228"/>
      <sheetName val="_97_207COSRP11.xls__97_207_3229"/>
      <sheetName val="_97_207COSRP11.xls__97_207_3230"/>
      <sheetName val="_97_207COSRP11.xls__97_207_3244"/>
      <sheetName val="_97_207COSRP11.xls__97_207_3245"/>
      <sheetName val="_97_207COSRP11.xls__97_207_3246"/>
      <sheetName val="_97_207COSRP11.xls__97_207_3234"/>
      <sheetName val="_97_207COSRP11.xls__97_207_3235"/>
      <sheetName val="_97_207COSRP11.xls__97_207_3236"/>
      <sheetName val="_97_207COSRP11.xls_B_______1102"/>
      <sheetName val="_97_207COSRP11.xls_B_______1103"/>
      <sheetName val="_97_207COSRP11.xls__97_207_3251"/>
      <sheetName val="_97_207COSRP11.xls__97_207_3247"/>
      <sheetName val="_97_207COSRP11.xls__97_207_3248"/>
      <sheetName val="_97_207COSRP11.xls__97_207_3252"/>
      <sheetName val="_97_207COSRP11.xls_B_______1104"/>
      <sheetName val="_97_207COSRP11.xls__97_207_3249"/>
      <sheetName val="_97_207COSRP11.xls__97_207_3250"/>
      <sheetName val="_97_207COSRP11.xls__97_207_3253"/>
      <sheetName val="_97_207COSRP11.xls__97_207_3237"/>
      <sheetName val="_97_207COSRP11.xls__97_207_3238"/>
      <sheetName val="_97_207COSRP11.xls__97_207_3239"/>
      <sheetName val="_97_207COSRP11.xls_B_______1099"/>
      <sheetName val="_97_207COSRP11.xls_B_______1100"/>
      <sheetName val="_97_207COSRP11.xls__97_207_3240"/>
      <sheetName val="_97_207COSRP11.xls__97_207_3241"/>
      <sheetName val="_97_207COSRP11.xls_B_______1101"/>
      <sheetName val="_97_207COSRP11.xls__97_207_3242"/>
      <sheetName val="_97_207COSRP11.xls__97_207_3243"/>
      <sheetName val="_97_207COSRP11.xls_B_______1105"/>
      <sheetName val="_97_207COSRP11.xls_B_______1106"/>
      <sheetName val="_97_207COSRP11.xls__97_207_3264"/>
      <sheetName val="_97_207COSRP11.xls__97_207_3254"/>
      <sheetName val="_97_207COSRP11.xls__97_207_3255"/>
      <sheetName val="_97_207COSRP11.xls__97_207_3256"/>
      <sheetName val="_97_207COSRP11.xls__97_207_3265"/>
      <sheetName val="_97_207COSRP11.xls_B_______1107"/>
      <sheetName val="_97_207COSRP11.xls__97_207_3257"/>
      <sheetName val="_97_207COSRP11.xls__97_207_3258"/>
      <sheetName val="_97_207COSRP11.xls__97_207_3259"/>
      <sheetName val="_97_207COSRP11.xls__97_207_3266"/>
      <sheetName val="_97_207COSRP11.xls__97_207_3260"/>
      <sheetName val="_97_207COSRP11.xls__97_207_3261"/>
      <sheetName val="_97_207COSRP11.xls__97_207_3262"/>
      <sheetName val="_97_207COSRP11.xls__97_207_3263"/>
      <sheetName val="_97_207COSRP11.xls__97_207_3277"/>
      <sheetName val="_97_207COSRP11.xls__97_207_3278"/>
      <sheetName val="_97_207COSRP11.xls__97_207_3279"/>
      <sheetName val="_97_207COSRP11.xls_B_______1111"/>
      <sheetName val="_97_207COSRP11.xls_B_______1112"/>
      <sheetName val="_97_207COSRP11.xls__97_207_3293"/>
      <sheetName val="_97_207COSRP11.xls__97_207_3280"/>
      <sheetName val="_97_207COSRP11.xls__97_207_3281"/>
      <sheetName val="_97_207COSRP11.xls__97_207_3294"/>
      <sheetName val="_97_207COSRP11.xls_B_______1113"/>
      <sheetName val="_97_207COSRP11.xls__97_207_3282"/>
      <sheetName val="_97_207COSRP11.xls__97_207_3283"/>
      <sheetName val="_97_207COSRP11.xls__97_207_3295"/>
      <sheetName val="_97_207COSRP11.xls__97_207_3284"/>
      <sheetName val="_97_207COSRP11.xls__97_207_3285"/>
      <sheetName val="_97_207COSRP11.xls__97_207_3286"/>
      <sheetName val="_97_207COSRP11.xls__97_207_3287"/>
      <sheetName val="_97_207COSRP11.xls__97_207_3288"/>
      <sheetName val="_97_207COSRP11.xls__97_207_3289"/>
      <sheetName val="_97_207COSRP11.xls__97_207_3290"/>
      <sheetName val="_97_207COSRP11.xls__97_207_3291"/>
      <sheetName val="_97_207COSRP11.xls__97_207_3292"/>
      <sheetName val="_97_207COSRP11.xls__97_207_3296"/>
      <sheetName val="_97_207COSRP11.xls__97_207_3297"/>
      <sheetName val="_97_207COSRP11.xls__97_207_3298"/>
      <sheetName val="_97_207COSRP11.xls_B_______1129"/>
      <sheetName val="_97_207COSRP11.xls_B_______1130"/>
      <sheetName val="_97_207COSRP11.xls__97_207_3348"/>
      <sheetName val="_97_207COSRP11.xls__97_207_3337"/>
      <sheetName val="_97_207COSRP11.xls__97_207_3338"/>
      <sheetName val="_97_207COSRP11.xls__97_207_3349"/>
      <sheetName val="_97_207COSRP11.xls_B_______1131"/>
      <sheetName val="_97_207COSRP11.xls__97_207_3339"/>
      <sheetName val="_97_207COSRP11.xls__97_207_3340"/>
      <sheetName val="_97_207COSRP11.xls__97_207_3350"/>
      <sheetName val="_97_207COSRP11.xls__97_207_3299"/>
      <sheetName val="_97_207COSRP11.xls__97_207_3300"/>
      <sheetName val="_97_207COSRP11.xls__97_207_3301"/>
      <sheetName val="_97_207COSRP11.xls_B_______1114"/>
      <sheetName val="_97_207COSRP11.xls_B_______1115"/>
      <sheetName val="_97_207COSRP11.xls__97_207_3302"/>
      <sheetName val="_97_207COSRP11.xls__97_207_3303"/>
      <sheetName val="_97_207COSRP11.xls_B_______1116"/>
      <sheetName val="_97_207COSRP11.xls__97_207_3304"/>
      <sheetName val="_97_207COSRP11.xls__97_207_3305"/>
      <sheetName val="_97_207COSRP11.xls__97_207_3306"/>
      <sheetName val="_97_207COSRP11.xls__97_207_3307"/>
      <sheetName val="_97_207COSRP11.xls__97_207_3308"/>
      <sheetName val="_97_207COSRP11.xls_B_______1117"/>
      <sheetName val="_97_207COSRP11.xls_B_______1118"/>
      <sheetName val="_97_207COSRP11.xls__97_207_3309"/>
      <sheetName val="_97_207COSRP11.xls__97_207_3310"/>
      <sheetName val="_97_207COSRP11.xls_B_______1119"/>
      <sheetName val="_97_207COSRP11.xls__97_207_3311"/>
      <sheetName val="_97_207COSRP11.xls__97_207_3312"/>
      <sheetName val="_97_207COSRP11.xls__97_207_3313"/>
      <sheetName val="_97_207COSRP11.xls__97_207_3314"/>
      <sheetName val="_97_207COSRP11.xls__97_207_3315"/>
      <sheetName val="_97_207COSRP11.xls_B_______1120"/>
      <sheetName val="_97_207COSRP11.xls_B_______1121"/>
      <sheetName val="_97_207COSRP11.xls__97_207_3316"/>
      <sheetName val="_97_207COSRP11.xls__97_207_3317"/>
      <sheetName val="_97_207COSRP11.xls_B_______1122"/>
      <sheetName val="_97_207COSRP11.xls__97_207_3318"/>
      <sheetName val="_97_207COSRP11.xls__97_207_3319"/>
      <sheetName val="_97_207COSRP11.xls__97_207_3320"/>
      <sheetName val="_97_207COSRP11.xls__97_207_3321"/>
      <sheetName val="_97_207COSRP11.xls__97_207_3322"/>
      <sheetName val="_97_207COSRP11.xls_B_______1123"/>
      <sheetName val="_97_207COSRP11.xls_B_______1124"/>
      <sheetName val="_97_207COSRP11.xls__97_207_3323"/>
      <sheetName val="_97_207COSRP11.xls__97_207_3324"/>
      <sheetName val="_97_207COSRP11.xls_B_______1125"/>
      <sheetName val="_97_207COSRP11.xls__97_207_3325"/>
      <sheetName val="_97_207COSRP11.xls__97_207_3326"/>
      <sheetName val="_97_207COSRP11.xls__97_207_3327"/>
      <sheetName val="_97_207COSRP11.xls__97_207_3328"/>
      <sheetName val="_97_207COSRP11.xls__97_207_3329"/>
      <sheetName val="_97_207COSRP11.xls_B_______1126"/>
      <sheetName val="_97_207COSRP11.xls_B_______1127"/>
      <sheetName val="_97_207COSRP11.xls__97_207_3330"/>
      <sheetName val="_97_207COSRP11.xls__97_207_3331"/>
      <sheetName val="_97_207COSRP11.xls_B_______1128"/>
      <sheetName val="_97_207COSRP11.xls__97_207_3332"/>
      <sheetName val="_97_207COSRP11.xls__97_207_3333"/>
      <sheetName val="_97_207COSRP11.xls_B_______1135"/>
      <sheetName val="_97_207COSRP11.xls_B_______1136"/>
      <sheetName val="_97_207COSRP11.xls__97_207_3355"/>
      <sheetName val="_97_207COSRP11.xls__97_207_3351"/>
      <sheetName val="_97_207COSRP11.xls__97_207_3352"/>
      <sheetName val="_97_207COSRP11.xls__97_207_3356"/>
      <sheetName val="_97_207COSRP11.xls_B_______1137"/>
      <sheetName val="_97_207COSRP11.xls__97_207_3353"/>
      <sheetName val="_97_207COSRP11.xls__97_207_3354"/>
      <sheetName val="_97_207COSRP11.xls__97_207_3357"/>
      <sheetName val="_97_207COSRP11.xls__97_207_3341"/>
      <sheetName val="_97_207COSRP11.xls__97_207_3342"/>
      <sheetName val="_97_207COSRP11.xls__97_207_3343"/>
      <sheetName val="_97_207COSRP11.xls_B_______1132"/>
      <sheetName val="_97_207COSRP11.xls_B_______1133"/>
      <sheetName val="_97_207COSRP11.xls__97_207_3344"/>
      <sheetName val="_97_207COSRP11.xls__97_207_3345"/>
      <sheetName val="_97_207COSRP11.xls_B_______1134"/>
      <sheetName val="_97_207COSRP11.xls__97_207_3346"/>
      <sheetName val="_97_207COSRP11.xls__97_207_3347"/>
      <sheetName val="_97_207COSRP11.xls__97_207_3358"/>
      <sheetName val="_97_207COSRP11.xls__97_207_3359"/>
      <sheetName val="_97_207COSRP11.xls__97_207_3360"/>
      <sheetName val="_97_207COSRP11.xls__97_207_3382"/>
      <sheetName val="_97_207COSRP11.xls__97_207_3383"/>
      <sheetName val="_97_207COSRP11.xls__97_207_3384"/>
      <sheetName val="_97_207COSRP11.xls_B_______1147"/>
      <sheetName val="_97_207COSRP11.xls_B_______1148"/>
      <sheetName val="_97_207COSRP11.xls__97_207_3389"/>
      <sheetName val="_97_207COSRP11.xls__97_207_3385"/>
      <sheetName val="_97_207COSRP11.xls__97_207_3386"/>
      <sheetName val="_97_207COSRP11.xls__97_207_3390"/>
      <sheetName val="_97_207COSRP11.xls_B_______1149"/>
      <sheetName val="_97_207COSRP11.xls__97_207_3387"/>
      <sheetName val="_97_207COSRP11.xls__97_207_3388"/>
      <sheetName val="_97_207COSRP11.xls__97_207_3391"/>
      <sheetName val="_97_207COSRP11.xls__97_207_3361"/>
      <sheetName val="_97_207COSRP11.xls__97_207_3362"/>
      <sheetName val="_97_207COSRP11.xls__97_207_3363"/>
      <sheetName val="_97_207COSRP11.xls_B_______1138"/>
      <sheetName val="_97_207COSRP11.xls_B_______1139"/>
      <sheetName val="_97_207COSRP11.xls__97_207_3364"/>
      <sheetName val="_97_207COSRP11.xls__97_207_3365"/>
      <sheetName val="_97_207COSRP11.xls_B_______1140"/>
      <sheetName val="_97_207COSRP11.xls__97_207_3366"/>
      <sheetName val="_97_207COSRP11.xls__97_207_3367"/>
      <sheetName val="_97_207COSRP11.xls__97_207_3368"/>
      <sheetName val="_97_207COSRP11.xls__97_207_3369"/>
      <sheetName val="_97_207COSRP11.xls__97_207_3370"/>
      <sheetName val="_97_207COSRP11.xls_B_______1141"/>
      <sheetName val="_97_207COSRP11.xls_B_______1142"/>
      <sheetName val="_97_207COSRP11.xls__97_207_3371"/>
      <sheetName val="_97_207COSRP11.xls__97_207_3372"/>
      <sheetName val="_97_207COSRP11.xls_B_______1143"/>
      <sheetName val="_97_207COSRP11.xls__97_207_3373"/>
      <sheetName val="_97_207COSRP11.xls__97_207_3374"/>
      <sheetName val="_97_207COSRP11.xls__97_207_3375"/>
      <sheetName val="_97_207COSRP11.xls__97_207_3376"/>
      <sheetName val="_97_207COSRP11.xls__97_207_3377"/>
      <sheetName val="_97_207COSRP11.xls_B_______1144"/>
      <sheetName val="_97_207COSRP11.xls_B_______1145"/>
      <sheetName val="_97_207COSRP11.xls__97_207_3378"/>
      <sheetName val="_97_207COSRP11.xls__97_207_3379"/>
      <sheetName val="_97_207COSRP11.xls_B_______1146"/>
      <sheetName val="_97_207COSRP11.xls__97_207_3380"/>
      <sheetName val="_97_207COSRP11.xls__97_207_3381"/>
      <sheetName val="_97_207COSRP11.xls_B_______1150"/>
      <sheetName val="_97_207COSRP11.xls_B_______1151"/>
      <sheetName val="_97_207COSRP11.xls__97_207_3396"/>
      <sheetName val="_97_207COSRP11.xls__97_207_3392"/>
      <sheetName val="_97_207COSRP11.xls__97_207_3393"/>
      <sheetName val="_97_207COSRP11.xls__97_207_3397"/>
      <sheetName val="_97_207COSRP11.xls_B_______1152"/>
      <sheetName val="_97_207COSRP11.xls__97_207_3394"/>
      <sheetName val="_97_207COSRP11.xls__97_207_3395"/>
      <sheetName val="_97_207COSRP11.xls__97_207_3398"/>
      <sheetName val="_97_207COSRP11.xls__97_207_3399"/>
      <sheetName val="_97_207COSRP11.xls__97_207_3400"/>
      <sheetName val="_97_207COSRP11.xls__97_207_3401"/>
      <sheetName val="_97_207COSRP11.xls_B_______1153"/>
      <sheetName val="_97_207COSRP11.xls_B_______1154"/>
      <sheetName val="_97_207COSRP11.xls__97_207_3406"/>
      <sheetName val="_97_207COSRP11.xls__97_207_3402"/>
      <sheetName val="_97_207COSRP11.xls__97_207_3403"/>
      <sheetName val="_97_207COSRP11.xls__97_207_3407"/>
      <sheetName val="_97_207COSRP11.xls_B_______1155"/>
      <sheetName val="_97_207COSRP11.xls__97_207_3404"/>
      <sheetName val="_97_207COSRP11.xls__97_207_3405"/>
      <sheetName val="_97_207COSRP11.xls__97_207_3408"/>
      <sheetName val="_97_207COSRP11.xls__97_207_3416"/>
      <sheetName val="_97_207COSRP11.xls__97_207_3417"/>
      <sheetName val="_97_207COSRP11.xls_B_______1159"/>
      <sheetName val="_97_207COSRP11.xls_B_______1160"/>
      <sheetName val="_97_207COSRP11.xls__97_207_3423"/>
      <sheetName val="_97_207COSRP11.xls__97_207_3418"/>
      <sheetName val="_97_207COSRP11.xls__97_207_3419"/>
      <sheetName val="_97_207COSRP11.xls__97_207_3424"/>
      <sheetName val="_97_207COSRP11.xls_B_______1161"/>
      <sheetName val="_97_207COSRP11.xls__97_207_3420"/>
      <sheetName val="_97_207COSRP11.xls__97_207_3421"/>
      <sheetName val="_97_207COSRP11.xls__97_207_3425"/>
      <sheetName val="_97_207COSRP11.xls__97_207_3422"/>
      <sheetName val="_97_207COSRP11.xls__97_207_3409"/>
      <sheetName val="_97_207COSRP11.xls__97_207_3410"/>
      <sheetName val="_97_207COSRP11.xls_B_______1156"/>
      <sheetName val="_97_207COSRP11.xls_B_______1157"/>
      <sheetName val="_97_207COSRP11.xls__97_207_3411"/>
      <sheetName val="_97_207COSRP11.xls__97_207_3412"/>
      <sheetName val="_97_207COSRP11.xls_B_______1158"/>
      <sheetName val="_97_207COSRP11.xls__97_207_3413"/>
      <sheetName val="_97_207COSRP11.xls__97_207_3414"/>
      <sheetName val="_97_207COSRP11.xls__97_207_3415"/>
      <sheetName val="_97_207COSRP11.xls__97_207_3429"/>
      <sheetName val="_97_207COSRP11.xls__97_207_3430"/>
      <sheetName val="_97_207COSRP11.xls__97_207_3431"/>
      <sheetName val="_97_207COSRP11.xls__97_207_3426"/>
      <sheetName val="_97_207COSRP11.xls__97_207_3427"/>
      <sheetName val="_97_207COSRP11.xls__97_207_3428"/>
      <sheetName val="_97_207COSRP11.xls_B_______1162"/>
      <sheetName val="_97_207COSRP11.xls_B_______1163"/>
      <sheetName val="_97_207COSRP11.xls__97_207_3439"/>
      <sheetName val="_97_207COSRP11.xls__97_207_3432"/>
      <sheetName val="_97_207COSRP11.xls__97_207_3433"/>
      <sheetName val="_97_207COSRP11.xls__97_207_3440"/>
      <sheetName val="_97_207COSRP11.xls_B_______1164"/>
      <sheetName val="_97_207COSRP11.xls__97_207_3434"/>
      <sheetName val="_97_207COSRP11.xls__97_207_3435"/>
      <sheetName val="_97_207COSRP11.xls__97_207_3441"/>
      <sheetName val="_97_207COSRP11.xls__97_207_3436"/>
      <sheetName val="_97_207COSRP11.xls__97_207_3437"/>
      <sheetName val="_97_207COSRP11.xls__97_207_3438"/>
      <sheetName val="_97_207COSRP11.xls__97_207_3442"/>
      <sheetName val="_97_207COSRP11.xls__97_207_3443"/>
      <sheetName val="_97_207COSRP11.xls__97_207_3444"/>
      <sheetName val="_97_207COSRP11.xls__97_207_3445"/>
      <sheetName val="_97_207COSRP11.xls__97_207_3446"/>
      <sheetName val="_97_207COSRP11.xls__97_207_3447"/>
      <sheetName val="_97_207COSRP11.xls__97_207_3448"/>
      <sheetName val="_97_207COSRP11.xls__97_207_3449"/>
      <sheetName val="_97_207COSRP11.xls__97_207_3450"/>
      <sheetName val="_97_207COSRP11.xls_B_______1165"/>
      <sheetName val="_97_207COSRP11.xls_B_______1166"/>
      <sheetName val="_97_207COSRP11.xls__97_207_3490"/>
      <sheetName val="_97_207COSRP11.xls__97_207_3451"/>
      <sheetName val="_97_207COSRP11.xls__97_207_3452"/>
      <sheetName val="_97_207COSRP11.xls__97_207_3491"/>
      <sheetName val="_97_207COSRP11.xls_B_______1167"/>
      <sheetName val="_97_207COSRP11.xls__97_207_3453"/>
      <sheetName val="_97_207COSRP11.xls__97_207_3454"/>
      <sheetName val="_97_207COSRP11.xls__97_207_3492"/>
      <sheetName val="_97_207COSRP11.xls_B_______1183"/>
      <sheetName val="_97_207COSRP11.xls_B_______1184"/>
      <sheetName val="_97_207COSRP11.xls__97_207_3497"/>
      <sheetName val="_97_207COSRP11.xls__97_207_3493"/>
      <sheetName val="_97_207COSRP11.xls__97_207_3494"/>
      <sheetName val="_97_207COSRP11.xls__97_207_3498"/>
      <sheetName val="_97_207COSRP11.xls_B_______1185"/>
      <sheetName val="_97_207COSRP11.xls__97_207_3495"/>
      <sheetName val="_97_207COSRP11.xls__97_207_3496"/>
      <sheetName val="_97_207COSRP11.xls__97_207_3499"/>
      <sheetName val="_97_207COSRP11.xls__97_207_3456"/>
      <sheetName val="_97_207COSRP11.xls__97_207_3457"/>
      <sheetName val="_97_207COSRP11.xls__97_207_3458"/>
      <sheetName val="_97_207COSRP11.xls_B_______1171"/>
      <sheetName val="_97_207COSRP11.xls_B_______1172"/>
      <sheetName val="_97_207COSRP11.xls__97_207_3459"/>
      <sheetName val="_97_207COSRP11.xls__97_207_3460"/>
      <sheetName val="_97_207COSRP11.xls_B_______1173"/>
      <sheetName val="_97_207COSRP11.xls__97_207_3461"/>
      <sheetName val="_97_207COSRP11.xls__97_207_3462"/>
      <sheetName val="_97_207COSRP11.xls_B_______1168"/>
      <sheetName val="_97_207COSRP11.xls_B_______1169"/>
      <sheetName val="_97_207COSRP11.xls_B_______1170"/>
      <sheetName val="_97_207COSRP11.xls__97_207_3455"/>
      <sheetName val="_97_207COSRP11.xls__97_207_3470"/>
      <sheetName val="_97_207COSRP11.xls__97_207_3471"/>
      <sheetName val="_97_207COSRP11.xls__97_207_3472"/>
      <sheetName val="_97_207COSRP11.xls__97_207_3463"/>
      <sheetName val="_97_207COSRP11.xls__97_207_3464"/>
      <sheetName val="_97_207COSRP11.xls__97_207_3465"/>
      <sheetName val="_97_207COSRP11.xls_B_______1174"/>
      <sheetName val="_97_207COSRP11.xls_B_______1175"/>
      <sheetName val="_97_207COSRP11.xls__97_207_3466"/>
      <sheetName val="_97_207COSRP11.xls__97_207_3467"/>
      <sheetName val="_97_207COSRP11.xls_B_______1176"/>
      <sheetName val="_97_207COSRP11.xls__97_207_3468"/>
      <sheetName val="_97_207COSRP11.xls__97_207_3469"/>
      <sheetName val="_97_207COSRP11.xls__97_207_3473"/>
      <sheetName val="_97_207COSRP11.xls__97_207_3474"/>
      <sheetName val="_97_207COSRP11.xls__97_207_3475"/>
      <sheetName val="_97_207COSRP11.xls__97_207_3476"/>
      <sheetName val="_97_207COSRP11.xls__97_207_3477"/>
      <sheetName val="_97_207COSRP11.xls__97_207_3478"/>
      <sheetName val="_97_207COSRP11.xls_B_______1177"/>
      <sheetName val="_97_207COSRP11.xls_B_______1178"/>
      <sheetName val="_97_207COSRP11.xls__97_207_3479"/>
      <sheetName val="_97_207COSRP11.xls__97_207_3480"/>
      <sheetName val="_97_207COSRP11.xls_B_______1179"/>
      <sheetName val="_97_207COSRP11.xls__97_207_3481"/>
      <sheetName val="_97_207COSRP11.xls__97_207_3482"/>
      <sheetName val="_97_207COSRP11.xls__97_207_3483"/>
      <sheetName val="_97_207COSRP11.xls__97_207_3484"/>
      <sheetName val="_97_207COSRP11.xls__97_207_3485"/>
      <sheetName val="_97_207COSRP11.xls_B_______1180"/>
      <sheetName val="_97_207COSRP11.xls_B_______1181"/>
      <sheetName val="_97_207COSRP11.xls__97_207_3486"/>
      <sheetName val="_97_207COSRP11.xls__97_207_3487"/>
      <sheetName val="_97_207COSRP11.xls_B_______1182"/>
      <sheetName val="_97_207COSRP11.xls__97_207_3488"/>
      <sheetName val="_97_207COSRP11.xls__97_207_3489"/>
      <sheetName val="_97_207COSRP11.xls__97_207_3528"/>
      <sheetName val="_97_207COSRP11.xls__97_207_3529"/>
      <sheetName val="_97_207COSRP11.xls__97_207_3530"/>
      <sheetName val="_97_207COSRP11.xls_B_______1198"/>
      <sheetName val="_97_207COSRP11.xls_B_______1199"/>
      <sheetName val="_97_207COSRP11.xls__97_207_3535"/>
      <sheetName val="_97_207COSRP11.xls__97_207_3531"/>
      <sheetName val="_97_207COSRP11.xls__97_207_3532"/>
      <sheetName val="_97_207COSRP11.xls__97_207_3536"/>
      <sheetName val="_97_207COSRP11.xls_B_______1200"/>
      <sheetName val="_97_207COSRP11.xls__97_207_3533"/>
      <sheetName val="_97_207COSRP11.xls__97_207_3534"/>
      <sheetName val="_97_207COSRP11.xls_B_______1189"/>
      <sheetName val="_97_207COSRP11.xls_B_______1190"/>
      <sheetName val="_97_207COSRP11.xls__97_207_3512"/>
      <sheetName val="_97_207COSRP11.xls__97_207_3506"/>
      <sheetName val="_97_207COSRP11.xls__97_207_3507"/>
      <sheetName val="_97_207COSRP11.xls__97_207_3508"/>
      <sheetName val="_97_207COSRP11.xls__97_207_3513"/>
      <sheetName val="_97_207COSRP11.xls_B_______1191"/>
      <sheetName val="_97_207COSRP11.xls__97_207_3509"/>
      <sheetName val="_97_207COSRP11.xls__97_207_3510"/>
      <sheetName val="_97_207COSRP11.xls__97_207_3511"/>
      <sheetName val="_97_207COSRP11.xls_B_______1186"/>
      <sheetName val="_97_207COSRP11.xls_B_______1187"/>
      <sheetName val="_97_207COSRP11.xls__97_207_3500"/>
      <sheetName val="_97_207COSRP11.xls__97_207_3501"/>
      <sheetName val="_97_207COSRP11.xls__97_207_3502"/>
      <sheetName val="_97_207COSRP11.xls_B_______1188"/>
      <sheetName val="_97_207COSRP11.xls__97_207_3503"/>
      <sheetName val="_97_207COSRP11.xls__97_207_3504"/>
      <sheetName val="_97_207COSRP11.xls__97_207_3505"/>
      <sheetName val="_97_207COSRP11.xls__97_207_3537"/>
      <sheetName val="_97_207COSRP11.xls__97_207_3514"/>
      <sheetName val="_97_207COSRP11.xls__97_207_3515"/>
      <sheetName val="_97_207COSRP11.xls__97_207_3516"/>
      <sheetName val="_97_207COSRP11.xls_B_______1192"/>
      <sheetName val="_97_207COSRP11.xls_B_______1193"/>
      <sheetName val="_97_207COSRP11.xls__97_207_3517"/>
      <sheetName val="_97_207COSRP11.xls__97_207_3518"/>
      <sheetName val="_97_207COSRP11.xls_B_______1194"/>
      <sheetName val="_97_207COSRP11.xls__97_207_3519"/>
      <sheetName val="_97_207COSRP11.xls__97_207_3520"/>
      <sheetName val="_97_207COSRP11.xls__97_207_3521"/>
      <sheetName val="_97_207COSRP11.xls__97_207_3522"/>
      <sheetName val="_97_207COSRP11.xls__97_207_3523"/>
      <sheetName val="_97_207COSRP11.xls_B_______1195"/>
      <sheetName val="_97_207COSRP11.xls_B_______1196"/>
      <sheetName val="_97_207COSRP11.xls__97_207_3524"/>
      <sheetName val="_97_207COSRP11.xls__97_207_3525"/>
      <sheetName val="_97_207COSRP11.xls_B_______1197"/>
      <sheetName val="_97_207COSRP11.xls__97_207_3526"/>
      <sheetName val="_97_207COSRP11.xls__97_207_3527"/>
      <sheetName val="_97_207COSRP11.xls__97_207_3541"/>
      <sheetName val="_97_207COSRP11.xls__97_207_3542"/>
      <sheetName val="_97_207COSRP11.xls__97_207_3543"/>
      <sheetName val="_97_207COSRP11.xls__97_207_3538"/>
      <sheetName val="_97_207COSRP11.xls__97_207_3539"/>
      <sheetName val="_97_207COSRP11.xls__97_207_3540"/>
      <sheetName val="_97_207COSRP11.xls_B_______1201"/>
      <sheetName val="_97_207COSRP11.xls_B_______1202"/>
      <sheetName val="_97_207COSRP11.xls__97_207_3551"/>
      <sheetName val="_97_207COSRP11.xls__97_207_3544"/>
      <sheetName val="_97_207COSRP11.xls__97_207_3545"/>
      <sheetName val="_97_207COSRP11.xls__97_207_3552"/>
      <sheetName val="_97_207COSRP11.xls_B_______1203"/>
      <sheetName val="_97_207COSRP11.xls__97_207_3546"/>
      <sheetName val="_97_207COSRP11.xls__97_207_3547"/>
      <sheetName val="_97_207COSRP11.xls__97_207_3553"/>
      <sheetName val="_97_207COSRP11.xls__97_207_3548"/>
      <sheetName val="_97_207COSRP11.xls__97_207_3549"/>
      <sheetName val="_97_207COSRP11.xls__97_207_3550"/>
      <sheetName val="_97_207COSRP11.xls__97_207_3554"/>
      <sheetName val="_97_207COSRP11.xls__97_207_3555"/>
      <sheetName val="_97_207COSRP11.xls__97_207_3556"/>
      <sheetName val="_97_207COSRP11.xls__97_207_3563"/>
      <sheetName val="_97_207COSRP11.xls__97_207_3564"/>
      <sheetName val="_97_207COSRP11.xls__97_207_3565"/>
      <sheetName val="_97_207COSRP11.xls__97_207_3557"/>
      <sheetName val="_97_207COSRP11.xls__97_207_3558"/>
      <sheetName val="_97_207COSRP11.xls__97_207_3559"/>
      <sheetName val="_97_207COSRP11.xls__97_207_3560"/>
      <sheetName val="_97_207COSRP11.xls__97_207_3561"/>
      <sheetName val="_97_207COSRP11.xls__97_207_3562"/>
      <sheetName val="_97_207COSRP11.xls__97_207_3573"/>
      <sheetName val="_97_207COSRP11.xls__97_207_3574"/>
      <sheetName val="_97_207COSRP11.xls_B_______1207"/>
      <sheetName val="_97_207COSRP11.xls_B_______1208"/>
      <sheetName val="_97_207COSRP11.xls__97_207_3598"/>
      <sheetName val="_97_207COSRP11.xls__97_207_3575"/>
      <sheetName val="_97_207COSRP11.xls__97_207_3576"/>
      <sheetName val="_97_207COSRP11.xls__97_207_3599"/>
      <sheetName val="_97_207COSRP11.xls_B_______1209"/>
      <sheetName val="_97_207COSRP11.xls__97_207_3577"/>
      <sheetName val="_97_207COSRP11.xls__97_207_3578"/>
      <sheetName val="_97_207COSRP11.xls__97_207_3600"/>
      <sheetName val="_97_207COSRP11.xls__97_207_3579"/>
      <sheetName val="_97_207COSRP11.xls__97_207_3566"/>
      <sheetName val="_97_207COSRP11.xls__97_207_3567"/>
      <sheetName val="_97_207COSRP11.xls_B_______1204"/>
      <sheetName val="_97_207COSRP11.xls_B_______1205"/>
      <sheetName val="_97_207COSRP11.xls__97_207_3568"/>
      <sheetName val="_97_207COSRP11.xls__97_207_3569"/>
      <sheetName val="_97_207COSRP11.xls_B_______1206"/>
      <sheetName val="_97_207COSRP11.xls__97_207_3570"/>
      <sheetName val="_97_207COSRP11.xls__97_207_3571"/>
      <sheetName val="_97_207COSRP11.xls__97_207_3572"/>
      <sheetName val="_97_207COSRP11.xls__97_207_3580"/>
      <sheetName val="_97_207COSRP11.xls__97_207_3581"/>
      <sheetName val="_97_207COSRP11.xls__97_207_3582"/>
      <sheetName val="_97_207COSRP11.xls__97_207_3583"/>
      <sheetName val="_97_207COSRP11.xls__97_207_3584"/>
      <sheetName val="_97_207COSRP11.xls__97_207_3585"/>
      <sheetName val="_97_207COSRP11.xls__97_207_3586"/>
      <sheetName val="_97_207COSRP11.xls__97_207_3587"/>
      <sheetName val="_97_207COSRP11.xls__97_207_3588"/>
      <sheetName val="_97_207COSRP11.xls__97_207_3589"/>
      <sheetName val="_97_207COSRP11.xls__97_207_3590"/>
      <sheetName val="_97_207COSRP11.xls__97_207_3591"/>
      <sheetName val="_97_207COSRP11.xls__97_207_3592"/>
      <sheetName val="_97_207COSRP11.xls__97_207_3593"/>
      <sheetName val="_97_207COSRP11.xls__97_207_3594"/>
      <sheetName val="_97_207COSRP11.xls__97_207_3595"/>
      <sheetName val="_97_207COSRP11.xls__97_207_3596"/>
      <sheetName val="_97_207COSRP11.xls__97_207_3597"/>
      <sheetName val="_97_207COSRP11.xls__97_207_3601"/>
      <sheetName val="_97_207COSRP11.xls__97_207_3602"/>
      <sheetName val="_97_207COSRP11.xls__97_207_3603"/>
      <sheetName val="_97_207COSRP11.xls_B_______1210"/>
      <sheetName val="_97_207COSRP11.xls_B_______1211"/>
      <sheetName val="_97_207COSRP11.xls__97_207_3608"/>
      <sheetName val="_97_207COSRP11.xls__97_207_3604"/>
      <sheetName val="_97_207COSRP11.xls__97_207_3605"/>
      <sheetName val="_97_207COSRP11.xls__97_207_3609"/>
      <sheetName val="_97_207COSRP11.xls_B_______1212"/>
      <sheetName val="_97_207COSRP11.xls__97_207_3606"/>
      <sheetName val="_97_207COSRP11.xls__97_207_3607"/>
      <sheetName val="_97_207COSRP11.xls__97_207_3610"/>
      <sheetName val="_97_207COSRP11.xls__97_207_3618"/>
      <sheetName val="_97_207COSRP11.xls__97_207_3619"/>
      <sheetName val="_97_207COSRP11.xls__97_207_3620"/>
      <sheetName val="_97_207COSRP11.xls_B_______1216"/>
      <sheetName val="_97_207COSRP11.xls_B_______1217"/>
      <sheetName val="_97_207COSRP11.xls__97_207_3680"/>
      <sheetName val="_97_207COSRP11.xls__97_207_3621"/>
      <sheetName val="_97_207COSRP11.xls__97_207_3622"/>
      <sheetName val="_97_207COSRP11.xls__97_207_3681"/>
      <sheetName val="_97_207COSRP11.xls_B_______1218"/>
      <sheetName val="_97_207COSRP11.xls__97_207_3623"/>
      <sheetName val="_97_207COSRP11.xls__97_207_3624"/>
      <sheetName val="_97_207COSRP11.xls__97_207_3682"/>
      <sheetName val="_97_207COSRP11.xls__97_207_3611"/>
      <sheetName val="_97_207COSRP11.xls__97_207_3612"/>
      <sheetName val="_97_207COSRP11.xls__97_207_3613"/>
      <sheetName val="_97_207COSRP11.xls_B_______1213"/>
      <sheetName val="_97_207COSRP11.xls_B_______1214"/>
      <sheetName val="_97_207COSRP11.xls__97_207_3614"/>
      <sheetName val="_97_207COSRP11.xls__97_207_3615"/>
      <sheetName val="_97_207COSRP11.xls_B_______1215"/>
      <sheetName val="_97_207COSRP11.xls__97_207_3616"/>
      <sheetName val="_97_207COSRP11.xls__97_207_3617"/>
      <sheetName val="_97_207COSRP11.xls__97_207_3646"/>
      <sheetName val="_97_207COSRP11.xls__97_207_3647"/>
      <sheetName val="_97_207COSRP11.xls__97_207_3648"/>
      <sheetName val="_97_207COSRP11.xls__97_207_3639"/>
      <sheetName val="_97_207COSRP11.xls__97_207_3640"/>
      <sheetName val="_97_207COSRP11.xls__97_207_3641"/>
      <sheetName val="_97_207COSRP11.xls_B_______1225"/>
      <sheetName val="_97_207COSRP11.xls_B_______1226"/>
      <sheetName val="_97_207COSRP11.xls__97_207_3642"/>
      <sheetName val="_97_207COSRP11.xls__97_207_3643"/>
      <sheetName val="_97_207COSRP11.xls_B_______1227"/>
      <sheetName val="_97_207COSRP11.xls__97_207_3644"/>
      <sheetName val="_97_207COSRP11.xls__97_207_3645"/>
      <sheetName val="_97_207COSRP11.xls__97_207_3625"/>
      <sheetName val="_97_207COSRP11.xls__97_207_3626"/>
      <sheetName val="_97_207COSRP11.xls__97_207_3627"/>
      <sheetName val="_97_207COSRP11.xls_B_______1219"/>
      <sheetName val="_97_207COSRP11.xls_B_______1220"/>
      <sheetName val="_97_207COSRP11.xls__97_207_3628"/>
      <sheetName val="_97_207COSRP11.xls__97_207_3629"/>
      <sheetName val="_97_207COSRP11.xls_B_______1221"/>
      <sheetName val="_97_207COSRP11.xls__97_207_3630"/>
      <sheetName val="_97_207COSRP11.xls__97_207_3631"/>
      <sheetName val="_97_207COSRP11.xls__97_207_3632"/>
      <sheetName val="_97_207COSRP11.xls__97_207_3633"/>
      <sheetName val="_97_207COSRP11.xls__97_207_3634"/>
      <sheetName val="_97_207COSRP11.xls_B_______1222"/>
      <sheetName val="_97_207COSRP11.xls_B_______1223"/>
      <sheetName val="_97_207COSRP11.xls__97_207_3635"/>
      <sheetName val="_97_207COSRP11.xls__97_207_3636"/>
      <sheetName val="_97_207COSRP11.xls_B_______1224"/>
      <sheetName val="_97_207COSRP11.xls__97_207_3637"/>
      <sheetName val="_97_207COSRP11.xls__97_207_3638"/>
      <sheetName val="_97_207COSRP11.xls__97_207_3649"/>
      <sheetName val="_97_207COSRP11.xls__97_207_3650"/>
      <sheetName val="_97_207COSRP11.xls__97_207_3651"/>
      <sheetName val="_97_207COSRP11.xls_B_______1240"/>
      <sheetName val="_97_207COSRP11.xls_B_______1241"/>
      <sheetName val="_97_207COSRP11.xls__97_207_3734"/>
      <sheetName val="_97_207COSRP11.xls__97_207_3683"/>
      <sheetName val="_97_207COSRP11.xls__97_207_3684"/>
      <sheetName val="_97_207COSRP11.xls__97_207_3735"/>
      <sheetName val="_97_207COSRP11.xls_B_______1242"/>
      <sheetName val="_97_207COSRP11.xls__97_207_3685"/>
      <sheetName val="_97_207COSRP11.xls__97_207_3686"/>
      <sheetName val="_97_207COSRP11.xls__97_207_3736"/>
      <sheetName val="_97_207COSRP11.xls__97_207_3652"/>
      <sheetName val="_97_207COSRP11.xls__97_207_3653"/>
      <sheetName val="_97_207COSRP11.xls__97_207_3654"/>
      <sheetName val="_97_207COSRP11.xls_B_______1228"/>
      <sheetName val="_97_207COSRP11.xls_B_______1229"/>
      <sheetName val="_97_207COSRP11.xls__97_207_3655"/>
      <sheetName val="_97_207COSRP11.xls__97_207_3656"/>
      <sheetName val="_97_207COSRP11.xls_B_______1230"/>
      <sheetName val="_97_207COSRP11.xls__97_207_3657"/>
      <sheetName val="_97_207COSRP11.xls__97_207_3658"/>
      <sheetName val="_97_207COSRP11.xls__97_207_3659"/>
      <sheetName val="_97_207COSRP11.xls__97_207_3660"/>
      <sheetName val="_97_207COSRP11.xls__97_207_3661"/>
      <sheetName val="_97_207COSRP11.xls_B_______1231"/>
      <sheetName val="_97_207COSRP11.xls_B_______1232"/>
      <sheetName val="_97_207COSRP11.xls__97_207_3662"/>
      <sheetName val="_97_207COSRP11.xls__97_207_3663"/>
      <sheetName val="_97_207COSRP11.xls_B_______1233"/>
      <sheetName val="_97_207COSRP11.xls__97_207_3664"/>
      <sheetName val="_97_207COSRP11.xls__97_207_3665"/>
      <sheetName val="_97_207COSRP11.xls__97_207_3666"/>
      <sheetName val="_97_207COSRP11.xls__97_207_3667"/>
      <sheetName val="_97_207COSRP11.xls__97_207_3668"/>
      <sheetName val="_97_207COSRP11.xls_B_______1234"/>
      <sheetName val="_97_207COSRP11.xls_B_______1235"/>
      <sheetName val="_97_207COSRP11.xls__97_207_3669"/>
      <sheetName val="_97_207COSRP11.xls__97_207_3670"/>
      <sheetName val="_97_207COSRP11.xls_B_______1236"/>
      <sheetName val="_97_207COSRP11.xls__97_207_3671"/>
      <sheetName val="_97_207COSRP11.xls__97_207_3672"/>
      <sheetName val="_97_207COSRP11.xls__97_207_3673"/>
      <sheetName val="_97_207COSRP11.xls__97_207_3674"/>
      <sheetName val="_97_207COSRP11.xls__97_207_3675"/>
      <sheetName val="_97_207COSRP11.xls_B_______1237"/>
      <sheetName val="_97_207COSRP11.xls_B_______1238"/>
      <sheetName val="_97_207COSRP11.xls__97_207_3676"/>
      <sheetName val="_97_207COSRP11.xls__97_207_3677"/>
      <sheetName val="_97_207COSRP11.xls_B_______1239"/>
      <sheetName val="_97_207COSRP11.xls__97_207_3678"/>
      <sheetName val="_97_207COSRP11.xls__97_207_3679"/>
      <sheetName val="_97_207COSRP11.xls__97_207_3731"/>
      <sheetName val="_97_207COSRP11.xls__97_207_3732"/>
      <sheetName val="_97_207COSRP11.xls__97_207_3733"/>
      <sheetName val="_97_207COSRP11.xls__97_207_3715"/>
      <sheetName val="_97_207COSRP11.xls__97_207_3716"/>
      <sheetName val="_97_207COSRP11.xls__97_207_3717"/>
      <sheetName val="_97_207COSRP11.xls_B_______1255"/>
      <sheetName val="_97_207COSRP11.xls_B_______1256"/>
      <sheetName val="_97_207COSRP11.xls__97_207_3722"/>
      <sheetName val="_97_207COSRP11.xls__97_207_3718"/>
      <sheetName val="_97_207COSRP11.xls__97_207_3719"/>
      <sheetName val="_97_207COSRP11.xls__97_207_3723"/>
      <sheetName val="_97_207COSRP11.xls_B_______1257"/>
      <sheetName val="_97_207COSRP11.xls__97_207_3720"/>
      <sheetName val="_97_207COSRP11.xls__97_207_3721"/>
      <sheetName val="_97_207COSRP11.xls__97_207_3724"/>
      <sheetName val="_97_207COSRP11.xls__97_207_3687"/>
      <sheetName val="_97_207COSRP11.xls__97_207_3688"/>
      <sheetName val="_97_207COSRP11.xls__97_207_3689"/>
      <sheetName val="_97_207COSRP11.xls_B_______1243"/>
      <sheetName val="_97_207COSRP11.xls_B_______1244"/>
      <sheetName val="_97_207COSRP11.xls__97_207_3690"/>
      <sheetName val="_97_207COSRP11.xls__97_207_3691"/>
      <sheetName val="_97_207COSRP11.xls_B_______1245"/>
      <sheetName val="_97_207COSRP11.xls__97_207_3692"/>
      <sheetName val="_97_207COSRP11.xls__97_207_3693"/>
      <sheetName val="_97_207COSRP11.xls__97_207_3694"/>
      <sheetName val="_97_207COSRP11.xls__97_207_3695"/>
      <sheetName val="_97_207COSRP11.xls__97_207_3696"/>
      <sheetName val="_97_207COSRP11.xls_B_______1246"/>
      <sheetName val="_97_207COSRP11.xls_B_______1247"/>
      <sheetName val="_97_207COSRP11.xls__97_207_3697"/>
      <sheetName val="_97_207COSRP11.xls__97_207_3698"/>
      <sheetName val="_97_207COSRP11.xls_B_______1248"/>
      <sheetName val="_97_207COSRP11.xls__97_207_3699"/>
      <sheetName val="_97_207COSRP11.xls__97_207_3700"/>
      <sheetName val="_97_207COSRP11.xls__97_207_3701"/>
      <sheetName val="_97_207COSRP11.xls__97_207_3702"/>
      <sheetName val="_97_207COSRP11.xls__97_207_3703"/>
      <sheetName val="_97_207COSRP11.xls_B_______1249"/>
      <sheetName val="_97_207COSRP11.xls_B_______1250"/>
      <sheetName val="_97_207COSRP11.xls__97_207_3704"/>
      <sheetName val="_97_207COSRP11.xls__97_207_3705"/>
      <sheetName val="_97_207COSRP11.xls_B_______1251"/>
      <sheetName val="_97_207COSRP11.xls__97_207_3706"/>
      <sheetName val="_97_207COSRP11.xls__97_207_3707"/>
      <sheetName val="_97_207COSRP11.xls__97_207_3708"/>
      <sheetName val="_97_207COSRP11.xls__97_207_3709"/>
      <sheetName val="_97_207COSRP11.xls__97_207_3710"/>
      <sheetName val="_97_207COSRP11.xls_B_______1252"/>
      <sheetName val="_97_207COSRP11.xls_B_______1253"/>
      <sheetName val="_97_207COSRP11.xls__97_207_3711"/>
      <sheetName val="_97_207COSRP11.xls__97_207_3712"/>
      <sheetName val="_97_207COSRP11.xls_B_______1254"/>
      <sheetName val="_97_207COSRP11.xls__97_207_3713"/>
      <sheetName val="_97_207COSRP11.xls__97_207_3714"/>
      <sheetName val="_97_207COSRP11.xls__97_207_3725"/>
      <sheetName val="_97_207COSRP11.xls__97_207_3726"/>
      <sheetName val="_97_207COSRP11.xls__97_207_3727"/>
      <sheetName val="_97_207COSRP11.xls__97_207_3728"/>
      <sheetName val="_97_207COSRP11.xls__97_207_3729"/>
      <sheetName val="_97_207COSRP11.xls__97_207_3730"/>
      <sheetName val="_97_207COSRP11.xls__97_207_3750"/>
      <sheetName val="_97_207COSRP11.xls__97_207_3751"/>
      <sheetName val="_97_207COSRP11.xls__97_207_3752"/>
      <sheetName val="_97_207COSRP11.xls_B_______1260"/>
      <sheetName val="_97_207COSRP11.xls_B_______1261"/>
      <sheetName val="_97_207COSRP11.xls__97_207_3743"/>
      <sheetName val="_97_207COSRP11.xls__97_207_3744"/>
      <sheetName val="_97_207COSRP11.xls__97_207_3745"/>
      <sheetName val="_97_207COSRP11.xls__97_207_3746"/>
      <sheetName val="_97_207COSRP11.xls_B_______1262"/>
      <sheetName val="_97_207COSRP11.xls__97_207_3747"/>
      <sheetName val="_97_207COSRP11.xls__97_207_3748"/>
      <sheetName val="_97_207COSRP11.xls__97_207_3749"/>
      <sheetName val="_97_207COSRP11.xls__97_207_3737"/>
      <sheetName val="_97_207COSRP11.xls__97_207_3738"/>
      <sheetName val="_97_207COSRP11.xls__97_207_3739"/>
      <sheetName val="_97_207COSRP11.xls_B_______1258"/>
      <sheetName val="_97_207COSRP11.xls_B_______1259"/>
      <sheetName val="_97_207COSRP11.xls__97_207_3740"/>
      <sheetName val="_97_207COSRP11.xls__97_207_3741"/>
      <sheetName val="_97_207COSRP11.xls__97_207_3742"/>
      <sheetName val="_97_207COSRP11.xls__97_207_3753"/>
      <sheetName val="_97_207COSRP11.xls__97_207_3754"/>
      <sheetName val="_97_207COSRP11.xls__97_207_3755"/>
      <sheetName val="_97_207COSRP11.xls__97_207_3756"/>
      <sheetName val="_97_207COSRP11.xls__97_207_3757"/>
      <sheetName val="_97_207COSRP11.xls__97_207_3758"/>
      <sheetName val="_97_207COSRP11.xls__97_207_3760"/>
      <sheetName val="_97_207COSRP11.xls__97_207_3761"/>
      <sheetName val="_97_207COSRP11.xls__97_207_3762"/>
      <sheetName val="_97_207COSRP11.xls__97_207_3763"/>
      <sheetName val="_97_207COSRP11.xls_B_______1263"/>
      <sheetName val="_97_207COSRP11.xls_B_______1264"/>
      <sheetName val="_97_207COSRP11.xls__97_207_3768"/>
      <sheetName val="_97_207COSRP11.xls__97_207_3764"/>
      <sheetName val="_97_207COSRP11.xls__97_207_3765"/>
      <sheetName val="_97_207COSRP11.xls__97_207_3769"/>
      <sheetName val="_97_207COSRP11.xls_B_______1265"/>
      <sheetName val="_97_207COSRP11.xls__97_207_3766"/>
      <sheetName val="_97_207COSRP11.xls__97_207_3767"/>
      <sheetName val="_97_207COSRP11.xls__97_207_3770"/>
      <sheetName val="_97_207COSRP11.xls__97_207_3771"/>
      <sheetName val="_97_207COSRP11.xls__97_207_3772"/>
      <sheetName val="_97_207COSRP11.xls__97_207_3773"/>
      <sheetName val="_97_207COSRP11.xls_B_______1266"/>
      <sheetName val="_97_207COSRP11.xls_B_______1267"/>
      <sheetName val="_97_207COSRP11.xls__97_207_3778"/>
      <sheetName val="_97_207COSRP11.xls__97_207_3774"/>
      <sheetName val="_97_207COSRP11.xls__97_207_3775"/>
      <sheetName val="_97_207COSRP11.xls__97_207_3779"/>
      <sheetName val="_97_207COSRP11.xls_B_______1268"/>
      <sheetName val="_97_207COSRP11.xls__97_207_3776"/>
      <sheetName val="_97_207COSRP11.xls__97_207_3777"/>
      <sheetName val="_97_207COSRP11.xls__97_207_3780"/>
      <sheetName val="_97_207COSRP11.xls__97_207_3791"/>
      <sheetName val="_97_207COSRP11.xls__97_207_3792"/>
      <sheetName val="_97_207COSRP11.xls_B_______1294"/>
      <sheetName val="_97_207COSRP11.xls_B_______1295"/>
      <sheetName val="_97_207COSRP11.xls__97_207_3814"/>
      <sheetName val="_97_207COSRP11.xls__97_207_3810"/>
      <sheetName val="_97_207COSRP11.xls__97_207_3811"/>
      <sheetName val="_97_207COSRP11.xls__97_207_3812"/>
      <sheetName val="_97_207COSRP11.xls__97_207_3813"/>
      <sheetName val="_97_207COSRP11.xls__97_207_3815"/>
      <sheetName val="_97_207COSRP11.xls_B_______1280"/>
      <sheetName val="_97_207COSRP11.xls__97_207_3797"/>
      <sheetName val="_97_207COSRP11.xls_B_______1281"/>
      <sheetName val="_97_207COSRP11.xls__97_207_3798"/>
      <sheetName val="_97_207COSRP11.xls_B_______1272"/>
      <sheetName val="_97_207COSRP11.xls__97_207_3793"/>
      <sheetName val="_97_207COSRP11.xls_B_______1273"/>
      <sheetName val="_97_207COSRP11.xls_B_______1274"/>
      <sheetName val="_97_207COSRP11.xls__97_207_3794"/>
      <sheetName val="_97_207COSRP11.xls_B_______1275"/>
      <sheetName val="_97_207COSRP11.xls_B_______1276"/>
      <sheetName val="_97_207COSRP11.xls__97_207_3795"/>
      <sheetName val="_97_207COSRP11.xls_B_______1277"/>
      <sheetName val="_97_207COSRP11.xls_B_______1278"/>
      <sheetName val="_97_207COSRP11.xls__97_207_3796"/>
      <sheetName val="_97_207COSRP11.xls_B_______1279"/>
      <sheetName val="_97_207COSRP11.xls_B_______1284"/>
      <sheetName val="_97_207COSRP11.xls_B_______1285"/>
      <sheetName val="_97_207COSRP11.xls__97_207_3801"/>
      <sheetName val="_97_207COSRP11.xls__97_207_3800"/>
      <sheetName val="_97_207COSRP11.xls_B_______1282"/>
      <sheetName val="_97_207COSRP11.xls_B_______1283"/>
      <sheetName val="_97_207COSRP11.xls__97_207_3799"/>
      <sheetName val="_97_207COSRP11.xls__97_207_3803"/>
      <sheetName val="_97_207COSRP11.xls_B_______1288"/>
      <sheetName val="_97_207COSRP11.xls_B_______1289"/>
      <sheetName val="_97_207COSRP11.xls__97_207_3805"/>
      <sheetName val="_97_207COSRP11.xls__97_207_3802"/>
      <sheetName val="_97_207COSRP11.xls_B_______1286"/>
      <sheetName val="_97_207COSRP11.xls_B_______1287"/>
      <sheetName val="_97_207COSRP11.xls__97_207_3804"/>
      <sheetName val="_97_207COSRP11.xls_B_______1290"/>
      <sheetName val="_97_207COSRP11.xls_B_______1291"/>
      <sheetName val="_97_207COSRP11.xls_B_______1292"/>
      <sheetName val="_97_207COSRP11.xls_B_______1293"/>
      <sheetName val="_97_207COSRP11.xls__97_207_3806"/>
      <sheetName val="_97_207COSRP11.xls__97_207_3807"/>
      <sheetName val="_97_207COSRP11.xls__97_207_3808"/>
      <sheetName val="_97_207COSRP11.xls__97_207_3809"/>
      <sheetName val="_97_207COSRP11.xls_B_______1296"/>
      <sheetName val="_97_207COSRP11.xls_B_______1297"/>
      <sheetName val="_97_207COSRP11.xls__97_207_3820"/>
      <sheetName val="_97_207COSRP11.xls__97_207_3816"/>
      <sheetName val="_97_207COSRP11.xls__97_207_3817"/>
      <sheetName val="_97_207COSRP11.xls_B_______1298"/>
      <sheetName val="_97_207COSRP11.xls_B_______1299"/>
      <sheetName val="_97_207COSRP11.xls__97_207_3826"/>
      <sheetName val="_97_207COSRP11.xls__97_207_3821"/>
      <sheetName val="_97_207COSRP11.xls__97_207_3822"/>
      <sheetName val="_97_207COSRP11.xls__97_207_3823"/>
      <sheetName val="_97_207COSRP11.xls__97_207_3827"/>
      <sheetName val="_97_207COSRP11.xls__97_207_3818"/>
      <sheetName val="_97_207COSRP11.xls__97_207_3819"/>
      <sheetName val="_97_207COSRP11.xls_B_______1300"/>
      <sheetName val="_97_207COSRP11.xls_B_______1301"/>
      <sheetName val="_97_207COSRP11.xls__97_207_3829"/>
      <sheetName val="_97_207COSRP11.xls__97_207_3824"/>
      <sheetName val="_97_207COSRP11.xls__97_207_3825"/>
      <sheetName val="_97_207COSRP11.xls__97_207_3828"/>
      <sheetName val="_97_207COSRP11.xls__97_207_3830"/>
      <sheetName val="_97_207COSRP11.xls_B_______1302"/>
      <sheetName val="_97_207COSRP11.xls_B_______1303"/>
      <sheetName val="_97_207COSRP11.xls__97_207_3834"/>
      <sheetName val="_97_207COSRP11.xls__97_207_3831"/>
      <sheetName val="_97_207COSRP11.xls__97_207_3832"/>
      <sheetName val="_97_207COSRP11.xls__97_207_3833"/>
      <sheetName val="_97_207COSRP11.xls__97_207_3835"/>
      <sheetName val="_97_207COSRP11.xls__97_207_4750"/>
      <sheetName val="_97_207COSRP11.xls_B____x005f_x0004_3"/>
      <sheetName val="_97_207COSRP11.xls_B___x005f_x0000__3"/>
      <sheetName val="_97_207COSRP11.xls_B____x005f_x0004_4"/>
      <sheetName val="_97_207COSRP11.xls_B___x005f_x0000__4"/>
      <sheetName val="_97_207COSRP11.xls_B____x005f_x0004_5"/>
      <sheetName val="_97_207COSRP11.xls_B___x005f_x0000__5"/>
      <sheetName val="_97_207COSRP11.xls_B____x005f_x0004_7"/>
      <sheetName val="_97_207COSRP11.xls_B___x005f_x0000__7"/>
      <sheetName val="_97_207COSRP11.xls_B____x005f_x0004_6"/>
      <sheetName val="_97_207COSRP11.xls_B___x005f_x0000__6"/>
      <sheetName val="_97_207COSRP11.xls_B____x005f_x0004_8"/>
      <sheetName val="_97_207COSRP11.xls_B___x005f_x0000__8"/>
      <sheetName val="_97_207COSRP11.xls_B____x005f_x0004_9"/>
      <sheetName val="_97_207COSRP11.xls_B___x005f_x0000__9"/>
      <sheetName val="_97_207COSRP11.xls_B____x000_12"/>
      <sheetName val="_97_207COSRP11.xls_B___x005f_x0000_12"/>
      <sheetName val="_97_207COSRP11.xls_B____x000_10"/>
      <sheetName val="_97_207COSRP11.xls_B___x005f_x0000_10"/>
      <sheetName val="_97_207COSRP11.xls_B____x000_11"/>
      <sheetName val="_97_207COSRP11.xls_B___x005f_x0000_11"/>
      <sheetName val="_97_207COSRP11.xls_B____x000_14"/>
      <sheetName val="_97_207COSRP11.xls_B___x005f_x0000_14"/>
      <sheetName val="_97_207COSRP11.xls_B____x000_13"/>
      <sheetName val="_97_207COSRP11.xls_B___x005f_x0000_13"/>
      <sheetName val="_97_207COSRP11.xls_B____x000_15"/>
      <sheetName val="_97_207COSRP11.xls_B___x005f_x0000_15"/>
      <sheetName val="_97_207COSRP11.xls_B____x000_16"/>
      <sheetName val="_97_207COSRP11.xls_B___x005f_x0000_16"/>
      <sheetName val="_97_207COSRP11.xls_B____x000_17"/>
      <sheetName val="_97_207COSRP11.xls_B___x005f_x0000_17"/>
      <sheetName val="_97_207COSRP11.xls_B____x000_18"/>
      <sheetName val="_97_207COSRP11.xls_B___x005f_x0000_18"/>
      <sheetName val="_97_207COSRP11.xls_B____x000_19"/>
      <sheetName val="_97_207COSRP11.xls_B___x005f_x0000_19"/>
      <sheetName val="_97_207COSRP11.xls__97_207_4507"/>
      <sheetName val="_97_207COSRP11.xls__97_207_4508"/>
      <sheetName val="_97_207COSRP11.xls__97_207_4509"/>
      <sheetName val="_97_207COSRP11.xls_B_______1481"/>
      <sheetName val="_97_207COSRP11.xls_B_______1482"/>
      <sheetName val="_97_207COSRP11.xls__97_207_4514"/>
      <sheetName val="_97_207COSRP11.xls__97_207_4510"/>
      <sheetName val="_97_207COSRP11.xls__97_207_4511"/>
      <sheetName val="_97_207COSRP11.xls__97_207_4515"/>
      <sheetName val="_97_207COSRP11.xls_B_______1483"/>
      <sheetName val="_97_207COSRP11.xls__97_207_4512"/>
      <sheetName val="_97_207COSRP11.xls__97_207_4513"/>
      <sheetName val="_97_207COSRP11.xls__97_207_4516"/>
      <sheetName val="_97_207COSRP11.xls__97_207_4093"/>
      <sheetName val="_97_207COSRP11.xls__97_207_4094"/>
      <sheetName val="_97_207COSRP11.xls__97_207_4095"/>
      <sheetName val="_97_207COSRP11.xls_B_______1367"/>
      <sheetName val="_97_207COSRP11.xls_B_______1368"/>
      <sheetName val="_97_207COSRP11.xls__97_207_4096"/>
      <sheetName val="_97_207COSRP11.xls__97_207_4097"/>
      <sheetName val="_97_207COSRP11.xls_B_______1369"/>
      <sheetName val="_97_207COSRP11.xls__97_207_4098"/>
      <sheetName val="_97_207COSRP11.xls__97_207_4099"/>
      <sheetName val="_97_207COSRP11.xls__97_207_4086"/>
      <sheetName val="_97_207COSRP11.xls__97_207_4087"/>
      <sheetName val="_97_207COSRP11.xls_B_______1364"/>
      <sheetName val="_97_207COSRP11.xls_B_______1365"/>
      <sheetName val="_97_207COSRP11.xls__97_207_4088"/>
      <sheetName val="_97_207COSRP11.xls__97_207_4089"/>
      <sheetName val="_97_207COSRP11.xls_B_______1366"/>
      <sheetName val="_97_207COSRP11.xls__97_207_4090"/>
      <sheetName val="_97_207COSRP11.xls__97_207_4091"/>
      <sheetName val="_97_207COSRP11.xls__97_207_4092"/>
      <sheetName val="_97_207COSRP11.xls__97_207_3840"/>
      <sheetName val="_97_207COSRP11.xls__97_207_3841"/>
      <sheetName val="_97_207COSRP11.xls__97_207_3842"/>
      <sheetName val="_97_207COSRP11.xls__97_207_3836"/>
      <sheetName val="_97_207COSRP11.xls__97_207_3837"/>
      <sheetName val="_97_207COSRP11.xls__97_207_3838"/>
      <sheetName val="_97_207COSRP11.xls__97_207_3839"/>
      <sheetName val="_97_207COSRP11.xls__97_207_3843"/>
      <sheetName val="_97_207COSRP11.xls__97_207_3844"/>
      <sheetName val="_97_207COSRP11.xls__97_207_3845"/>
      <sheetName val="_97_207COSRP11.xls__97_207_3853"/>
      <sheetName val="_97_207COSRP11.xls__97_207_3846"/>
      <sheetName val="_97_207COSRP11.xls__97_207_3847"/>
      <sheetName val="_97_207COSRP11.xls__97_207_3848"/>
      <sheetName val="_97_207COSRP11.xls__97_207_3854"/>
      <sheetName val="_97_207COSRP11.xls__97_207_3849"/>
      <sheetName val="_97_207COSRP11.xls__97_207_3850"/>
      <sheetName val="_97_207COSRP11.xls__97_207_3851"/>
      <sheetName val="_97_207COSRP11.xls__97_207_3855"/>
      <sheetName val="_97_207COSRP11.xls__97_207_3852"/>
      <sheetName val="_97_207COSRP11.xls__97_207_3860"/>
      <sheetName val="_97_207COSRP11.xls__97_207_3856"/>
      <sheetName val="_97_207COSRP11.xls__97_207_3857"/>
      <sheetName val="_97_207COSRP11.xls__97_207_3861"/>
      <sheetName val="_97_207COSRP11.xls__97_207_3858"/>
      <sheetName val="_97_207COSRP11.xls__97_207_3859"/>
      <sheetName val="_97_207COSRP11.xls__97_207_3862"/>
      <sheetName val="_97_207COSRP11.xls__97_207_3870"/>
      <sheetName val="_97_207COSRP11.xls__97_207_3863"/>
      <sheetName val="_97_207COSRP11.xls__97_207_3864"/>
      <sheetName val="_97_207COSRP11.xls__97_207_3865"/>
      <sheetName val="_97_207COSRP11.xls__97_207_3871"/>
      <sheetName val="_97_207COSRP11.xls__97_207_3866"/>
      <sheetName val="_97_207COSRP11.xls__97_207_3867"/>
      <sheetName val="_97_207COSRP11.xls__97_207_3868"/>
      <sheetName val="_97_207COSRP11.xls__97_207_3872"/>
      <sheetName val="_97_207COSRP11.xls__97_207_3869"/>
      <sheetName val="_97_207COSRP11.xls__97_207_3873"/>
      <sheetName val="_97_207COSRP11.xls__97_207_3874"/>
      <sheetName val="_97_207COSRP11.xls__97_207_3875"/>
      <sheetName val="_97_207COSRP11.xls__97_207_3883"/>
      <sheetName val="_97_207COSRP11.xls__97_207_3876"/>
      <sheetName val="_97_207COSRP11.xls__97_207_3877"/>
      <sheetName val="_97_207COSRP11.xls__97_207_3884"/>
      <sheetName val="_97_207COSRP11.xls__97_207_3878"/>
      <sheetName val="_97_207COSRP11.xls__97_207_3879"/>
      <sheetName val="_97_207COSRP11.xls__97_207_3885"/>
      <sheetName val="_97_207COSRP11.xls__97_207_3880"/>
      <sheetName val="_97_207COSRP11.xls__97_207_3881"/>
      <sheetName val="_97_207COSRP11.xls__97_207_3882"/>
      <sheetName val="_97_207COSRP11.xls__97_207_3890"/>
      <sheetName val="_97_207COSRP11.xls__97_207_3886"/>
      <sheetName val="_97_207COSRP11.xls__97_207_3887"/>
      <sheetName val="_97_207COSRP11.xls__97_207_3891"/>
      <sheetName val="_97_207COSRP11.xls__97_207_3888"/>
      <sheetName val="_97_207COSRP11.xls__97_207_3889"/>
      <sheetName val="_97_207COSRP11.xls__97_207_3892"/>
      <sheetName val="_97_207COSRP11.xls__97_207_3900"/>
      <sheetName val="_97_207COSRP11.xls__97_207_3893"/>
      <sheetName val="_97_207COSRP11.xls__97_207_3894"/>
      <sheetName val="_97_207COSRP11.xls__97_207_3901"/>
      <sheetName val="_97_207COSRP11.xls__97_207_3895"/>
      <sheetName val="_97_207COSRP11.xls__97_207_3896"/>
      <sheetName val="_97_207COSRP11.xls__97_207_3902"/>
      <sheetName val="_97_207COSRP11.xls__97_207_3897"/>
      <sheetName val="_97_207COSRP11.xls__97_207_3898"/>
      <sheetName val="_97_207COSRP11.xls__97_207_3899"/>
      <sheetName val="_97_207COSRP11.xls__97_207_3903"/>
      <sheetName val="_97_207COSRP11.xls__97_207_3904"/>
      <sheetName val="_97_207COSRP11.xls__97_207_3905"/>
      <sheetName val="_97_207COSRP11.xls__97_207_3906"/>
      <sheetName val="_97_207COSRP11.xls__97_207_3907"/>
      <sheetName val="_97_207COSRP11.xls__97_207_3908"/>
      <sheetName val="_97_207COSRP11.xls__97_207_3909"/>
      <sheetName val="_97_207COSRP11.xls__97_207_3910"/>
      <sheetName val="_97_207COSRP11.xls__97_207_3911"/>
      <sheetName val="_97_207COSRP11.xls__97_207_3919"/>
      <sheetName val="_97_207COSRP11.xls__97_207_3920"/>
      <sheetName val="_97_207COSRP11.xls_B_______1308"/>
      <sheetName val="_97_207COSRP11.xls_B_______1309"/>
      <sheetName val="_97_207COSRP11.xls__97_207_3926"/>
      <sheetName val="_97_207COSRP11.xls__97_207_3921"/>
      <sheetName val="_97_207COSRP11.xls__97_207_3922"/>
      <sheetName val="_97_207COSRP11.xls__97_207_3927"/>
      <sheetName val="_97_207COSRP11.xls_B_______1310"/>
      <sheetName val="_97_207COSRP11.xls__97_207_3923"/>
      <sheetName val="_97_207COSRP11.xls__97_207_3924"/>
      <sheetName val="_97_207COSRP11.xls__97_207_3928"/>
      <sheetName val="_97_207COSRP11.xls__97_207_3925"/>
      <sheetName val="_97_207COSRP11.xls_B_______1304"/>
      <sheetName val="_97_207COSRP11.xls__97_207_3912"/>
      <sheetName val="_97_207COSRP11.xls__97_207_3913"/>
      <sheetName val="_97_207COSRP11.xls_B_______1305"/>
      <sheetName val="_97_207COSRP11.xls_B_______1306"/>
      <sheetName val="_97_207COSRP11.xls__97_207_3914"/>
      <sheetName val="_97_207COSRP11.xls__97_207_3915"/>
      <sheetName val="_97_207COSRP11.xls_B_______1307"/>
      <sheetName val="_97_207COSRP11.xls__97_207_3916"/>
      <sheetName val="_97_207COSRP11.xls__97_207_3917"/>
      <sheetName val="_97_207COSRP11.xls__97_207_3918"/>
      <sheetName val="_97_207COSRP11.xls_B_______1326"/>
      <sheetName val="_97_207COSRP11.xls_B_______1327"/>
      <sheetName val="_97_207COSRP11.xls__97_207_3997"/>
      <sheetName val="_97_207COSRP11.xls__97_207_3990"/>
      <sheetName val="_97_207COSRP11.xls__97_207_3991"/>
      <sheetName val="_97_207COSRP11.xls__97_207_3992"/>
      <sheetName val="_97_207COSRP11.xls__97_207_3998"/>
      <sheetName val="_97_207COSRP11.xls_B_______1328"/>
      <sheetName val="_97_207COSRP11.xls__97_207_3993"/>
      <sheetName val="_97_207COSRP11.xls__97_207_3994"/>
      <sheetName val="_97_207COSRP11.xls__97_207_3995"/>
      <sheetName val="_97_207COSRP11.xls__97_207_3932"/>
      <sheetName val="_97_207COSRP11.xls__97_207_3933"/>
      <sheetName val="_97_207COSRP11.xls__97_207_3934"/>
      <sheetName val="_97_207COSRP11.xls__97_207_3929"/>
      <sheetName val="_97_207COSRP11.xls__97_207_3930"/>
      <sheetName val="_97_207COSRP11.xls__97_207_3931"/>
      <sheetName val="_97_207COSRP11.xls__97_207_3935"/>
      <sheetName val="_97_207COSRP11.xls__97_207_3936"/>
      <sheetName val="_97_207COSRP11.xls_B_______1311"/>
      <sheetName val="_97_207COSRP11.xls_B_______1312"/>
      <sheetName val="_97_207COSRP11.xls__97_207_3945"/>
      <sheetName val="_97_207COSRP11.xls__97_207_3937"/>
      <sheetName val="_97_207COSRP11.xls__97_207_3938"/>
      <sheetName val="_97_207COSRP11.xls__97_207_3946"/>
      <sheetName val="_97_207COSRP11.xls_B_______1313"/>
      <sheetName val="_97_207COSRP11.xls__97_207_3939"/>
      <sheetName val="_97_207COSRP11.xls__97_207_3940"/>
      <sheetName val="_97_207COSRP11.xls__97_207_3947"/>
      <sheetName val="_97_207COSRP11.xls__97_207_3941"/>
      <sheetName val="_97_207COSRP11.xls_B_______1314"/>
      <sheetName val="_97_207COSRP11.xls_B_______1315"/>
      <sheetName val="_97_207COSRP11.xls__97_207_3952"/>
      <sheetName val="_97_207COSRP11.xls__97_207_3948"/>
      <sheetName val="_97_207COSRP11.xls__97_207_3949"/>
      <sheetName val="_97_207COSRP11.xls__97_207_3953"/>
      <sheetName val="_97_207COSRP11.xls_B_______1316"/>
      <sheetName val="_97_207COSRP11.xls__97_207_3950"/>
      <sheetName val="_97_207COSRP11.xls__97_207_3951"/>
      <sheetName val="_97_207COSRP11.xls__97_207_3954"/>
      <sheetName val="_97_207COSRP11.xls__97_207_3942"/>
      <sheetName val="_97_207COSRP11.xls__97_207_3943"/>
      <sheetName val="_97_207COSRP11.xls__97_207_3944"/>
      <sheetName val="_97_207COSRP11.xls__97_207_3958"/>
      <sheetName val="_97_207COSRP11.xls__97_207_3959"/>
      <sheetName val="_97_207COSRP11.xls__97_207_3960"/>
      <sheetName val="_97_207COSRP11.xls__97_207_3955"/>
      <sheetName val="_97_207COSRP11.xls__97_207_3956"/>
      <sheetName val="_97_207COSRP11.xls__97_207_3957"/>
      <sheetName val="_97_207COSRP11.xls__97_207_3967"/>
      <sheetName val="_97_207COSRP11.xls__97_207_3968"/>
      <sheetName val="_97_207COSRP11.xls__97_207_3969"/>
      <sheetName val="_97_207COSRP11.xls__97_207_3961"/>
      <sheetName val="_97_207COSRP11.xls__97_207_3962"/>
      <sheetName val="_97_207COSRP11.xls__97_207_3963"/>
      <sheetName val="_97_207COSRP11.xls__97_207_3964"/>
      <sheetName val="_97_207COSRP11.xls__97_207_3965"/>
      <sheetName val="_97_207COSRP11.xls__97_207_3966"/>
      <sheetName val="_97_207COSRP11.xls_B_______1317"/>
      <sheetName val="_97_207COSRP11.xls_B_______1318"/>
      <sheetName val="_97_207COSRP11.xls__97_207_3970"/>
      <sheetName val="_97_207COSRP11.xls__97_207_3971"/>
      <sheetName val="_97_207COSRP11.xls__97_207_3972"/>
      <sheetName val="_97_207COSRP11.xls_B_______1319"/>
      <sheetName val="_97_207COSRP11.xls__97_207_3973"/>
      <sheetName val="_97_207COSRP11.xls__97_207_3974"/>
      <sheetName val="_97_207COSRP11.xls__97_207_3975"/>
      <sheetName val="_97_207COSRP11.xls__97_207_3996"/>
      <sheetName val="_97_207COSRP11.xls__97_207_3999"/>
      <sheetName val="_97_207COSRP11.xls_B_______1320"/>
      <sheetName val="_97_207COSRP11.xls_B_______1321"/>
      <sheetName val="_97_207COSRP11.xls__97_207_3976"/>
      <sheetName val="_97_207COSRP11.xls__97_207_3977"/>
      <sheetName val="_97_207COSRP11.xls__97_207_3978"/>
      <sheetName val="_97_207COSRP11.xls_B_______1322"/>
      <sheetName val="_97_207COSRP11.xls__97_207_3979"/>
      <sheetName val="_97_207COSRP11.xls__97_207_3980"/>
      <sheetName val="_97_207COSRP11.xls__97_207_3981"/>
      <sheetName val="_97_207COSRP11.xls__97_207_3982"/>
      <sheetName val="_97_207COSRP11.xls_B_______1323"/>
      <sheetName val="_97_207COSRP11.xls_B_______1324"/>
      <sheetName val="_97_207COSRP11.xls__97_207_3983"/>
      <sheetName val="_97_207COSRP11.xls__97_207_3984"/>
      <sheetName val="_97_207COSRP11.xls__97_207_3985"/>
      <sheetName val="_97_207COSRP11.xls_B_______1325"/>
      <sheetName val="_97_207COSRP11.xls__97_207_3986"/>
      <sheetName val="_97_207COSRP11.xls__97_207_3987"/>
      <sheetName val="_97_207COSRP11.xls__97_207_3988"/>
      <sheetName val="_97_207COSRP11.xls__97_207_3989"/>
      <sheetName val="_97_207COSRP11.xls_B_______1343"/>
      <sheetName val="_97_207COSRP11.xls_B_______1344"/>
      <sheetName val="_97_207COSRP11.xls__97_207_4031"/>
      <sheetName val="_97_207COSRP11.xls__97_207_4032"/>
      <sheetName val="_97_207COSRP11.xls__97_207_4033"/>
      <sheetName val="_97_207COSRP11.xls_B_______1329"/>
      <sheetName val="_97_207COSRP11.xls_B_______1330"/>
      <sheetName val="_97_207COSRP11.xls__97_207_4000"/>
      <sheetName val="_97_207COSRP11.xls__97_207_4001"/>
      <sheetName val="_97_207COSRP11.xls__97_207_4002"/>
      <sheetName val="_97_207COSRP11.xls__97_207_4034"/>
      <sheetName val="_97_207COSRP11.xls__97_207_4035"/>
      <sheetName val="_97_207COSRP11.xls_B_______1345"/>
      <sheetName val="_97_207COSRP11.xls__97_207_4036"/>
      <sheetName val="_97_207COSRP11.xls__97_207_4037"/>
      <sheetName val="_97_207COSRP11.xls_B_______1331"/>
      <sheetName val="_97_207COSRP11.xls_B_______1332"/>
      <sheetName val="_97_207COSRP11.xls__97_207_4003"/>
      <sheetName val="_97_207COSRP11.xls__97_207_4004"/>
      <sheetName val="_97_207COSRP11.xls__97_207_4005"/>
      <sheetName val="_97_207COSRP11.xls__97_207_4006"/>
      <sheetName val="_97_207COSRP11.xls__97_207_4007"/>
      <sheetName val="_97_207COSRP11.xls_B_______1333"/>
      <sheetName val="_97_207COSRP11.xls__97_207_4008"/>
      <sheetName val="_97_207COSRP11.xls__97_207_4009"/>
      <sheetName val="_97_207COSRP11.xls_B_______1334"/>
      <sheetName val="_97_207COSRP11.xls_B_______1335"/>
      <sheetName val="_97_207COSRP11.xls__97_207_4010"/>
      <sheetName val="_97_207COSRP11.xls__97_207_4011"/>
      <sheetName val="_97_207COSRP11.xls__97_207_4012"/>
      <sheetName val="_97_207COSRP11.xls__97_207_4013"/>
      <sheetName val="_97_207COSRP11.xls__97_207_4014"/>
      <sheetName val="_97_207COSRP11.xls_B_______1336"/>
      <sheetName val="_97_207COSRP11.xls__97_207_4015"/>
      <sheetName val="_97_207COSRP11.xls__97_207_4016"/>
      <sheetName val="_97_207COSRP11.xls__97_207_4017"/>
      <sheetName val="_97_207COSRP11.xls__97_207_4018"/>
      <sheetName val="_97_207COSRP11.xls__97_207_4019"/>
      <sheetName val="_97_207COSRP11.xls_B_______1337"/>
      <sheetName val="_97_207COSRP11.xls_B_______1338"/>
      <sheetName val="_97_207COSRP11.xls__97_207_4020"/>
      <sheetName val="_97_207COSRP11.xls__97_207_4021"/>
      <sheetName val="_97_207COSRP11.xls_B_______1339"/>
      <sheetName val="_97_207COSRP11.xls__97_207_4022"/>
      <sheetName val="_97_207COSRP11.xls__97_207_4023"/>
      <sheetName val="_97_207COSRP11.xls_B_______1340"/>
      <sheetName val="_97_207COSRP11.xls_B_______1341"/>
      <sheetName val="_97_207COSRP11.xls__97_207_4024"/>
      <sheetName val="_97_207COSRP11.xls__97_207_4025"/>
      <sheetName val="_97_207COSRP11.xls__97_207_4026"/>
      <sheetName val="_97_207COSRP11.xls__97_207_4027"/>
      <sheetName val="_97_207COSRP11.xls__97_207_4028"/>
      <sheetName val="_97_207COSRP11.xls_B_______1342"/>
      <sheetName val="_97_207COSRP11.xls__97_207_4029"/>
      <sheetName val="_97_207COSRP11.xls__97_207_4030"/>
      <sheetName val="_97_207COSRP11.xls__97_207_4038"/>
      <sheetName val="_97_207COSRP11.xls__97_207_4039"/>
      <sheetName val="_97_207COSRP11.xls__97_207_4040"/>
      <sheetName val="_97_207COSRP11.xls__97_207_4041"/>
      <sheetName val="_97_207COSRP11.xls__97_207_4042"/>
      <sheetName val="_97_207COSRP11.xls__97_207_4043"/>
      <sheetName val="_97_207COSRP11.xls_B_______1355"/>
      <sheetName val="_97_207COSRP11.xls_B_______1356"/>
      <sheetName val="_97_207COSRP11.xls__97_207_4065"/>
      <sheetName val="_97_207COSRP11.xls__97_207_4066"/>
      <sheetName val="_97_207COSRP11.xls__97_207_4067"/>
      <sheetName val="_97_207COSRP11.xls__97_207_4068"/>
      <sheetName val="_97_207COSRP11.xls_B_______1357"/>
      <sheetName val="_97_207COSRP11.xls__97_207_4069"/>
      <sheetName val="_97_207COSRP11.xls__97_207_4070"/>
      <sheetName val="_97_207COSRP11.xls__97_207_4071"/>
      <sheetName val="_97_207COSRP11.xls_B_______1346"/>
      <sheetName val="_97_207COSRP11.xls_B_______1347"/>
      <sheetName val="_97_207COSRP11.xls__97_207_4044"/>
      <sheetName val="_97_207COSRP11.xls__97_207_4045"/>
      <sheetName val="_97_207COSRP11.xls__97_207_4046"/>
      <sheetName val="_97_207COSRP11.xls__97_207_4047"/>
      <sheetName val="_97_207COSRP11.xls_B_______1348"/>
      <sheetName val="_97_207COSRP11.xls__97_207_4048"/>
      <sheetName val="_97_207COSRP11.xls__97_207_4049"/>
      <sheetName val="_97_207COSRP11.xls__97_207_4050"/>
      <sheetName val="_97_207COSRP11.xls_B_______1349"/>
      <sheetName val="_97_207COSRP11.xls_B_______1350"/>
      <sheetName val="_97_207COSRP11.xls__97_207_4051"/>
      <sheetName val="_97_207COSRP11.xls__97_207_4052"/>
      <sheetName val="_97_207COSRP11.xls__97_207_4053"/>
      <sheetName val="_97_207COSRP11.xls__97_207_4054"/>
      <sheetName val="_97_207COSRP11.xls_B_______1351"/>
      <sheetName val="_97_207COSRP11.xls__97_207_4055"/>
      <sheetName val="_97_207COSRP11.xls__97_207_4056"/>
      <sheetName val="_97_207COSRP11.xls__97_207_4057"/>
      <sheetName val="_97_207COSRP11.xls_B_______1352"/>
      <sheetName val="_97_207COSRP11.xls_B_______1353"/>
      <sheetName val="_97_207COSRP11.xls__97_207_4058"/>
      <sheetName val="_97_207COSRP11.xls__97_207_4059"/>
      <sheetName val="_97_207COSRP11.xls__97_207_4060"/>
      <sheetName val="_97_207COSRP11.xls__97_207_4061"/>
      <sheetName val="_97_207COSRP11.xls_B_______1354"/>
      <sheetName val="_97_207COSRP11.xls__97_207_4062"/>
      <sheetName val="_97_207COSRP11.xls__97_207_4063"/>
      <sheetName val="_97_207COSRP11.xls__97_207_4064"/>
      <sheetName val="_97_207COSRP11.xls__97_207_4072"/>
      <sheetName val="_97_207COSRP11.xls__97_207_4073"/>
      <sheetName val="_97_207COSRP11.xls_B_______1358"/>
      <sheetName val="_97_207COSRP11.xls_B_______1359"/>
      <sheetName val="_97_207COSRP11.xls__97_207_4074"/>
      <sheetName val="_97_207COSRP11.xls__97_207_4075"/>
      <sheetName val="_97_207COSRP11.xls_B_______1360"/>
      <sheetName val="_97_207COSRP11.xls__97_207_4076"/>
      <sheetName val="_97_207COSRP11.xls__97_207_4077"/>
      <sheetName val="_97_207COSRP11.xls__97_207_4078"/>
      <sheetName val="_97_207COSRP11.xls__97_207_4079"/>
      <sheetName val="_97_207COSRP11.xls__97_207_4080"/>
      <sheetName val="_97_207COSRP11.xls_B_______1361"/>
      <sheetName val="_97_207COSRP11.xls_B_______1362"/>
      <sheetName val="_97_207COSRP11.xls__97_207_4081"/>
      <sheetName val="_97_207COSRP11.xls__97_207_4082"/>
      <sheetName val="_97_207COSRP11.xls_B_______1363"/>
      <sheetName val="_97_207COSRP11.xls__97_207_4083"/>
      <sheetName val="_97_207COSRP11.xls__97_207_4084"/>
      <sheetName val="_97_207COSRP11.xls__97_207_4085"/>
      <sheetName val="_97_207COSRP11.xls__97_207_4112"/>
      <sheetName val="_97_207COSRP11.xls__97_207_4105"/>
      <sheetName val="_97_207COSRP11.xls__97_207_4106"/>
      <sheetName val="_97_207COSRP11.xls__97_207_4107"/>
      <sheetName val="_97_207COSRP11.xls__97_207_4113"/>
      <sheetName val="_97_207COSRP11.xls__97_207_4108"/>
      <sheetName val="_97_207COSRP11.xls__97_207_4114"/>
      <sheetName val="_97_207COSRP11.xls__97_207_4109"/>
      <sheetName val="_97_207COSRP11.xls__97_207_4110"/>
      <sheetName val="_97_207COSRP11.xls__97_207_4111"/>
      <sheetName val="_97_207COSRP11.xls__97_207_4102"/>
      <sheetName val="_97_207COSRP11.xls__97_207_4103"/>
      <sheetName val="_97_207COSRP11.xls__97_207_4104"/>
      <sheetName val="_97_207COSRP11.xls__97_207_4100"/>
      <sheetName val="_97_207COSRP11.xls__97_207_4101"/>
      <sheetName val="_97_207COSRP11.xls_B_______1448"/>
      <sheetName val="_97_207COSRP11.xls_B_______1449"/>
      <sheetName val="_97_207COSRP11.xls__97_207_4396"/>
      <sheetName val="_97_207COSRP11.xls__97_207_4389"/>
      <sheetName val="_97_207COSRP11.xls__97_207_4390"/>
      <sheetName val="_97_207COSRP11.xls__97_207_4391"/>
      <sheetName val="_97_207COSRP11.xls__97_207_4397"/>
      <sheetName val="_97_207COSRP11.xls_B_______1450"/>
      <sheetName val="_97_207COSRP11.xls__97_207_4392"/>
      <sheetName val="_97_207COSRP11.xls__97_207_4393"/>
      <sheetName val="_97_207COSRP11.xls__97_207_4394"/>
      <sheetName val="_97_207COSRP11.xls__97_207_4398"/>
      <sheetName val="_97_207COSRP11.xls__97_207_4395"/>
      <sheetName val="_97_207COSRP11.xls_B_______1370"/>
      <sheetName val="_97_207COSRP11.xls_B_______1371"/>
      <sheetName val="_97_207COSRP11.xls_B_______1372"/>
      <sheetName val="_97_207COSRP11.xls__97_207_4124"/>
      <sheetName val="_97_207COSRP11.xls__97_207_4125"/>
      <sheetName val="_97_207COSRP11.xls__97_207_4126"/>
      <sheetName val="_97_207COSRP11.xls__97_207_4115"/>
      <sheetName val="_97_207COSRP11.xls__97_207_4116"/>
      <sheetName val="_97_207COSRP11.xls__97_207_4117"/>
      <sheetName val="_97_207COSRP11.xls__97_207_4118"/>
      <sheetName val="_97_207COSRP11.xls__97_207_4119"/>
      <sheetName val="_97_207COSRP11.xls__97_207_4120"/>
      <sheetName val="_97_207COSRP11.xls__97_207_4121"/>
      <sheetName val="_97_207COSRP11.xls__97_207_4122"/>
      <sheetName val="_97_207COSRP11.xls__97_207_4123"/>
      <sheetName val="_97_207COSRP11.xls__97_207_4127"/>
      <sheetName val="_97_207COSRP11.xls__97_207_4128"/>
      <sheetName val="_97_207COSRP11.xls__97_207_4129"/>
      <sheetName val="_97_207COSRP11.xls__97_207_4134"/>
      <sheetName val="_97_207COSRP11.xls__97_207_4130"/>
      <sheetName val="_97_207COSRP11.xls__97_207_4131"/>
      <sheetName val="_97_207COSRP11.xls__97_207_4135"/>
      <sheetName val="_97_207COSRP11.xls__97_207_4132"/>
      <sheetName val="_97_207COSRP11.xls__97_207_4133"/>
      <sheetName val="_97_207COSRP11.xls__97_207_4136"/>
      <sheetName val="_97_207COSRP11.xls__97_207_4150"/>
      <sheetName val="_97_207COSRP11.xls__97_207_4151"/>
      <sheetName val="_97_207COSRP11.xls__97_207_4152"/>
      <sheetName val="_97_207COSRP11.xls__97_207_4137"/>
      <sheetName val="_97_207COSRP11.xls__97_207_4138"/>
      <sheetName val="_97_207COSRP11.xls__97_207_4139"/>
      <sheetName val="_97_207COSRP11.xls__97_207_4140"/>
      <sheetName val="_97_207COSRP11.xls__97_207_4141"/>
      <sheetName val="_97_207COSRP11.xls__97_207_4142"/>
      <sheetName val="_97_207COSRP11.xls__97_207_4143"/>
      <sheetName val="_97_207COSRP11.xls__97_207_4144"/>
      <sheetName val="_97_207COSRP11.xls__97_207_4145"/>
      <sheetName val="_97_207COSRP11.xls__97_207_4146"/>
      <sheetName val="_97_207COSRP11.xls_B_______1376"/>
      <sheetName val="_97_207COSRP11.xls_B_______1377"/>
      <sheetName val="_97_207COSRP11.xls_B_______1378"/>
      <sheetName val="_97_207COSRP11.xls_B_______1373"/>
      <sheetName val="_97_207COSRP11.xls_B_______1374"/>
      <sheetName val="_97_207COSRP11.xls_B_______1375"/>
      <sheetName val="_97_207COSRP11.xls_B_______1379"/>
      <sheetName val="_97_207COSRP11.xls_B_______1380"/>
      <sheetName val="_97_207COSRP11.xls_B_______1381"/>
      <sheetName val="_97_207COSRP11.xls__97_207_4147"/>
      <sheetName val="_97_207COSRP11.xls__97_207_4148"/>
      <sheetName val="_97_207COSRP11.xls__97_207_4149"/>
      <sheetName val="_97_207COSRP11.xls__97_207_4153"/>
      <sheetName val="_97_207COSRP11.xls__97_207_4154"/>
      <sheetName val="_97_207COSRP11.xls__97_207_4155"/>
      <sheetName val="_97_207COSRP11.xls__97_207_4177"/>
      <sheetName val="_97_207COSRP11.xls__97_207_4178"/>
      <sheetName val="_97_207COSRP11.xls__97_207_4179"/>
      <sheetName val="_97_207COSRP11.xls_B_______1391"/>
      <sheetName val="_97_207COSRP11.xls_B_______1392"/>
      <sheetName val="_97_207COSRP11.xls__97_207_4198"/>
      <sheetName val="_97_207COSRP11.xls__97_207_4180"/>
      <sheetName val="_97_207COSRP11.xls__97_207_4181"/>
      <sheetName val="_97_207COSRP11.xls__97_207_4199"/>
      <sheetName val="_97_207COSRP11.xls_B_______1393"/>
      <sheetName val="_97_207COSRP11.xls__97_207_4182"/>
      <sheetName val="_97_207COSRP11.xls__97_207_4183"/>
      <sheetName val="_97_207COSRP11.xls__97_207_4200"/>
      <sheetName val="_97_207COSRP11.xls__97_207_4156"/>
      <sheetName val="_97_207COSRP11.xls__97_207_4157"/>
      <sheetName val="_97_207COSRP11.xls__97_207_4158"/>
      <sheetName val="_97_207COSRP11.xls_B_______1382"/>
      <sheetName val="_97_207COSRP11.xls_B_______1383"/>
      <sheetName val="_97_207COSRP11.xls__97_207_4159"/>
      <sheetName val="_97_207COSRP11.xls__97_207_4160"/>
      <sheetName val="_97_207COSRP11.xls_B_______1384"/>
      <sheetName val="_97_207COSRP11.xls__97_207_4161"/>
      <sheetName val="_97_207COSRP11.xls__97_207_4162"/>
      <sheetName val="_97_207COSRP11.xls__97_207_4163"/>
      <sheetName val="_97_207COSRP11.xls__97_207_4164"/>
      <sheetName val="_97_207COSRP11.xls__97_207_4165"/>
      <sheetName val="_97_207COSRP11.xls_B_______1385"/>
      <sheetName val="_97_207COSRP11.xls_B_______1386"/>
      <sheetName val="_97_207COSRP11.xls__97_207_4166"/>
      <sheetName val="_97_207COSRP11.xls__97_207_4167"/>
      <sheetName val="_97_207COSRP11.xls_B_______1387"/>
      <sheetName val="_97_207COSRP11.xls__97_207_4168"/>
      <sheetName val="_97_207COSRP11.xls__97_207_4169"/>
      <sheetName val="_97_207COSRP11.xls__97_207_4170"/>
      <sheetName val="_97_207COSRP11.xls__97_207_4171"/>
      <sheetName val="_97_207COSRP11.xls__97_207_4172"/>
      <sheetName val="_97_207COSRP11.xls_B_______1388"/>
      <sheetName val="_97_207COSRP11.xls_B_______1389"/>
      <sheetName val="_97_207COSRP11.xls__97_207_4173"/>
      <sheetName val="_97_207COSRP11.xls__97_207_4174"/>
      <sheetName val="_97_207COSRP11.xls_B_______1390"/>
      <sheetName val="_97_207COSRP11.xls__97_207_4175"/>
      <sheetName val="_97_207COSRP11.xls__97_207_4176"/>
      <sheetName val="_97_207COSRP11.xls_B_______1400"/>
      <sheetName val="_97_207COSRP11.xls_B_______1401"/>
      <sheetName val="_97_207COSRP11.xls__97_207_4205"/>
      <sheetName val="_97_207COSRP11.xls__97_207_4201"/>
      <sheetName val="_97_207COSRP11.xls__97_207_4202"/>
      <sheetName val="_97_207COSRP11.xls__97_207_4206"/>
      <sheetName val="_97_207COSRP11.xls_B_______1402"/>
      <sheetName val="_97_207COSRP11.xls__97_207_4203"/>
      <sheetName val="_97_207COSRP11.xls__97_207_4204"/>
      <sheetName val="_97_207COSRP11.xls__97_207_4207"/>
      <sheetName val="_97_207COSRP11.xls__97_207_4184"/>
      <sheetName val="_97_207COSRP11.xls__97_207_4185"/>
      <sheetName val="_97_207COSRP11.xls__97_207_4186"/>
      <sheetName val="_97_207COSRP11.xls_B_______1394"/>
      <sheetName val="_97_207COSRP11.xls_B_______1395"/>
      <sheetName val="_97_207COSRP11.xls__97_207_4187"/>
      <sheetName val="_97_207COSRP11.xls__97_207_4188"/>
      <sheetName val="_97_207COSRP11.xls_B_______1396"/>
      <sheetName val="_97_207COSRP11.xls__97_207_4189"/>
      <sheetName val="_97_207COSRP11.xls__97_207_4190"/>
      <sheetName val="_97_207COSRP11.xls__97_207_4191"/>
      <sheetName val="_97_207COSRP11.xls__97_207_4192"/>
      <sheetName val="_97_207COSRP11.xls__97_207_4193"/>
      <sheetName val="_97_207COSRP11.xls_B_______1397"/>
      <sheetName val="_97_207COSRP11.xls_B_______1398"/>
      <sheetName val="_97_207COSRP11.xls__97_207_4194"/>
      <sheetName val="_97_207COSRP11.xls__97_207_4195"/>
      <sheetName val="_97_207COSRP11.xls_B_______1399"/>
      <sheetName val="_97_207COSRP11.xls__97_207_4196"/>
      <sheetName val="_97_207COSRP11.xls__97_207_4197"/>
      <sheetName val="_97_207COSRP11.xls__97_207_4208"/>
      <sheetName val="_97_207COSRP11.xls__97_207_4209"/>
      <sheetName val="_97_207COSRP11.xls__97_207_4210"/>
      <sheetName val="_97_207COSRP11.xls__97_207_4217"/>
      <sheetName val="_97_207COSRP11.xls__97_207_4218"/>
      <sheetName val="_97_207COSRP11.xls__97_207_4219"/>
      <sheetName val="_97_207COSRP11.xls__97_207_4211"/>
      <sheetName val="_97_207COSRP11.xls__97_207_4212"/>
      <sheetName val="_97_207COSRP11.xls__97_207_4213"/>
      <sheetName val="_97_207COSRP11.xls__97_207_4214"/>
      <sheetName val="_97_207COSRP11.xls__97_207_4215"/>
      <sheetName val="_97_207COSRP11.xls__97_207_4216"/>
      <sheetName val="_97_207COSRP11.xls_B_______1403"/>
      <sheetName val="_97_207COSRP11.xls_B_______1404"/>
      <sheetName val="_97_207COSRP11.xls__97_207_4224"/>
      <sheetName val="_97_207COSRP11.xls__97_207_4220"/>
      <sheetName val="_97_207COSRP11.xls__97_207_4221"/>
      <sheetName val="_97_207COSRP11.xls__97_207_4225"/>
      <sheetName val="_97_207COSRP11.xls_B_______1405"/>
      <sheetName val="_97_207COSRP11.xls__97_207_4222"/>
      <sheetName val="_97_207COSRP11.xls__97_207_4223"/>
      <sheetName val="_97_207COSRP11.xls__97_207_4226"/>
      <sheetName val="_97_207COSRP11.xls__97_207_4242"/>
      <sheetName val="_97_207COSRP11.xls__97_207_4243"/>
      <sheetName val="_97_207COSRP11.xls__97_207_4244"/>
      <sheetName val="_97_207COSRP11.xls__97_207_4227"/>
      <sheetName val="_97_207COSRP11.xls__97_207_4228"/>
      <sheetName val="_97_207COSRP11.xls__97_207_4229"/>
      <sheetName val="_97_207COSRP11.xls__97_207_4230"/>
      <sheetName val="_97_207COSRP11.xls__97_207_4231"/>
      <sheetName val="_97_207COSRP11.xls__97_207_4232"/>
      <sheetName val="_97_207COSRP11.xls__97_207_4233"/>
      <sheetName val="_97_207COSRP11.xls__97_207_4234"/>
      <sheetName val="_97_207COSRP11.xls__97_207_4235"/>
      <sheetName val="_97_207COSRP11.xls__97_207_4236"/>
      <sheetName val="_97_207COSRP11.xls__97_207_4237"/>
      <sheetName val="_97_207COSRP11.xls__97_207_4238"/>
      <sheetName val="_97_207COSRP11.xls__97_207_4239"/>
      <sheetName val="_97_207COSRP11.xls__97_207_4240"/>
      <sheetName val="_97_207COSRP11.xls__97_207_4241"/>
      <sheetName val="_97_207COSRP11.xls__97_207_4248"/>
      <sheetName val="_97_207COSRP11.xls__97_207_4249"/>
      <sheetName val="_97_207COSRP11.xls__97_207_4250"/>
      <sheetName val="_97_207COSRP11.xls__97_207_4245"/>
      <sheetName val="_97_207COSRP11.xls__97_207_4246"/>
      <sheetName val="_97_207COSRP11.xls__97_207_4247"/>
      <sheetName val="_97_207COSRP11.xls__97_207_4258"/>
      <sheetName val="_97_207COSRP11.xls__97_207_4259"/>
      <sheetName val="_97_207COSRP11.xls__97_207_4260"/>
      <sheetName val="_97_207COSRP11.xls_B_______1409"/>
      <sheetName val="_97_207COSRP11.xls_B_______1410"/>
      <sheetName val="_97_207COSRP11.xls__97_207_4331"/>
      <sheetName val="_97_207COSRP11.xls__97_207_4261"/>
      <sheetName val="_97_207COSRP11.xls__97_207_4262"/>
      <sheetName val="_97_207COSRP11.xls__97_207_4332"/>
      <sheetName val="_97_207COSRP11.xls_B_______1411"/>
      <sheetName val="_97_207COSRP11.xls__97_207_4263"/>
      <sheetName val="_97_207COSRP11.xls__97_207_4264"/>
      <sheetName val="_97_207COSRP11.xls__97_207_4333"/>
      <sheetName val="_97_207COSRP11.xls__97_207_4251"/>
      <sheetName val="_97_207COSRP11.xls__97_207_4252"/>
      <sheetName val="_97_207COSRP11.xls__97_207_4253"/>
      <sheetName val="_97_207COSRP11.xls_B_______1406"/>
      <sheetName val="_97_207COSRP11.xls_B_______1407"/>
      <sheetName val="_97_207COSRP11.xls__97_207_4254"/>
      <sheetName val="_97_207COSRP11.xls__97_207_4255"/>
      <sheetName val="_97_207COSRP11.xls_B_______1408"/>
      <sheetName val="_97_207COSRP11.xls__97_207_4256"/>
      <sheetName val="_97_207COSRP11.xls__97_207_4257"/>
      <sheetName val="_97_207COSRP11.xls__97_207_4293"/>
      <sheetName val="_97_207COSRP11.xls__97_207_4294"/>
      <sheetName val="_97_207COSRP11.xls__97_207_4295"/>
      <sheetName val="_97_207COSRP11.xls_B_______1424"/>
      <sheetName val="_97_207COSRP11.xls_B_______1425"/>
      <sheetName val="_97_207COSRP11.xls__97_207_4307"/>
      <sheetName val="_97_207COSRP11.xls__97_207_4296"/>
      <sheetName val="_97_207COSRP11.xls__97_207_4297"/>
      <sheetName val="_97_207COSRP11.xls__97_207_4308"/>
      <sheetName val="_97_207COSRP11.xls_B_______1426"/>
      <sheetName val="_97_207COSRP11.xls__97_207_4298"/>
      <sheetName val="_97_207COSRP11.xls__97_207_4299"/>
      <sheetName val="_97_207COSRP11.xls__97_207_4309"/>
      <sheetName val="_97_207COSRP11.xls__97_207_4265"/>
      <sheetName val="_97_207COSRP11.xls__97_207_4266"/>
      <sheetName val="_97_207COSRP11.xls__97_207_4267"/>
      <sheetName val="_97_207COSRP11.xls_B_______1412"/>
      <sheetName val="_97_207COSRP11.xls_B_______1413"/>
      <sheetName val="_97_207COSRP11.xls__97_207_4268"/>
      <sheetName val="_97_207COSRP11.xls__97_207_4269"/>
      <sheetName val="_97_207COSRP11.xls_B_______1414"/>
      <sheetName val="_97_207COSRP11.xls__97_207_4270"/>
      <sheetName val="_97_207COSRP11.xls__97_207_4271"/>
      <sheetName val="_97_207COSRP11.xls__97_207_4272"/>
      <sheetName val="_97_207COSRP11.xls__97_207_4273"/>
      <sheetName val="_97_207COSRP11.xls__97_207_4274"/>
      <sheetName val="_97_207COSRP11.xls_B_______1415"/>
      <sheetName val="_97_207COSRP11.xls_B_______1416"/>
      <sheetName val="_97_207COSRP11.xls__97_207_4275"/>
      <sheetName val="_97_207COSRP11.xls__97_207_4276"/>
      <sheetName val="_97_207COSRP11.xls_B_______1417"/>
      <sheetName val="_97_207COSRP11.xls__97_207_4277"/>
      <sheetName val="_97_207COSRP11.xls__97_207_4278"/>
      <sheetName val="_97_207COSRP11.xls__97_207_4279"/>
      <sheetName val="_97_207COSRP11.xls__97_207_4280"/>
      <sheetName val="_97_207COSRP11.xls__97_207_4281"/>
      <sheetName val="_97_207COSRP11.xls_B_______1418"/>
      <sheetName val="_97_207COSRP11.xls_B_______1419"/>
      <sheetName val="_97_207COSRP11.xls__97_207_4282"/>
      <sheetName val="_97_207COSRP11.xls__97_207_4283"/>
      <sheetName val="_97_207COSRP11.xls_B_______1420"/>
      <sheetName val="_97_207COSRP11.xls__97_207_4284"/>
      <sheetName val="_97_207COSRP11.xls__97_207_4285"/>
      <sheetName val="_97_207COSRP11.xls__97_207_4286"/>
      <sheetName val="_97_207COSRP11.xls__97_207_4287"/>
      <sheetName val="_97_207COSRP11.xls__97_207_4288"/>
      <sheetName val="_97_207COSRP11.xls_B_______1421"/>
      <sheetName val="_97_207COSRP11.xls_B_______1422"/>
      <sheetName val="_97_207COSRP11.xls__97_207_4289"/>
      <sheetName val="_97_207COSRP11.xls__97_207_4290"/>
      <sheetName val="_97_207COSRP11.xls_B_______1423"/>
      <sheetName val="_97_207COSRP11.xls__97_207_4291"/>
      <sheetName val="_97_207COSRP11.xls__97_207_4292"/>
      <sheetName val="_97_207COSRP11.xls__97_207_4300"/>
      <sheetName val="_97_207COSRP11.xls__97_207_4301"/>
      <sheetName val="_97_207COSRP11.xls__97_207_4302"/>
      <sheetName val="_97_207COSRP11.xls_B_______1427"/>
      <sheetName val="_97_207COSRP11.xls_B_______1428"/>
      <sheetName val="_97_207COSRP11.xls__97_207_4303"/>
      <sheetName val="_97_207COSRP11.xls__97_207_4304"/>
      <sheetName val="_97_207COSRP11.xls_B_______1429"/>
      <sheetName val="_97_207COSRP11.xls__97_207_4305"/>
      <sheetName val="_97_207COSRP11.xls__97_207_4306"/>
      <sheetName val="_97_207COSRP11.xls__97_207_4315"/>
      <sheetName val="_97_207COSRP11.xls__97_207_4316"/>
      <sheetName val="_97_207COSRP11.xls__97_207_4317"/>
      <sheetName val="_97_207COSRP11.xls__97_207_4312"/>
      <sheetName val="_97_207COSRP11.xls__97_207_4313"/>
      <sheetName val="_97_207COSRP11.xls__97_207_4314"/>
      <sheetName val="_97_207COSRP11.xls__97_207_4310"/>
      <sheetName val="_97_207COSRP11.xls__97_207_4311"/>
      <sheetName val="_97_207COSRP11.xls__97_207_4318"/>
      <sheetName val="_97_207COSRP11.xls__97_207_4319"/>
      <sheetName val="_97_207COSRP11.xls__97_207_4320"/>
      <sheetName val="_97_207COSRP11.xls__97_207_4321"/>
      <sheetName val="_97_207COSRP11.xls__97_207_4322"/>
      <sheetName val="_97_207COSRP11.xls__97_207_4323"/>
      <sheetName val="_97_207COSRP11.xls_B_______1433"/>
      <sheetName val="_97_207COSRP11.xls_B_______1434"/>
      <sheetName val="_97_207COSRP11.xls__97_207_4341"/>
      <sheetName val="_97_207COSRP11.xls__97_207_4334"/>
      <sheetName val="_97_207COSRP11.xls__97_207_4335"/>
      <sheetName val="_97_207COSRP11.xls__97_207_4342"/>
      <sheetName val="_97_207COSRP11.xls_B_______1435"/>
      <sheetName val="_97_207COSRP11.xls__97_207_4336"/>
      <sheetName val="_97_207COSRP11.xls__97_207_4337"/>
      <sheetName val="_97_207COSRP11.xls__97_207_4343"/>
      <sheetName val="_97_207COSRP11.xls__97_207_4324"/>
      <sheetName val="_97_207COSRP11.xls__97_207_4325"/>
      <sheetName val="_97_207COSRP11.xls__97_207_4326"/>
      <sheetName val="_97_207COSRP11.xls_B_______1430"/>
      <sheetName val="_97_207COSRP11.xls_B_______1431"/>
      <sheetName val="_97_207COSRP11.xls__97_207_4327"/>
      <sheetName val="_97_207COSRP11.xls__97_207_4328"/>
      <sheetName val="_97_207COSRP11.xls_B_______1432"/>
      <sheetName val="_97_207COSRP11.xls__97_207_4329"/>
      <sheetName val="_97_207COSRP11.xls__97_207_4330"/>
      <sheetName val="_97_207COSRP11.xls__97_207_4338"/>
      <sheetName val="_97_207COSRP11.xls__97_207_4339"/>
      <sheetName val="_97_207COSRP11.xls__97_207_4340"/>
      <sheetName val="_97_207COSRP11.xls__97_207_4344"/>
      <sheetName val="_97_207COSRP11.xls__97_207_4345"/>
      <sheetName val="_97_207COSRP11.xls__97_207_4346"/>
      <sheetName val="_97_207COSRP11.xls__97_207_4347"/>
      <sheetName val="_97_207COSRP11.xls__97_207_4348"/>
      <sheetName val="_97_207COSRP11.xls__97_207_4349"/>
      <sheetName val="_97_207COSRP11.xls__97_207_4350"/>
      <sheetName val="_97_207COSRP11.xls__97_207_4351"/>
      <sheetName val="_97_207COSRP11.xls_B_______1436"/>
      <sheetName val="_97_207COSRP11.xls_B_______1437"/>
      <sheetName val="_97_207COSRP11.xls__97_207_4379"/>
      <sheetName val="_97_207COSRP11.xls__97_207_4352"/>
      <sheetName val="_97_207COSRP11.xls__97_207_4353"/>
      <sheetName val="_97_207COSRP11.xls__97_207_4380"/>
      <sheetName val="_97_207COSRP11.xls_B_______1438"/>
      <sheetName val="_97_207COSRP11.xls__97_207_4354"/>
      <sheetName val="_97_207COSRP11.xls__97_207_4355"/>
      <sheetName val="_97_207COSRP11.xls__97_207_4381"/>
      <sheetName val="_97_207COSRP11.xls__97_207_4356"/>
      <sheetName val="_97_207COSRP11.xls__97_207_4360"/>
      <sheetName val="_97_207COSRP11.xls__97_207_4361"/>
      <sheetName val="_97_207COSRP11.xls__97_207_4362"/>
      <sheetName val="_97_207COSRP11.xls__97_207_4357"/>
      <sheetName val="_97_207COSRP11.xls__97_207_4358"/>
      <sheetName val="_97_207COSRP11.xls__97_207_4359"/>
      <sheetName val="_97_207COSRP11.xls__97_207_4363"/>
      <sheetName val="_97_207COSRP11.xls__97_207_4364"/>
      <sheetName val="_97_207COSRP11.xls_B_______1439"/>
      <sheetName val="_97_207COSRP11.xls_B_______1440"/>
      <sheetName val="_97_207COSRP11.xls__97_207_4365"/>
      <sheetName val="_97_207COSRP11.xls__97_207_4366"/>
      <sheetName val="_97_207COSRP11.xls_B_______1441"/>
      <sheetName val="_97_207COSRP11.xls__97_207_4367"/>
      <sheetName val="_97_207COSRP11.xls__97_207_4368"/>
      <sheetName val="_97_207COSRP11.xls__97_207_4369"/>
      <sheetName val="_97_207COSRP11.xls__97_207_4370"/>
      <sheetName val="_97_207COSRP11.xls__97_207_4371"/>
      <sheetName val="_97_207COSRP11.xls__97_207_4372"/>
      <sheetName val="_97_207COSRP11.xls__97_207_4373"/>
      <sheetName val="_97_207COSRP11.xls__97_207_4374"/>
      <sheetName val="_97_207COSRP11.xls__97_207_4375"/>
      <sheetName val="_97_207COSRP11.xls__97_207_4376"/>
      <sheetName val="_97_207COSRP11.xls__97_207_4377"/>
      <sheetName val="_97_207COSRP11.xls__97_207_4378"/>
      <sheetName val="_97_207COSRP11.xls_B_______1442"/>
      <sheetName val="_97_207COSRP11.xls_B_______1443"/>
      <sheetName val="_97_207COSRP11.xls_B_______1444"/>
      <sheetName val="_97_207COSRP11.xls_B_______1445"/>
      <sheetName val="_97_207COSRP11.xls_B_______1446"/>
      <sheetName val="_97_207COSRP11.xls__97_207_4382"/>
      <sheetName val="_97_207COSRP11.xls__97_207_4383"/>
      <sheetName val="_97_207COSRP11.xls__97_207_4384"/>
      <sheetName val="_97_207COSRP11.xls_B_______1447"/>
      <sheetName val="_97_207COSRP11.xls__97_207_4385"/>
      <sheetName val="_97_207COSRP11.xls__97_207_4386"/>
      <sheetName val="_97_207COSRP11.xls__97_207_4387"/>
      <sheetName val="_97_207COSRP11.xls__97_207_4388"/>
      <sheetName val="_97_207COSRP11.xls__97_207_4399"/>
      <sheetName val="_97_207COSRP11.xls__97_207_4400"/>
      <sheetName val="_97_207COSRP11.xls_B_______1454"/>
      <sheetName val="_97_207COSRP11.xls_B_______1455"/>
      <sheetName val="_97_207COSRP11.xls__97_207_4424"/>
      <sheetName val="_97_207COSRP11.xls__97_207_4401"/>
      <sheetName val="_97_207COSRP11.xls__97_207_4402"/>
      <sheetName val="_97_207COSRP11.xls__97_207_4425"/>
      <sheetName val="_97_207COSRP11.xls_B_______1456"/>
      <sheetName val="_97_207COSRP11.xls__97_207_4403"/>
      <sheetName val="_97_207COSRP11.xls__97_207_4404"/>
      <sheetName val="_97_207COSRP11.xls__97_207_4426"/>
      <sheetName val="_97_207COSRP11.xls_B_______1451"/>
      <sheetName val="_97_207COSRP11.xls_B_______1452"/>
      <sheetName val="_97_207COSRP11.xls_B_______1453"/>
      <sheetName val="_97_207COSRP11.xls__97_207_4405"/>
      <sheetName val="_97_207COSRP11.xls__97_207_4406"/>
      <sheetName val="_97_207COSRP11.xls__97_207_4407"/>
      <sheetName val="_97_207COSRP11.xls_B_______1457"/>
      <sheetName val="_97_207COSRP11.xls_B_______1458"/>
      <sheetName val="_97_207COSRP11.xls__97_207_4408"/>
      <sheetName val="_97_207COSRP11.xls__97_207_4409"/>
      <sheetName val="_97_207COSRP11.xls_B_______1459"/>
      <sheetName val="_97_207COSRP11.xls__97_207_4410"/>
      <sheetName val="_97_207COSRP11.xls__97_207_4411"/>
      <sheetName val="_97_207COSRP11.xls__97_207_4412"/>
      <sheetName val="_97_207COSRP11.xls__97_207_4413"/>
      <sheetName val="_97_207COSRP11.xls__97_207_4414"/>
      <sheetName val="_97_207COSRP11.xls__97_207_4415"/>
      <sheetName val="_97_207COSRP11.xls__97_207_4416"/>
      <sheetName val="_97_207COSRP11.xls__97_207_4417"/>
      <sheetName val="_97_207COSRP11.xls__97_207_4418"/>
      <sheetName val="_97_207COSRP11.xls__97_207_4419"/>
      <sheetName val="_97_207COSRP11.xls__97_207_4420"/>
      <sheetName val="_97_207COSRP11.xls__97_207_4421"/>
      <sheetName val="_97_207COSRP11.xls__97_207_4422"/>
      <sheetName val="_97_207COSRP11.xls__97_207_4423"/>
      <sheetName val="_97_207COSRP11.xls__97_207_4427"/>
      <sheetName val="_97_207COSRP11.xls__97_207_4428"/>
      <sheetName val="_97_207COSRP11.xls__97_207_4429"/>
      <sheetName val="_97_207COSRP11.xls_B_______1460"/>
      <sheetName val="_97_207COSRP11.xls_B_______1461"/>
      <sheetName val="_97_207COSRP11.xls__97_207_4434"/>
      <sheetName val="_97_207COSRP11.xls__97_207_4430"/>
      <sheetName val="_97_207COSRP11.xls__97_207_4431"/>
      <sheetName val="_97_207COSRP11.xls__97_207_4435"/>
      <sheetName val="_97_207COSRP11.xls_B_______1462"/>
      <sheetName val="_97_207COSRP11.xls__97_207_4432"/>
      <sheetName val="_97_207COSRP11.xls__97_207_4433"/>
      <sheetName val="_97_207COSRP11.xls__97_207_4436"/>
      <sheetName val="_97_207COSRP11.xls__97_207_4437"/>
      <sheetName val="_97_207COSRP11.xls__97_207_4438"/>
      <sheetName val="_97_207COSRP11.xls__97_207_4439"/>
      <sheetName val="_97_207COSRP11.xls_B_______1475"/>
      <sheetName val="_97_207COSRP11.xls_B_______1476"/>
      <sheetName val="_97_207COSRP11.xls__97_207_4495"/>
      <sheetName val="_97_207COSRP11.xls__97_207_4489"/>
      <sheetName val="_97_207COSRP11.xls__97_207_4490"/>
      <sheetName val="_97_207COSRP11.xls__97_207_4491"/>
      <sheetName val="_97_207COSRP11.xls__97_207_4496"/>
      <sheetName val="_97_207COSRP11.xls_B_______1477"/>
      <sheetName val="_97_207COSRP11.xls__97_207_4492"/>
      <sheetName val="_97_207COSRP11.xls__97_207_4493"/>
      <sheetName val="_97_207COSRP11.xls__97_207_4494"/>
      <sheetName val="_97_207COSRP11.xls__97_207_4455"/>
      <sheetName val="_97_207COSRP11.xls__97_207_4456"/>
      <sheetName val="_97_207COSRP11.xls__97_207_4457"/>
      <sheetName val="_97_207COSRP11.xls__97_207_4440"/>
      <sheetName val="_97_207COSRP11.xls__97_207_4441"/>
      <sheetName val="_97_207COSRP11.xls__97_207_4442"/>
      <sheetName val="_97_207COSRP11.xls__97_207_4443"/>
      <sheetName val="_97_207COSRP11.xls__97_207_4444"/>
      <sheetName val="_97_207COSRP11.xls__97_207_4445"/>
      <sheetName val="_97_207COSRP11.xls__97_207_4446"/>
      <sheetName val="_97_207COSRP11.xls__97_207_4447"/>
      <sheetName val="_97_207COSRP11.xls__97_207_4448"/>
      <sheetName val="_97_207COSRP11.xls__97_207_4449"/>
      <sheetName val="_97_207COSRP11.xls__97_207_4450"/>
      <sheetName val="_97_207COSRP11.xls__97_207_4451"/>
      <sheetName val="_97_207COSRP11.xls__97_207_4452"/>
      <sheetName val="_97_207COSRP11.xls__97_207_4453"/>
      <sheetName val="_97_207COSRP11.xls__97_207_4454"/>
      <sheetName val="_97_207COSRP11.xls_B_______1466"/>
      <sheetName val="_97_207COSRP11.xls_B_______1467"/>
      <sheetName val="_97_207COSRP11.xls__97_207_4479"/>
      <sheetName val="_97_207COSRP11.xls__97_207_4465"/>
      <sheetName val="_97_207COSRP11.xls__97_207_4466"/>
      <sheetName val="_97_207COSRP11.xls__97_207_4467"/>
      <sheetName val="_97_207COSRP11.xls__97_207_4480"/>
      <sheetName val="_97_207COSRP11.xls_B_______1468"/>
      <sheetName val="_97_207COSRP11.xls__97_207_4468"/>
      <sheetName val="_97_207COSRP11.xls__97_207_4469"/>
      <sheetName val="_97_207COSRP11.xls__97_207_4470"/>
      <sheetName val="_97_207COSRP11.xls__97_207_4481"/>
      <sheetName val="_97_207COSRP11.xls__97_207_4471"/>
      <sheetName val="_97_207COSRP11.xls_B_______1463"/>
      <sheetName val="_97_207COSRP11.xls_B_______1464"/>
      <sheetName val="_97_207COSRP11.xls__97_207_4458"/>
      <sheetName val="_97_207COSRP11.xls__97_207_4459"/>
      <sheetName val="_97_207COSRP11.xls__97_207_4460"/>
      <sheetName val="_97_207COSRP11.xls_B_______1465"/>
      <sheetName val="_97_207COSRP11.xls__97_207_4461"/>
      <sheetName val="_97_207COSRP11.xls__97_207_4462"/>
      <sheetName val="_97_207COSRP11.xls__97_207_4463"/>
      <sheetName val="_97_207COSRP11.xls__97_207_4464"/>
      <sheetName val="_97_207COSRP11.xls_B_______1472"/>
      <sheetName val="_97_207COSRP11.xls_B_______1473"/>
      <sheetName val="_97_207COSRP11.xls__97_207_4486"/>
      <sheetName val="_97_207COSRP11.xls__97_207_4482"/>
      <sheetName val="_97_207COSRP11.xls__97_207_4483"/>
      <sheetName val="_97_207COSRP11.xls__97_207_4487"/>
      <sheetName val="_97_207COSRP11.xls_B_______1474"/>
      <sheetName val="_97_207COSRP11.xls__97_207_4484"/>
      <sheetName val="_97_207COSRP11.xls__97_207_4485"/>
      <sheetName val="_97_207COSRP11.xls__97_207_4488"/>
      <sheetName val="_97_207COSRP11.xls__97_207_4472"/>
      <sheetName val="_97_207COSRP11.xls__97_207_4473"/>
      <sheetName val="_97_207COSRP11.xls__97_207_4474"/>
      <sheetName val="_97_207COSRP11.xls_B_______1469"/>
      <sheetName val="_97_207COSRP11.xls_B_______1470"/>
      <sheetName val="_97_207COSRP11.xls__97_207_4475"/>
      <sheetName val="_97_207COSRP11.xls__97_207_4476"/>
      <sheetName val="_97_207COSRP11.xls_B_______1471"/>
      <sheetName val="_97_207COSRP11.xls__97_207_4477"/>
      <sheetName val="_97_207COSRP11.xls__97_207_4478"/>
      <sheetName val="_97_207COSRP11.xls__97_207_4497"/>
      <sheetName val="_97_207COSRP11.xls__97_207_4498"/>
      <sheetName val="_97_207COSRP11.xls__97_207_4499"/>
      <sheetName val="_97_207COSRP11.xls_B_______1478"/>
      <sheetName val="_97_207COSRP11.xls_B_______1479"/>
      <sheetName val="_97_207COSRP11.xls__97_207_4504"/>
      <sheetName val="_97_207COSRP11.xls__97_207_4500"/>
      <sheetName val="_97_207COSRP11.xls__97_207_4501"/>
      <sheetName val="_97_207COSRP11.xls__97_207_4505"/>
      <sheetName val="_97_207COSRP11.xls_B_______1480"/>
      <sheetName val="_97_207COSRP11.xls__97_207_4502"/>
      <sheetName val="_97_207COSRP11.xls__97_207_4503"/>
      <sheetName val="_97_207COSRP11.xls__97_207_4506"/>
      <sheetName val="_97_207COSRP11.xls__97_207_4517"/>
      <sheetName val="_97_207COSRP11.xls__97_207_4518"/>
      <sheetName val="_97_207COSRP11.xls__97_207_4519"/>
      <sheetName val="_97_207COSRP11.xls__97_207_4541"/>
      <sheetName val="_97_207COSRP11.xls__97_207_4542"/>
      <sheetName val="_97_207COSRP11.xls__97_207_4543"/>
      <sheetName val="_97_207COSRP11.xls_B_______1493"/>
      <sheetName val="_97_207COSRP11.xls_B_______1494"/>
      <sheetName val="_97_207COSRP11.xls__97_207_4548"/>
      <sheetName val="_97_207COSRP11.xls__97_207_4544"/>
      <sheetName val="_97_207COSRP11.xls__97_207_4545"/>
      <sheetName val="_97_207COSRP11.xls__97_207_4549"/>
      <sheetName val="_97_207COSRP11.xls__97_207_4550"/>
      <sheetName val="_97_207COSRP11.xls_B_______1495"/>
      <sheetName val="_97_207COSRP11.xls__97_207_4546"/>
      <sheetName val="_97_207COSRP11.xls__97_207_4547"/>
      <sheetName val="_97_207COSRP11.xls__97_207_4520"/>
      <sheetName val="_97_207COSRP11.xls__97_207_4521"/>
      <sheetName val="_97_207COSRP11.xls__97_207_4522"/>
      <sheetName val="_97_207COSRP11.xls_B_______1484"/>
      <sheetName val="_97_207COSRP11.xls_B_______1485"/>
      <sheetName val="_97_207COSRP11.xls__97_207_4523"/>
      <sheetName val="_97_207COSRP11.xls__97_207_4524"/>
      <sheetName val="_97_207COSRP11.xls_B_______1486"/>
      <sheetName val="_97_207COSRP11.xls__97_207_4525"/>
      <sheetName val="_97_207COSRP11.xls__97_207_4526"/>
      <sheetName val="_97_207COSRP11.xls__97_207_4527"/>
      <sheetName val="_97_207COSRP11.xls__97_207_4528"/>
      <sheetName val="_97_207COSRP11.xls__97_207_4529"/>
      <sheetName val="_97_207COSRP11.xls_B_______1487"/>
      <sheetName val="_97_207COSRP11.xls_B_______1488"/>
      <sheetName val="_97_207COSRP11.xls__97_207_4530"/>
      <sheetName val="_97_207COSRP11.xls__97_207_4531"/>
      <sheetName val="_97_207COSRP11.xls_B_______1489"/>
      <sheetName val="_97_207COSRP11.xls__97_207_4532"/>
      <sheetName val="_97_207COSRP11.xls__97_207_4533"/>
      <sheetName val="_97_207COSRP11.xls__97_207_4534"/>
      <sheetName val="_97_207COSRP11.xls__97_207_4535"/>
      <sheetName val="_97_207COSRP11.xls__97_207_4536"/>
      <sheetName val="_97_207COSRP11.xls_B_______1490"/>
      <sheetName val="_97_207COSRP11.xls_B_______1491"/>
      <sheetName val="_97_207COSRP11.xls__97_207_4537"/>
      <sheetName val="_97_207COSRP11.xls__97_207_4538"/>
      <sheetName val="_97_207COSRP11.xls_B_______1492"/>
      <sheetName val="_97_207COSRP11.xls__97_207_4539"/>
      <sheetName val="_97_207COSRP11.xls__97_207_4540"/>
      <sheetName val="_97_207COSRP11.xls__97_207_4551"/>
      <sheetName val="_97_207COSRP11.xls__97_207_4552"/>
      <sheetName val="_97_207COSRP11.xls__97_207_4553"/>
      <sheetName val="_97_207COSRP11.xls__97_207_4557"/>
      <sheetName val="_97_207COSRP11.xls__97_207_4558"/>
      <sheetName val="_97_207COSRP11.xls__97_207_4559"/>
      <sheetName val="_97_207COSRP11.xls__97_207_4554"/>
      <sheetName val="_97_207COSRP11.xls__97_207_4555"/>
      <sheetName val="_97_207COSRP11.xls__97_207_4556"/>
      <sheetName val="_97_207COSRP11.xls__97_207_4560"/>
      <sheetName val="_97_207COSRP11.xls__97_207_4561"/>
      <sheetName val="_97_207COSRP11.xls__97_207_4562"/>
      <sheetName val="_97_207COSRP11.xls_B_______1496"/>
      <sheetName val="_97_207COSRP11.xls_B_______1497"/>
      <sheetName val="_97_207COSRP11.xls__97_207_4567"/>
      <sheetName val="_97_207COSRP11.xls__97_207_4563"/>
      <sheetName val="_97_207COSRP11.xls__97_207_4564"/>
      <sheetName val="_97_207COSRP11.xls__97_207_4568"/>
      <sheetName val="_97_207COSRP11.xls__97_207_4569"/>
      <sheetName val="_97_207COSRP11.xls_B_______1498"/>
      <sheetName val="_97_207COSRP11.xls__97_207_4565"/>
      <sheetName val="_97_207COSRP11.xls__97_207_4566"/>
      <sheetName val="_97_207COSRP11.xls_B_______1499"/>
      <sheetName val="_97_207COSRP11.xls_B_______1500"/>
      <sheetName val="_97_207COSRP11.xls__97_207_4580"/>
      <sheetName val="_97_207COSRP11.xls__97_207_4570"/>
      <sheetName val="_97_207COSRP11.xls__97_207_4571"/>
      <sheetName val="_97_207COSRP11.xls__97_207_4581"/>
      <sheetName val="_97_207COSRP11.xls__97_207_4582"/>
      <sheetName val="_97_207COSRP11.xls_B_______1501"/>
      <sheetName val="_97_207COSRP11.xls__97_207_4572"/>
      <sheetName val="_97_207COSRP11.xls__97_207_4573"/>
      <sheetName val="_97_207COSRP11.xls__97_207_4574"/>
      <sheetName val="_97_207COSRP11.xls__97_207_4575"/>
      <sheetName val="_97_207COSRP11.xls__97_207_4576"/>
      <sheetName val="_97_207COSRP11.xls__97_207_4577"/>
      <sheetName val="_97_207COSRP11.xls__97_207_4578"/>
      <sheetName val="_97_207COSRP11.xls__97_207_4579"/>
      <sheetName val="_97_207COSRP11.xls__97_207_4586"/>
      <sheetName val="_97_207COSRP11.xls__97_207_4587"/>
      <sheetName val="_97_207COSRP11.xls__97_207_4588"/>
      <sheetName val="_97_207COSRP11.xls__97_207_4583"/>
      <sheetName val="_97_207COSRP11.xls__97_207_4584"/>
      <sheetName val="_97_207COSRP11.xls__97_207_4585"/>
      <sheetName val="B@___x0004_@___$_x0"/>
      <sheetName val="_97_207COSRP11.xls_B@___x"/>
      <sheetName val="B@___x0004_@_"/>
      <sheetName val="_97_207COSRPLatitude 3460_tails"/>
      <sheetName val="_97_207COSRPLatitude_3460tails"/>
      <sheetName val="_97_207COSRP11_xls__97_207_1054"/>
      <sheetName val="_97_207COSRP11_xls__97_207_1055"/>
      <sheetName val="_97_207COSRP11_xls__97_207_1056"/>
      <sheetName val="_97_207COSRP11_xls__97_207_1061"/>
      <sheetName val="_97_207COSRP11_xls__97_207_1057"/>
      <sheetName val="_97_207COSRP11_xls__97_207_1058"/>
      <sheetName val="_97_207COSRP11_xls__97_207_1062"/>
      <sheetName val="_97_207COSRP11_xls__97_207_1059"/>
      <sheetName val="_97_207COSRP11_xls__97_207_1060"/>
      <sheetName val="_97_207COSRP11_xls__97_207_1063"/>
      <sheetName val="_97_207COSRP11_xls__97_207_1044"/>
      <sheetName val="_97_207COSRP11_xls__97_207_1037"/>
      <sheetName val="_97_207COSRP11_xls__97_207_1038"/>
      <sheetName val="_97_207COSRP11_xls__97_207_1039"/>
      <sheetName val="_97_207COSRP11_xls__97_207_1040"/>
      <sheetName val="_97_207COSRP11_xls__97_207_1045"/>
      <sheetName val="_97_207COSRP11_xls__97_207_1041"/>
      <sheetName val="_97_207COSRP11_xls__97_207_1042"/>
      <sheetName val="_97_207COSRP11_xls__97_207_1046"/>
      <sheetName val="_97_207COSRP11_xls__97_207_1043"/>
      <sheetName val="_97_207COSRP11_xls__97_207_1006"/>
      <sheetName val="_97_207COSRP11_xls__97_207_1007"/>
      <sheetName val="_97_207COSRP11_xls__97_207_1008"/>
      <sheetName val="_97_207COSRP11_xls__97_207_1009"/>
      <sheetName val="_97_207COSRP11_xls__97_207_1010"/>
      <sheetName val="_97_207COSRP11_xls__97_207_1011"/>
      <sheetName val="_97_207COSRP11_xls__97_207_1012"/>
      <sheetName val="_97_207COSRP11_xls__97_207_1003"/>
      <sheetName val="_97_207COSRP11_xls__97_207_1000"/>
      <sheetName val="_97_207COSRP11_xls__97_207_1004"/>
      <sheetName val="_97_207COSRP11_xls__97_207_1001"/>
      <sheetName val="_97_207COSRP11_xls__97_207_1002"/>
      <sheetName val="_97_207COSRP11_xls__97_207_1005"/>
      <sheetName val="_97_207COSRP11_xls__97_207_1013"/>
      <sheetName val="_97_207COSRP11_xls__97_207_1014"/>
      <sheetName val="_97_207COSRP11_xls__97_207_1015"/>
      <sheetName val="_97_207COSRP11_xls__97_207_1016"/>
      <sheetName val="_97_207COSRP11_xls__97_207_1017"/>
      <sheetName val="_97_207COSRP11_xls__97_207_1018"/>
      <sheetName val="_97_207COSRP11_xls__97_207_1019"/>
      <sheetName val="_97_207COSRP11_xls__97_207_1020"/>
      <sheetName val="_97_207COSRP11_xls__97_207_1021"/>
      <sheetName val="_97_207COSRP11_xls__97_207_1022"/>
      <sheetName val="_97_207COSRP11_xls__97_207_1027"/>
      <sheetName val="_97_207COSRP11_xls__97_207_1023"/>
      <sheetName val="_97_207COSRP11_xls__97_207_1024"/>
      <sheetName val="_97_207COSRP11_xls__97_207_1028"/>
      <sheetName val="_97_207COSRP11_xls__97_207_1025"/>
      <sheetName val="_97_207COSRP11_xls__97_207_1026"/>
      <sheetName val="_97_207COSRP11_xls__97_207_1029"/>
      <sheetName val="_97_207COSRP11_xls__97_207_1030"/>
      <sheetName val="_97_207COSRP11_xls__97_207_1031"/>
      <sheetName val="_97_207COSRP11_xls__97_207_1032"/>
      <sheetName val="_97_207COSRP11_xls__97_207_1033"/>
      <sheetName val="_97_207COSRP11_xls__97_207_1034"/>
      <sheetName val="_97_207COSRP11_xls__97_207_1035"/>
      <sheetName val="_97_207COSRP11_xls__97_207_1036"/>
      <sheetName val="_97_207COSRP11_xls__97_207_1047"/>
      <sheetName val="_97_207COSRP11_xls__97_207_1048"/>
      <sheetName val="_97_207COSRP11_xls__97_207_1049"/>
      <sheetName val="_97_207COSRP11_xls__97_207_1050"/>
      <sheetName val="_97_207COSRP11_xls__97_207_1051"/>
      <sheetName val="_97_207COSRP11_xls__97_207_1052"/>
      <sheetName val="_97_207COSRP11_xls__97_207_1053"/>
      <sheetName val="_97_207COSRP11.xls__97_207_4589"/>
      <sheetName val="_97_207COSRP11.xls__97_207_4590"/>
      <sheetName val="_97_207COSRP11.xls__97_207_4591"/>
      <sheetName val="_97_207COSRP11.xls__97_207_4592"/>
      <sheetName val="_97_207COSRP11.xls_B_______1502"/>
      <sheetName val="_97_207COSRP11.xls_B_______1503"/>
      <sheetName val="_97_207COSRP11.xls__97_207_4599"/>
      <sheetName val="_97_207COSRP11.xls__97_207_4593"/>
      <sheetName val="_97_207COSRP11.xls__97_207_4594"/>
      <sheetName val="_97_207COSRP11.xls__97_207_4595"/>
      <sheetName val="_97_207COSRP11.xls__97_207_4596"/>
      <sheetName val="_97_207COSRP11.xls__97_207_4600"/>
      <sheetName val="_97_207COSRP11.xls_B_______1504"/>
      <sheetName val="_97_207COSRP11.xls__97_207_4597"/>
      <sheetName val="_97_207COSRP11.xls__97_207_4598"/>
      <sheetName val="_97_207COSRP11.xls__97_207_4601"/>
      <sheetName val="_97_207COSRP11.xls__97_207_4602"/>
      <sheetName val="_97_207COSRP11.xls__97_207_4603"/>
      <sheetName val="_97_207COSRP11.xls__97_207_4604"/>
      <sheetName val="_97_207COSRP11.xls__97_207_4616"/>
      <sheetName val="_97_207COSRP11.xls__97_207_4617"/>
      <sheetName val="_97_207COSRP11.xls__97_207_4618"/>
      <sheetName val="_97_207COSRP11.xls_B_______1523"/>
      <sheetName val="_97_207COSRP11.xls_B_______1524"/>
      <sheetName val="_97_207COSRP11.xls__97_207_4623"/>
      <sheetName val="_97_207COSRP11.xls__97_207_4619"/>
      <sheetName val="_97_207COSRP11.xls__97_207_4620"/>
      <sheetName val="_97_207COSRP11.xls__97_207_4624"/>
      <sheetName val="_97_207COSRP11.xls_B_______1525"/>
      <sheetName val="_97_207COSRP11.xls__97_207_4621"/>
      <sheetName val="_97_207COSRP11.xls__97_207_4622"/>
      <sheetName val="_97_207COSRP11.xls__97_207_4625"/>
      <sheetName val="_97_207COSRP11.xls__97_207_4609"/>
      <sheetName val="_97_207COSRP11.xls__97_207_4610"/>
      <sheetName val="_97_207COSRP11.xls__97_207_4611"/>
      <sheetName val="_97_207COSRP11.xls_B_______1520"/>
      <sheetName val="_97_207COSRP11.xls_B_______1521"/>
      <sheetName val="_97_207COSRP11.xls__97_207_4612"/>
      <sheetName val="_97_207COSRP11.xls__97_207_4613"/>
      <sheetName val="_97_207COSRP11.xls_B_______1522"/>
      <sheetName val="_97_207COSRP11.xls__97_207_4614"/>
      <sheetName val="_97_207COSRP11.xls__97_207_4615"/>
      <sheetName val="_97_207COSRP11.xls_B_______1511"/>
      <sheetName val="_97_207COSRP11.xls_B_______1512"/>
      <sheetName val="_97_207COSRP11.xls_B_______1513"/>
      <sheetName val="_97_207COSRP11.xls_B_______1505"/>
      <sheetName val="_97_207COSRP11.xls_B_______1506"/>
      <sheetName val="_97_207COSRP11.xls_B_______1507"/>
      <sheetName val="_97_207COSRP11.xls_B_______1508"/>
      <sheetName val="_97_207COSRP11.xls_B_______1509"/>
      <sheetName val="_97_207COSRP11.xls_B_______1510"/>
      <sheetName val="_97_207COSRP11.xls_B_______1514"/>
      <sheetName val="_97_207COSRP11.xls_B_______1515"/>
      <sheetName val="_97_207COSRP11.xls_B_______1516"/>
      <sheetName val="_97_207COSRP11.xls_B_______1517"/>
      <sheetName val="_97_207COSRP11.xls_B_______1518"/>
      <sheetName val="_97_207COSRP11.xls__97_207_4605"/>
      <sheetName val="_97_207COSRP11.xls__97_207_4606"/>
      <sheetName val="_97_207COSRP11.xls_B_______1519"/>
      <sheetName val="_97_207COSRP11.xls__97_207_4607"/>
      <sheetName val="_97_207COSRP11.xls__97_207_4608"/>
      <sheetName val="_97_207COSRP11.xls__97_207_4626"/>
      <sheetName val="_97_207COSRP11.xls__97_207_4627"/>
      <sheetName val="_97_207COSRP11.xls__97_207_4628"/>
      <sheetName val="_97_207COSRP11.xls_B_______1526"/>
      <sheetName val="_97_207COSRP11.xls_B_______1527"/>
      <sheetName val="_97_207COSRP11.xls__97_207_4633"/>
      <sheetName val="_97_207COSRP11.xls__97_207_4629"/>
      <sheetName val="_97_207COSRP11.xls__97_207_4630"/>
      <sheetName val="_97_207COSRP11.xls__97_207_4634"/>
      <sheetName val="_97_207COSRP11.xls_B_______1528"/>
      <sheetName val="_97_207COSRP11.xls__97_207_4631"/>
      <sheetName val="_97_207COSRP11.xls__97_207_4632"/>
      <sheetName val="_97_207COSRP11.xls__97_207_4635"/>
      <sheetName val="_97_207COSRP11.xls__97_207_4639"/>
      <sheetName val="_97_207COSRP11.xls__97_207_4640"/>
      <sheetName val="_97_207COSRP11.xls__97_207_4641"/>
      <sheetName val="_97_207COSRP11.xls__97_207_4636"/>
      <sheetName val="_97_207COSRP11.xls__97_207_4637"/>
      <sheetName val="_97_207COSRP11.xls__97_207_4638"/>
      <sheetName val="_97_207COSRP11.xls_B_______1529"/>
      <sheetName val="_97_207COSRP11.xls_B_______1530"/>
      <sheetName val="_97_207COSRP11.xls__97_207_4646"/>
      <sheetName val="_97_207COSRP11.xls__97_207_4642"/>
      <sheetName val="_97_207COSRP11.xls__97_207_4643"/>
      <sheetName val="_97_207COSRP11.xls__97_207_4647"/>
      <sheetName val="_97_207COSRP11.xls_B_______1531"/>
      <sheetName val="_97_207COSRP11.xls__97_207_4644"/>
      <sheetName val="_97_207COSRP11.xls__97_207_4645"/>
      <sheetName val="_97_207COSRP11.xls__97_207_4648"/>
      <sheetName val="_97_207COSRP11.xls_B_______1532"/>
      <sheetName val="_97_207COSRP11.xls_B_______1533"/>
      <sheetName val="_97_207COSRP11.xls_B_______1534"/>
      <sheetName val="_97_207COSRP11.xls__97_207_4650"/>
      <sheetName val="_97_207COSRP11.xls__97_207_4651"/>
      <sheetName val="_97_207COSRP11.xls__97_207_4652"/>
      <sheetName val="_97_207COSRP11.xls_B_______1535"/>
      <sheetName val="_97_207COSRP11.xls__97_207_4649"/>
      <sheetName val="_97_207COSRP11.xls_B_______1536"/>
      <sheetName val="_97_207COSRP11.xls_B_______1537"/>
      <sheetName val="_97_207COSRP11.xls__97_207_4660"/>
      <sheetName val="_97_207COSRP11.xls__97_207_4653"/>
      <sheetName val="_97_207COSRP11.xls__97_207_4654"/>
      <sheetName val="_97_207COSRP11.xls__97_207_4655"/>
      <sheetName val="_97_207COSRP11.xls__97_207_4661"/>
      <sheetName val="_97_207COSRP11.xls__97_207_4656"/>
      <sheetName val="_97_207COSRP11.xls__97_207_4657"/>
      <sheetName val="_97_207COSRP11.xls__97_207_4662"/>
      <sheetName val="_97_207COSRP11.xls_B_______1538"/>
      <sheetName val="_97_207COSRP11.xls__97_207_4658"/>
      <sheetName val="_97_207COSRP11.xls__97_207_4659"/>
      <sheetName val="_97_207COSRP11.xls__97_207_4663"/>
      <sheetName val="_97_207COSRP11.xls__97_207_4733"/>
      <sheetName val="_97_207COSRP11.xls__97_207_4734"/>
      <sheetName val="_97_207COSRP11.xls__97_207_4735"/>
      <sheetName val="_97_207COSRP11.xls__97_207_4665"/>
      <sheetName val="_97_207COSRP11.xls__97_207_4666"/>
      <sheetName val="_97_207COSRP11.xls__97_207_4667"/>
      <sheetName val="_97_207COSRP11.xls__97_207_4664"/>
      <sheetName val="_97_207COSRP11.xls__97_207_4672"/>
      <sheetName val="_97_207COSRP11.xls__97_207_4668"/>
      <sheetName val="_97_207COSRP11.xls__97_207_4669"/>
      <sheetName val="_97_207COSRP11.xls__97_207_4673"/>
      <sheetName val="_97_207COSRP11.xls__97_207_4670"/>
      <sheetName val="_97_207COSRP11.xls__97_207_4671"/>
      <sheetName val="_97_207COSRP11.xls__97_207_4674"/>
      <sheetName val="_97_207COSRP11.xls_B_______1539"/>
      <sheetName val="_97_207COSRP11.xls__97_207_4682"/>
      <sheetName val="_97_207COSRP11.xls__97_207_4675"/>
      <sheetName val="_97_207COSRP11.xls__97_207_4676"/>
      <sheetName val="_97_207COSRP11.xls__97_207_4683"/>
      <sheetName val="_97_207COSRP11.xls_B_______1540"/>
      <sheetName val="_97_207COSRP11.xls__97_207_4677"/>
      <sheetName val="_97_207COSRP11.xls__97_207_4678"/>
      <sheetName val="_97_207COSRP11.xls__97_207_4684"/>
      <sheetName val="_97_207COSRP11.xls__97_207_4679"/>
      <sheetName val="_97_207COSRP11.xls__97_207_4680"/>
      <sheetName val="_97_207COSRP11.xls__97_207_4681"/>
      <sheetName val="_97_207COSRP11.xls_B_______1541"/>
      <sheetName val="_97_207COSRP11.xls_B_______1542"/>
      <sheetName val="_97_207COSRP11.xls__97_207_4696"/>
      <sheetName val="_97_207COSRP11.xls__97_207_4685"/>
      <sheetName val="_97_207COSRP11.xls__97_207_4686"/>
      <sheetName val="_97_207COSRP11.xls__97_207_4697"/>
      <sheetName val="_97_207COSRP11.xls_B_______1543"/>
      <sheetName val="_97_207COSRP11.xls__97_207_4687"/>
      <sheetName val="_97_207COSRP11.xls__97_207_4688"/>
      <sheetName val="_97_207COSRP11.xls__97_207_4698"/>
      <sheetName val="_97_207COSRP11.xls_B_______1547"/>
      <sheetName val="_97_207COSRP11.xls_B_______1548"/>
      <sheetName val="_97_207COSRP11.xls__97_207_4703"/>
      <sheetName val="_97_207COSRP11.xls__97_207_4699"/>
      <sheetName val="_97_207COSRP11.xls__97_207_4700"/>
      <sheetName val="_97_207COSRP11.xls__97_207_4704"/>
      <sheetName val="_97_207COSRP11.xls_B_______1549"/>
      <sheetName val="_97_207COSRP11.xls__97_207_4701"/>
      <sheetName val="_97_207COSRP11.xls__97_207_4702"/>
      <sheetName val="_97_207COSRP11.xls__97_207_4705"/>
      <sheetName val="_97_207COSRP11.xls__97_207_4689"/>
      <sheetName val="_97_207COSRP11.xls__97_207_4690"/>
      <sheetName val="_97_207COSRP11.xls__97_207_4691"/>
      <sheetName val="_97_207COSRP11.xls_B_______1544"/>
      <sheetName val="_97_207COSRP11.xls_B_______1545"/>
      <sheetName val="_97_207COSRP11.xls__97_207_4692"/>
      <sheetName val="_97_207COSRP11.xls__97_207_4693"/>
      <sheetName val="_97_207COSRP11.xls_B_______1546"/>
      <sheetName val="_97_207COSRP11.xls__97_207_4694"/>
      <sheetName val="_97_207COSRP11.xls__97_207_4695"/>
      <sheetName val="_97_207COSRP11.xls_B_______1550"/>
      <sheetName val="_97_207COSRP11.xls_B_______1551"/>
      <sheetName val="_97_207COSRP11.xls__97_207_4710"/>
      <sheetName val="_97_207COSRP11.xls__97_207_4706"/>
      <sheetName val="_97_207COSRP11.xls__97_207_4707"/>
      <sheetName val="_97_207COSRP11.xls__97_207_4711"/>
      <sheetName val="_97_207COSRP11.xls_B_______1552"/>
      <sheetName val="_97_207COSRP11.xls__97_207_4708"/>
      <sheetName val="_97_207COSRP11.xls__97_207_4709"/>
      <sheetName val="_97_207COSRP11.xls__97_207_4712"/>
      <sheetName val="_97_207COSRP11.xls__97_207_4713"/>
      <sheetName val="_97_207COSRP11.xls__97_207_4714"/>
      <sheetName val="_97_207COSRP11.xls__97_207_4715"/>
      <sheetName val="_97_207COSRP11.xls_B_______1553"/>
      <sheetName val="_97_207COSRP11.xls_B_______1554"/>
      <sheetName val="_97_207COSRP11.xls__97_207_4720"/>
      <sheetName val="_97_207COSRP11.xls__97_207_4716"/>
      <sheetName val="_97_207COSRP11.xls__97_207_4717"/>
      <sheetName val="_97_207COSRP11.xls__97_207_4721"/>
      <sheetName val="_97_207COSRP11.xls_B_______1555"/>
      <sheetName val="_97_207COSRP11.xls__97_207_4718"/>
      <sheetName val="_97_207COSRP11.xls__97_207_4719"/>
      <sheetName val="_97_207COSRP11.xls__97_207_4722"/>
      <sheetName val="_97_207COSRP11.xls_B_______1556"/>
      <sheetName val="_97_207COSRP11.xls_B_______1557"/>
      <sheetName val="_97_207COSRP11.xls__97_207_4730"/>
      <sheetName val="_97_207COSRP11.xls__97_207_4723"/>
      <sheetName val="_97_207COSRP11.xls__97_207_4724"/>
      <sheetName val="_97_207COSRP11.xls__97_207_4731"/>
      <sheetName val="_97_207COSRP11.xls_B_______1558"/>
      <sheetName val="_97_207COSRP11.xls__97_207_4725"/>
      <sheetName val="_97_207COSRP11.xls__97_207_4726"/>
      <sheetName val="_97_207COSRP11.xls__97_207_4732"/>
      <sheetName val="_97_207COSRP11.xls__97_207_4727"/>
      <sheetName val="_97_207COSRP11.xls__97_207_4728"/>
      <sheetName val="_97_207COSRP11.xls__97_207_4729"/>
      <sheetName val="_97_207COSRP11.xls_B_______1559"/>
      <sheetName val="_97_207COSRP11.xls_B_______1560"/>
      <sheetName val="_97_207COSRP11.xls__97_207_4743"/>
      <sheetName val="_97_207COSRP11.xls__97_207_4736"/>
      <sheetName val="_97_207COSRP11.xls__97_207_4737"/>
      <sheetName val="_97_207COSRP11.xls__97_207_4738"/>
      <sheetName val="_97_207COSRP11.xls__97_207_4739"/>
      <sheetName val="_97_207COSRP11.xls__97_207_4740"/>
      <sheetName val="_97_207COSRP11.xls__97_207_4744"/>
      <sheetName val="_97_207COSRP11.xls_B_______1561"/>
      <sheetName val="_97_207COSRP11.xls__97_207_4741"/>
      <sheetName val="_97_207COSRP11.xls__97_207_4742"/>
      <sheetName val="_97_207COSRP11.xls__97_207_4745"/>
      <sheetName val="_97_207COSRP11.xls__97_207_4746"/>
      <sheetName val="_97_207COSRP11.xls__97_207_4747"/>
      <sheetName val="_97_207COSRP11.xls__97_207_4748"/>
      <sheetName val="_97_207COSRP11.xls__97_207_4749"/>
      <sheetName val="_97_207COSRP11.xls__97_207_4752"/>
      <sheetName val="_97_207COSRP11.xls__97_207_4751"/>
      <sheetName val="_97_207COSRP11.xls__97_207_4753"/>
      <sheetName val="_97_207COSRP11.xls_B_______1562"/>
      <sheetName val="_97_207COSRP11.xls_B_______1563"/>
      <sheetName val="_97_207COSRP11.xls_B_______1564"/>
      <sheetName val="_97_207COSRP11.xls_B_______1565"/>
      <sheetName val="_97_207COSRP11.xls__97_207_4756"/>
      <sheetName val="_97_207COSRP11.xls__97_207_4754"/>
      <sheetName val="_97_207COSRP11.xls__97_207_4755"/>
      <sheetName val="_97_207COSRP11.xls__97_207_4757"/>
      <sheetName val="_97_207COSRP11.xls_B_______1566"/>
      <sheetName val="_97_207COSRP11.xls_B_______1567"/>
      <sheetName val="_97_207COSRP11.xls__97_207_4761"/>
      <sheetName val="_97_207COSRP11.xls__97_207_4758"/>
      <sheetName val="_97_207COSRP11.xls__97_207_4759"/>
      <sheetName val="_97_207COSRP11.xls__97_207_4760"/>
      <sheetName val="_97_207COSRP11.xls__97_207_4762"/>
      <sheetName val="_97_207COSRP11.xls__97_207_4766"/>
      <sheetName val="_97_207COSRP11.xls_B_______1570"/>
      <sheetName val="_97_207COSRP11.xls_B_______1571"/>
      <sheetName val="_97_207COSRP11.xls__97_207_4770"/>
      <sheetName val="_97_207COSRP11.xls__97_207_4767"/>
      <sheetName val="_97_207COSRP11.xls__97_207_4768"/>
      <sheetName val="_97_207COSRP11.xls__97_207_4769"/>
      <sheetName val="_97_207COSRP11.xls_B_______1568"/>
      <sheetName val="_97_207COSRP11.xls_B_______1569"/>
      <sheetName val="_97_207COSRP11.xls__97_207_4763"/>
      <sheetName val="_97_207COSRP11.xls__97_207_4764"/>
      <sheetName val="_97_207COSRP11.xls__97_207_4765"/>
      <sheetName val="_97_207COSRP11.xls__97_207_4771"/>
      <sheetName val="_97_207COSRP11.xls__97_207_4773"/>
      <sheetName val="_97_207COSRP11.xls__97_207_4772"/>
      <sheetName val="_97_207COSRP11.xls__97_207_4787"/>
      <sheetName val="_97_207COSRP11.xls_B_______1578"/>
      <sheetName val="_97_207COSRP11.xls_B_______1579"/>
      <sheetName val="_97_207COSRP11.xls__97_207_4791"/>
      <sheetName val="_97_207COSRP11.xls__97_207_4788"/>
      <sheetName val="_97_207COSRP11.xls__97_207_4789"/>
      <sheetName val="_97_207COSRP11.xls__97_207_4790"/>
      <sheetName val="_97_207COSRP11.xls__97_207_4778"/>
      <sheetName val="_97_207COSRP11.xls_B_______1574"/>
      <sheetName val="_97_207COSRP11.xls_B_______1575"/>
      <sheetName val="_97_207COSRP11.xls__97_207_4782"/>
      <sheetName val="_97_207COSRP11.xls__97_207_4779"/>
      <sheetName val="_97_207COSRP11.xls__97_207_4780"/>
      <sheetName val="_97_207COSRP11.xls__97_207_4781"/>
      <sheetName val="_97_207COSRP11.xls__97_207_4774"/>
      <sheetName val="_97_207COSRP11.xls_B_______1572"/>
      <sheetName val="_97_207COSRP11.xls_B_______1573"/>
      <sheetName val="_97_207COSRP11.xls__97_207_4775"/>
      <sheetName val="_97_207COSRP11.xls__97_207_4776"/>
      <sheetName val="_97_207COSRP11.xls__97_207_4777"/>
      <sheetName val="_97_207COSRP11.xls__97_207_4783"/>
      <sheetName val="_97_207COSRP11.xls_B_______1576"/>
      <sheetName val="_97_207COSRP11.xls_B_______1577"/>
      <sheetName val="_97_207COSRP11.xls__97_207_4784"/>
      <sheetName val="_97_207COSRP11.xls__97_207_4785"/>
      <sheetName val="_97_207COSRP11.xls__97_207_4786"/>
      <sheetName val="_97_207COSRP11.xls__97_207_4792"/>
      <sheetName val="_97_207COSRP11.xls_B_______1580"/>
      <sheetName val="_97_207COSRP11.xls_B_______1581"/>
      <sheetName val="_97_207COSRP11.xls__97_207_4996"/>
      <sheetName val="_97_207COSRP11.xls__97_207_4793"/>
      <sheetName val="_97_207COSRP11.xls__97_207_4794"/>
      <sheetName val="_97_207COSRP11.xls__97_207_4795"/>
      <sheetName val="_97_207COSRP11.xls_B_______1639"/>
      <sheetName val="_97_207COSRP11.xls_B_______1640"/>
      <sheetName val="_97_207COSRP11.xls__97_207_5001"/>
      <sheetName val="_97_207COSRP11.xls__97_207_4997"/>
      <sheetName val="_97_207COSRP11.xls__97_207_4998"/>
      <sheetName val="_97_207COSRP11.xls__97_207_4999"/>
      <sheetName val="_97_207COSRP11.xls_B_______1636"/>
      <sheetName val="_97_207COSRP11.xls_B_______1637"/>
      <sheetName val="_97_207COSRP11.xls__97_207_4993"/>
      <sheetName val="_97_207COSRP11.xls__97_207_4986"/>
      <sheetName val="_97_207COSRP11.xls__97_207_4987"/>
      <sheetName val="_97_207COSRP11.xls__97_207_4988"/>
      <sheetName val="_97_207COSRP11.xls__97_207_4994"/>
      <sheetName val="_97_207COSRP11.xls__97_207_4989"/>
      <sheetName val="_97_207COSRP11.xls__97_207_4990"/>
      <sheetName val="_97_207COSRP11.xls__97_207_4995"/>
      <sheetName val="_97_207COSRP11.xls_B_______1638"/>
      <sheetName val="_97_207COSRP11.xls__97_207_4991"/>
      <sheetName val="_97_207COSRP11.xls__97_207_4992"/>
      <sheetName val="_97_207COSRP11.xls__97_207_4948"/>
      <sheetName val="_97_207COSRP11.xls__97_207_4949"/>
      <sheetName val="_97_207COSRP11.xls__97_207_4950"/>
      <sheetName val="_97_207COSRP11.xls_B_______1625"/>
      <sheetName val="_97_207COSRP11.xls_B_______1626"/>
      <sheetName val="_97_207COSRP11.xls__97_207_4955"/>
      <sheetName val="_97_207COSRP11.xls__97_207_4951"/>
      <sheetName val="_97_207COSRP11.xls__97_207_4956"/>
      <sheetName val="_97_207COSRP11.xls_B_______1627"/>
      <sheetName val="_97_207COSRP11.xls__97_207_4952"/>
      <sheetName val="_97_207COSRP11.xls__97_207_4953"/>
      <sheetName val="_97_207COSRP11.xls__97_207_4954"/>
      <sheetName val="_97_207COSRP11.xls__97_207_4957"/>
      <sheetName val="_97_207COSRP11.xls__97_207_4850"/>
      <sheetName val="_97_207COSRP11.xls__97_207_4851"/>
      <sheetName val="_97_207COSRP11.xls__97_207_4852"/>
      <sheetName val="_97_207COSRP11.xls__97_207_4796"/>
      <sheetName val="_97_207COSRP11.xls__97_207_4797"/>
      <sheetName val="_97_207COSRP11.xls__97_207_4798"/>
      <sheetName val="_97_207COSRP11.xls__97_207_4799"/>
      <sheetName val="_97_207COSRP11.xls__97_207_4800"/>
      <sheetName val="_97_207COSRP11.xls__97_207_4801"/>
      <sheetName val="_97_207COSRP11.xls__97_207_4833"/>
      <sheetName val="_97_207COSRP11.xls__97_207_4802"/>
      <sheetName val="_97_207COSRP11.xls__97_207_4803"/>
      <sheetName val="_97_207COSRP11.xls__97_207_4834"/>
      <sheetName val="_97_207COSRP11.xls__97_207_4804"/>
      <sheetName val="_97_207COSRP11.xls__97_207_4805"/>
      <sheetName val="_97_207COSRP11.xls__97_207_4835"/>
      <sheetName val="_97_207COSRP11.xls__97_207_4820"/>
      <sheetName val="_97_207COSRP11.xls__97_207_4821"/>
      <sheetName val="_97_207COSRP11.xls__97_207_4822"/>
      <sheetName val="_97_207COSRP11.xls_B_______1583"/>
      <sheetName val="_97_207COSRP11.xls_B_______1584"/>
      <sheetName val="_97_207COSRP11.xls__97_207_4827"/>
      <sheetName val="_97_207COSRP11.xls__97_207_4823"/>
      <sheetName val="_97_207COSRP11.xls__97_207_4824"/>
      <sheetName val="_97_207COSRP11.xls__97_207_4828"/>
      <sheetName val="_97_207COSRP11.xls_B_______1585"/>
      <sheetName val="_97_207COSRP11.xls__97_207_4825"/>
      <sheetName val="_97_207COSRP11.xls__97_207_4826"/>
      <sheetName val="_97_207COSRP11.xls__97_207_4829"/>
      <sheetName val="_97_207COSRP11.xls__97_207_4806"/>
      <sheetName val="_97_207COSRP11.xls__97_207_4807"/>
      <sheetName val="_97_207COSRP11.xls__97_207_4808"/>
      <sheetName val="_97_207COSRP11.xls__97_207_4809"/>
      <sheetName val="_97_207COSRP11.xls__97_207_4810"/>
      <sheetName val="_97_207COSRP11.xls__97_207_4811"/>
      <sheetName val="_97_207COSRP11.xls__97_207_4812"/>
      <sheetName val="_97_207COSRP11.xls__97_207_4813"/>
      <sheetName val="_97_207COSRP11.xls__97_207_4814"/>
      <sheetName val="_97_207COSRP11.xls__97_207_4815"/>
      <sheetName val="_97_207COSRP11.xls__97_207_4816"/>
      <sheetName val="_97_207COSRP11.xls__97_207_4817"/>
      <sheetName val="_97_207COSRP11.xls_B_______1582"/>
      <sheetName val="_97_207COSRP11.xls__97_207_4818"/>
      <sheetName val="_97_207COSRP11.xls__97_207_4819"/>
      <sheetName val="_97_207COSRP11.xls__97_207_4830"/>
      <sheetName val="_97_207COSRP11.xls__97_207_4831"/>
      <sheetName val="_97_207COSRP11.xls__97_207_4832"/>
      <sheetName val="_97_207COSRP11.xls_B_______1586"/>
      <sheetName val="_97_207COSRP11.xls_B_______1587"/>
      <sheetName val="_97_207COSRP11.xls__97_207_4840"/>
      <sheetName val="_97_207COSRP11.xls__97_207_4836"/>
      <sheetName val="_97_207COSRP11.xls__97_207_4837"/>
      <sheetName val="_97_207COSRP11.xls__97_207_4841"/>
      <sheetName val="_97_207COSRP11.xls_B_______1588"/>
      <sheetName val="_97_207COSRP11.xls__97_207_4838"/>
      <sheetName val="_97_207COSRP11.xls__97_207_4839"/>
      <sheetName val="_97_207COSRP11.xls__97_207_4842"/>
      <sheetName val="_97_207COSRP11.xls_B_______1589"/>
      <sheetName val="_97_207COSRP11.xls_B_______1590"/>
      <sheetName val="_97_207COSRP11.xls__97_207_4847"/>
      <sheetName val="_97_207COSRP11.xls__97_207_4843"/>
      <sheetName val="_97_207COSRP11.xls__97_207_4844"/>
      <sheetName val="_97_207COSRP11.xls__97_207_4848"/>
      <sheetName val="_97_207COSRP11.xls_B_______1591"/>
      <sheetName val="_97_207COSRP11.xls__97_207_4845"/>
      <sheetName val="_97_207COSRP11.xls__97_207_4846"/>
      <sheetName val="_97_207COSRP11.xls__97_207_4849"/>
      <sheetName val="_97_207COSRP11.xls__97_207_4931"/>
      <sheetName val="_97_207COSRP11.xls__97_207_4932"/>
      <sheetName val="_97_207COSRP11.xls__97_207_4933"/>
      <sheetName val="_97_207COSRP11.xls__97_207_4914"/>
      <sheetName val="_97_207COSRP11.xls__97_207_4915"/>
      <sheetName val="_97_207COSRP11.xls__97_207_4916"/>
      <sheetName val="_97_207COSRP11.xls_B_______1613"/>
      <sheetName val="_97_207COSRP11.xls_B_______1614"/>
      <sheetName val="_97_207COSRP11.xls__97_207_4921"/>
      <sheetName val="_97_207COSRP11.xls__97_207_4917"/>
      <sheetName val="_97_207COSRP11.xls__97_207_4918"/>
      <sheetName val="_97_207COSRP11.xls__97_207_4922"/>
      <sheetName val="_97_207COSRP11.xls_B_______1615"/>
      <sheetName val="_97_207COSRP11.xls__97_207_4919"/>
      <sheetName val="_97_207COSRP11.xls__97_207_4920"/>
      <sheetName val="_97_207COSRP11.xls__97_207_4923"/>
      <sheetName val="_97_207COSRP11.xls_B_______1592"/>
      <sheetName val="_97_207COSRP11.xls_B_______1593"/>
      <sheetName val="_97_207COSRP11.xls__97_207_4872"/>
      <sheetName val="_97_207COSRP11.xls__97_207_4873"/>
      <sheetName val="_97_207COSRP11.xls_B_______1594"/>
      <sheetName val="_97_207COSRP11.xls__97_207_4874"/>
      <sheetName val="_97_207COSRP11.xls_B_______1604"/>
      <sheetName val="_97_207COSRP11.xls_B_______1605"/>
      <sheetName val="_97_207COSRP11.xls__97_207_4879"/>
      <sheetName val="_97_207COSRP11.xls__97_207_4875"/>
      <sheetName val="_97_207COSRP11.xls__97_207_4876"/>
      <sheetName val="_97_207COSRP11.xls__97_207_4880"/>
      <sheetName val="_97_207COSRP11.xls_B_______1606"/>
      <sheetName val="_97_207COSRP11.xls__97_207_4877"/>
      <sheetName val="_97_207COSRP11.xls__97_207_4878"/>
      <sheetName val="_97_207COSRP11.xls__97_207_4881"/>
      <sheetName val="_97_207COSRP11.xls__97_207_4853"/>
      <sheetName val="_97_207COSRP11.xls_B_______1595"/>
      <sheetName val="_97_207COSRP11.xls_B_______1596"/>
      <sheetName val="_97_207COSRP11.xls__97_207_4854"/>
      <sheetName val="_97_207COSRP11.xls__97_207_4855"/>
      <sheetName val="_97_207COSRP11.xls_B_______1597"/>
      <sheetName val="_97_207COSRP11.xls__97_207_4856"/>
      <sheetName val="_97_207COSRP11.xls__97_207_4857"/>
      <sheetName val="_97_207COSRP11.xls__97_207_4858"/>
      <sheetName val="_97_207COSRP11.xls__97_207_4859"/>
      <sheetName val="_97_207COSRP11.xls__97_207_4860"/>
      <sheetName val="_97_207COSRP11.xls_B_______1598"/>
      <sheetName val="_97_207COSRP11.xls_B_______1599"/>
      <sheetName val="_97_207COSRP11.xls__97_207_4861"/>
      <sheetName val="_97_207COSRP11.xls__97_207_4862"/>
      <sheetName val="_97_207COSRP11.xls_B_______1600"/>
      <sheetName val="_97_207COSRP11.xls__97_207_4863"/>
      <sheetName val="_97_207COSRP11.xls__97_207_4864"/>
      <sheetName val="_97_207COSRP11.xls__97_207_4865"/>
      <sheetName val="_97_207COSRP11.xls__97_207_4866"/>
      <sheetName val="_97_207COSRP11.xls__97_207_4867"/>
      <sheetName val="_97_207COSRP11.xls_B_______1601"/>
      <sheetName val="_97_207COSRP11.xls_B_______1602"/>
      <sheetName val="_97_207COSRP11.xls__97_207_4868"/>
      <sheetName val="_97_207COSRP11.xls__97_207_4869"/>
      <sheetName val="_97_207COSRP11.xls_B_______1603"/>
      <sheetName val="_97_207COSRP11.xls__97_207_4870"/>
      <sheetName val="_97_207COSRP11.xls__97_207_4871"/>
      <sheetName val="_97_207COSRP11.xls__97_207_4889"/>
      <sheetName val="_97_207COSRP11.xls__97_207_4890"/>
      <sheetName val="_97_207COSRP11.xls__97_207_4891"/>
      <sheetName val="_97_207COSRP11.xls_B_______1610"/>
      <sheetName val="_97_207COSRP11.xls_B_______1611"/>
      <sheetName val="_97_207COSRP11.xls__97_207_4911"/>
      <sheetName val="_97_207COSRP11.xls__97_207_4892"/>
      <sheetName val="_97_207COSRP11.xls__97_207_4893"/>
      <sheetName val="_97_207COSRP11.xls__97_207_4912"/>
      <sheetName val="_97_207COSRP11.xls_B_______1612"/>
      <sheetName val="_97_207COSRP11.xls__97_207_4894"/>
      <sheetName val="_97_207COSRP11.xls__97_207_4895"/>
      <sheetName val="_97_207COSRP11.xls__97_207_4913"/>
      <sheetName val="_97_207COSRP11.xls__97_207_4882"/>
      <sheetName val="_97_207COSRP11.xls__97_207_4883"/>
      <sheetName val="_97_207COSRP11.xls__97_207_4884"/>
      <sheetName val="_97_207COSRP11.xls_B_______1607"/>
      <sheetName val="_97_207COSRP11.xls_B_______1608"/>
      <sheetName val="_97_207COSRP11.xls__97_207_4885"/>
      <sheetName val="_97_207COSRP11.xls__97_207_4886"/>
      <sheetName val="_97_207COSRP11.xls_B_______1609"/>
      <sheetName val="_97_207COSRP11.xls__97_207_4887"/>
      <sheetName val="_97_207COSRP11.xls__97_207_4888"/>
      <sheetName val="_97_207COSRP11.xls__97_207_4896"/>
      <sheetName val="_97_207COSRP11.xls__97_207_4897"/>
      <sheetName val="_97_207COSRP11.xls__97_207_4898"/>
      <sheetName val="_97_207COSRP11.xls__97_207_4899"/>
      <sheetName val="_97_207COSRP11.xls__97_207_4900"/>
      <sheetName val="_97_207COSRP11.xls__97_207_4901"/>
      <sheetName val="_97_207COSRP11.xls__97_207_4902"/>
      <sheetName val="_97_207COSRP11.xls__97_207_4903"/>
      <sheetName val="_97_207COSRP11.xls__97_207_4904"/>
      <sheetName val="_97_207COSRP11.xls__97_207_4905"/>
      <sheetName val="_97_207COSRP11.xls__97_207_4906"/>
      <sheetName val="_97_207COSRP11.xls__97_207_4907"/>
      <sheetName val="_97_207COSRP11.xls__97_207_4908"/>
      <sheetName val="_97_207COSRP11.xls__97_207_4909"/>
      <sheetName val="_97_207COSRP11.xls__97_207_4910"/>
      <sheetName val="_97_207COSRP11.xls_B_______1619"/>
      <sheetName val="_97_207COSRP11.xls_B_______1620"/>
      <sheetName val="_97_207COSRP11.xls__97_207_4938"/>
      <sheetName val="_97_207COSRP11.xls__97_207_4934"/>
      <sheetName val="_97_207COSRP11.xls__97_207_4935"/>
      <sheetName val="_97_207COSRP11.xls__97_207_4939"/>
      <sheetName val="_97_207COSRP11.xls_B_______1621"/>
      <sheetName val="_97_207COSRP11.xls__97_207_4936"/>
      <sheetName val="_97_207COSRP11.xls__97_207_4937"/>
      <sheetName val="_97_207COSRP11.xls__97_207_4940"/>
      <sheetName val="_97_207COSRP11.xls__97_207_4924"/>
      <sheetName val="_97_207COSRP11.xls__97_207_4925"/>
      <sheetName val="_97_207COSRP11.xls__97_207_4926"/>
      <sheetName val="_97_207COSRP11.xls_B_______1616"/>
      <sheetName val="_97_207COSRP11.xls_B_______1617"/>
      <sheetName val="_97_207COSRP11.xls__97_207_4927"/>
      <sheetName val="_97_207COSRP11.xls__97_207_4928"/>
      <sheetName val="_97_207COSRP11.xls_B_______1618"/>
      <sheetName val="_97_207COSRP11.xls__97_207_4929"/>
      <sheetName val="_97_207COSRP11.xls__97_207_4930"/>
      <sheetName val="_97_207COSRP11.xls__97_207_4941"/>
      <sheetName val="_97_207COSRP11.xls__97_207_4942"/>
      <sheetName val="_97_207COSRP11.xls__97_207_4943"/>
      <sheetName val="_97_207COSRP11.xls_B_______1622"/>
      <sheetName val="_97_207COSRP11.xls_B_______1623"/>
      <sheetName val="_97_207COSRP11.xls__97_207_4944"/>
      <sheetName val="_97_207COSRP11.xls_B_______1624"/>
      <sheetName val="_97_207COSRP11.xls__97_207_4945"/>
      <sheetName val="_97_207COSRP11.xls__97_207_4946"/>
      <sheetName val="_97_207COSRP11.xls__97_207_4947"/>
      <sheetName val="_97_207COSRP11.xls__97_207_4961"/>
      <sheetName val="_97_207COSRP11.xls__97_207_4962"/>
      <sheetName val="_97_207COSRP11.xls__97_207_4963"/>
      <sheetName val="_97_207COSRP11.xls__97_207_4958"/>
      <sheetName val="_97_207COSRP11.xls__97_207_4959"/>
      <sheetName val="_97_207COSRP11.xls__97_207_4960"/>
      <sheetName val="_97_207COSRP11.xls__97_207_4973"/>
      <sheetName val="_97_207COSRP11.xls_B_______1633"/>
      <sheetName val="_97_207COSRP11.xls_B_______1634"/>
      <sheetName val="_97_207COSRP11.xls__97_207_4983"/>
      <sheetName val="_97_207COSRP11.xls__97_207_4974"/>
      <sheetName val="_97_207COSRP11.xls__97_207_4975"/>
      <sheetName val="_97_207COSRP11.xls__97_207_4984"/>
      <sheetName val="_97_207COSRP11.xls__97_207_4976"/>
      <sheetName val="_97_207COSRP11.xls__97_207_4977"/>
      <sheetName val="_97_207COSRP11.xls__97_207_4985"/>
      <sheetName val="_97_207COSRP11.xls_B_______1635"/>
      <sheetName val="_97_207COSRP11.xls__97_207_4978"/>
      <sheetName val="_97_207COSRP11.xls__97_207_4979"/>
      <sheetName val="_97_207COSRP11.xls__97_207_4964"/>
      <sheetName val="_97_207COSRP11.xls_B_______1628"/>
      <sheetName val="_97_207COSRP11.xls_B_______1629"/>
      <sheetName val="_97_207COSRP11.xls__97_207_4965"/>
      <sheetName val="_97_207COSRP11.xls__97_207_4966"/>
      <sheetName val="_97_207COSRP11.xls_B_______1630"/>
      <sheetName val="_97_207COSRP11.xls_B_______1631"/>
      <sheetName val="_97_207COSRP11.xls__97_207_4967"/>
      <sheetName val="_97_207COSRP11.xls__97_207_4968"/>
      <sheetName val="_97_207COSRP11.xls__97_207_4969"/>
      <sheetName val="_97_207COSRP11.xls__97_207_4970"/>
      <sheetName val="_97_207COSRP11.xls_B_______1632"/>
      <sheetName val="_97_207COSRP11.xls__97_207_4971"/>
      <sheetName val="_97_207COSRP11.xls__97_207_4972"/>
      <sheetName val="_97_207COSRP11.xls__97_207_4980"/>
      <sheetName val="_97_207COSRP11.xls__97_207_4981"/>
      <sheetName val="_97_207COSRP11.xls__97_207_4982"/>
      <sheetName val="_97_207COSRP11.xls__97_207_5000"/>
      <sheetName val="_97_207COSRP11.xls__97_207_5002"/>
      <sheetName val="_97_207COSRP11.xls_B_______1641"/>
      <sheetName val="_97_207COSRP11.xls_B_______1642"/>
      <sheetName val="_97_207COSRP11.xls__97_207_5004"/>
      <sheetName val="_97_207COSRP11.xls__97_207_5003"/>
      <sheetName val="_97_207COSRP11.xls_B_______1643"/>
      <sheetName val="_97_207COSRP11.xls_B_______1644"/>
      <sheetName val="_97_207COSRP11.xls__97_207_5008"/>
      <sheetName val="_97_207COSRP11.xls__97_207_5005"/>
      <sheetName val="_97_207COSRP11.xls__97_207_5006"/>
      <sheetName val="_97_207COSRP11.xls__97_207_5007"/>
      <sheetName val="_97_207COSRP11.xls__97_207_5010"/>
      <sheetName val="_97_207COSRP11.xls__97_207_5009"/>
      <sheetName val="_97_207COSRP11.xls__97_207_5011"/>
      <sheetName val="[97_207COSRP11.xls]_97_207_5034"/>
      <sheetName val="[97_207COSRP11.xls]_97_207_5035"/>
      <sheetName val="[97_207COSRP11.xls]_97_207_5036"/>
      <sheetName val="[97_207COSRP11.xls]_97_207_5031"/>
      <sheetName val="[97_207COSRP11.xls]_97_207_5032"/>
      <sheetName val="[97_207COSRP11.xls]_97_207_5027"/>
      <sheetName val="[97_207COSRP11.xls]_97_207_5028"/>
      <sheetName val="[97_207COSRP11.xls]_97_207_5033"/>
      <sheetName val="[97_207COSRP11.xls]_97_207_5029"/>
      <sheetName val="[97_207COSRP11.xls]_97_207_5030"/>
      <sheetName val="[97_207COSRP11.xls]_97_207_5037"/>
      <sheetName val="[97_207COSRP11.xls]B_______1653"/>
      <sheetName val="[97_207COSRP11.xls]_97_207_5041"/>
      <sheetName val="[97_207COSRP11.xls]_97_207_5038"/>
      <sheetName val="[97_207COSRP11.xls]_97_207_5039"/>
      <sheetName val="[97_207COSRP11.xls]_97_207_5040"/>
      <sheetName val="[97_207COSRP11.xls]B_______1658"/>
      <sheetName val="[97_207COSRP11.xls]B_______1659"/>
      <sheetName val="[97_207COSRP11.xls]_97_207_5055"/>
      <sheetName val="[97_207COSRP11.xls]_97_207_5052"/>
      <sheetName val="[97_207COSRP11.xls]_97_207_5053"/>
      <sheetName val="[97_207COSRP11.xls]_97_207_5054"/>
      <sheetName val="[97_207COSRP11.xls]_97_207_5046"/>
      <sheetName val="[97_207COSRP11.xls]_97_207_5047"/>
      <sheetName val="[97_207COSRP11.xls]B_______1656"/>
      <sheetName val="[97_207COSRP11.xls]B_______1657"/>
      <sheetName val="[97_207COSRP11.xls]_97_207_5048"/>
      <sheetName val="[97_207COSRP11.xls]_97_207_5049"/>
      <sheetName val="[97_207COSRP11.xls]_97_207_5050"/>
      <sheetName val="[97_207COSRP11.xls]_97_207_5073"/>
      <sheetName val="[97_207COSRP11.xls]B_______1668"/>
      <sheetName val="[97_207COSRP11.xls]B_______1669"/>
      <sheetName val="[97_207COSRP11.xls]_97_207_5077"/>
      <sheetName val="[97_207COSRP11.xls]_97_207_5074"/>
      <sheetName val="[97_207COSRP11.xls]_97_207_5075"/>
      <sheetName val="[97_207COSRP11.xls]_97_207_5076"/>
      <sheetName val="[97_207COSRP11.xls]_97_207_5063"/>
      <sheetName val="[97_207COSRP11.xls]B_______1664"/>
      <sheetName val="[97_207COSRP11.xls]B_______1665"/>
      <sheetName val="[97_207COSRP11.xls]_97_207_5067"/>
      <sheetName val="[97_207COSRP11.xls]_97_207_5064"/>
      <sheetName val="[97_207COSRP11.xls]_97_207_5065"/>
      <sheetName val="[97_207COSRP11.xls]_97_207_5066"/>
      <sheetName val="[97_207COSRP11.xls]B_______1660"/>
      <sheetName val="[97_207COSRP11.xls]B_______1661"/>
      <sheetName val="[97_207COSRP11.xls]_97_207_5056"/>
      <sheetName val="[97_207COSRP11.xls]_97_207_5057"/>
      <sheetName val="[97_207COSRP11.xls]_97_207_5058"/>
      <sheetName val="[97_207COSRP11.xls]_97_207_5059"/>
      <sheetName val="[97_207COSRP11.xls]B_______1662"/>
      <sheetName val="[97_207COSRP11.xls]B_______1663"/>
      <sheetName val="[97_207COSRP11.xls]_97_207_5060"/>
      <sheetName val="[97_207COSRP11.xls]_97_207_5061"/>
      <sheetName val="[97_207COSRP11.xls]_97_207_5062"/>
      <sheetName val="[97_207COSRP11.xls]_97_207_5068"/>
      <sheetName val="[97_207COSRP11.xls]B_______1666"/>
      <sheetName val="[97_207COSRP11.xls]B_______1667"/>
      <sheetName val="[97_207COSRP11.xls]_97_207_5072"/>
      <sheetName val="[97_207COSRP11.xls]_97_207_5069"/>
      <sheetName val="[97_207COSRP11.xls]_97_207_5070"/>
      <sheetName val="[97_207COSRP11.xls]_97_207_5071"/>
      <sheetName val="[97_207COSRP11.xls]B_______1670"/>
      <sheetName val="[97_207COSRP11.xls]B_______1671"/>
      <sheetName val="[97_207COSRP11.xls]_97_207_5099"/>
      <sheetName val="[97_207COSRP11.xls]_97_207_5078"/>
      <sheetName val="[97_207COSRP11.xls]_97_207_5079"/>
      <sheetName val="[97_207COSRP11.xls]_97_207_5080"/>
      <sheetName val="[97_207COSRP11.xls]B_______1680"/>
      <sheetName val="[97_207COSRP11.xls]B_______1681"/>
      <sheetName val="[97_207COSRP11.xls]_97_207_5103"/>
      <sheetName val="[97_207COSRP11.xls]_97_207_5100"/>
      <sheetName val="[97_207COSRP11.xls]_97_207_5101"/>
      <sheetName val="[97_207COSRP11.xls]_97_207_5102"/>
      <sheetName val="[97_207COSRP11.xls]_97_207_5085"/>
      <sheetName val="[97_207COSRP11.xls]B_______1674"/>
      <sheetName val="[97_207COSRP11.xls]B_______1675"/>
      <sheetName val="[97_207COSRP11.xls]_97_207_5086"/>
      <sheetName val="[97_207COSRP11.xls]_97_207_5087"/>
      <sheetName val="[97_207COSRP11.xls]_97_207_5088"/>
      <sheetName val="[97_207COSRP11.xls]_97_207_5081"/>
      <sheetName val="[97_207COSRP11.xls]B_______1672"/>
      <sheetName val="[97_207COSRP11.xls]B_______1673"/>
      <sheetName val="[97_207COSRP11.xls]_97_207_5082"/>
      <sheetName val="[97_207COSRP11.xls]_97_207_5083"/>
      <sheetName val="[97_207COSRP11.xls]_97_207_5084"/>
      <sheetName val="[97_207COSRP11.xls]_97_207_5094"/>
      <sheetName val="[97_207COSRP11.xls]B_______1678"/>
      <sheetName val="[97_207COSRP11.xls]B_______1679"/>
      <sheetName val="[97_207COSRP11.xls]_97_207_5098"/>
      <sheetName val="[97_207COSRP11.xls]_97_207_5095"/>
      <sheetName val="[97_207COSRP11.xls]_97_207_5096"/>
      <sheetName val="[97_207COSRP11.xls]_97_207_5097"/>
      <sheetName val="[97_207COSRP11.xls]_97_207_5090"/>
      <sheetName val="[97_207COSRP11.xls]B_______1676"/>
      <sheetName val="[97_207COSRP11.xls]B_______1677"/>
      <sheetName val="[97_207COSRP11.xls]_97_207_5091"/>
      <sheetName val="[97_207COSRP11.xls]_97_207_5092"/>
      <sheetName val="[97_207COSRP11.xls]_97_207_5093"/>
      <sheetName val="[97_207COSRP11.xls]_97_207_5089"/>
      <sheetName val="[97_207COSRP11.xls]B_______1682"/>
      <sheetName val="[97_207COSRP11.xls]B_______1683"/>
      <sheetName val="[97_207COSRP11.xls]_97_207_5107"/>
      <sheetName val="[97_207COSRP11.xls]_97_207_5104"/>
      <sheetName val="[97_207COSRP11.xls]_97_207_5105"/>
      <sheetName val="[97_207COSRP11.xls]_97_207_5106"/>
      <sheetName val="[97_207COSRP11.xls]_97_207_5112"/>
      <sheetName val="[97_207COSRP11.xls]B_______1686"/>
      <sheetName val="[97_207COSRP11.xls]B_______1687"/>
      <sheetName val="[97_207COSRP11.xls]_97_207_5116"/>
      <sheetName val="[97_207COSRP11.xls]_97_207_5113"/>
      <sheetName val="[97_207COSRP11.xls]_97_207_5114"/>
      <sheetName val="[97_207COSRP11.xls]_97_207_5115"/>
      <sheetName val="[97_207COSRP11.xls]_97_207_5108"/>
      <sheetName val="[97_207COSRP11.xls]B_______1684"/>
      <sheetName val="[97_207COSRP11.xls]B_______1685"/>
      <sheetName val="[97_207COSRP11.xls]_97_207_5109"/>
      <sheetName val="[97_207COSRP11.xls]_97_207_5110"/>
      <sheetName val="[97_207COSRP11.xls]_97_207_5111"/>
      <sheetName val="I_x0016__x000b__x0014__x000c__x000e_"/>
      <sheetName val="_x001e__x0010__x0013__x0017__x0014__x0016_"/>
      <sheetName val="AmeyMNCES ON GM"/>
      <sheetName val="[97_207COSRP11.xls]_97_207_5231"/>
      <sheetName val="[97_207COSRP11.xls]_97_207_5232"/>
      <sheetName val="[97_207COSRP11.xls]_97_207_5233"/>
      <sheetName val="[97_207COSRP11.xls]B_______1718"/>
      <sheetName val="[97_207COSRP11.xls]B_______1719"/>
      <sheetName val="[97_207COSRP11.xls]_97_207_5481"/>
      <sheetName val="[97_207COSRP11.xls]_97_207_5234"/>
      <sheetName val="[97_207COSRP11.xls]_97_207_5235"/>
      <sheetName val="[97_207COSRP11.xls]_97_207_5482"/>
      <sheetName val="[97_207COSRP11.xls]B_______1720"/>
      <sheetName val="[97_207COSRP11.xls]_97_207_5236"/>
      <sheetName val="[97_207COSRP11.xls]_97_207_5237"/>
      <sheetName val="[97_207COSRP11.xls]_97_207_5483"/>
      <sheetName val="[97_207COSRP11.xls]_97_207_5138"/>
      <sheetName val="[97_207COSRP11.xls]_97_207_5139"/>
      <sheetName val="[97_207COSRP11.xls]_97_207_5140"/>
      <sheetName val="[97_207COSRP11.xls]B_______1691"/>
      <sheetName val="[97_207COSRP11.xls]B_______1692"/>
      <sheetName val="[97_207COSRP11.xls]_97_207_5145"/>
      <sheetName val="[97_207COSRP11.xls]_97_207_5141"/>
      <sheetName val="[97_207COSRP11.xls]_97_207_5142"/>
      <sheetName val="[97_207COSRP11.xls]_97_207_5146"/>
      <sheetName val="[97_207COSRP11.xls]B_______1693"/>
      <sheetName val="[97_207COSRP11.xls]_97_207_5143"/>
      <sheetName val="[97_207COSRP11.xls]_97_207_5144"/>
      <sheetName val="[97_207COSRP11.xls]_97_207_5147"/>
      <sheetName val="[97_207COSRP11.xls]_97_207_5124"/>
      <sheetName val="[97_207COSRP11.xls]_97_207_5125"/>
      <sheetName val="[97_207COSRP11.xls]_97_207_5126"/>
      <sheetName val="[97_207COSRP11.xls]_97_207_5127"/>
      <sheetName val="[97_207COSRP11.xls]_97_207_5128"/>
      <sheetName val="[97_207COSRP11.xls]_97_207_5129"/>
      <sheetName val="[97_207COSRP11.xls]_97_207_5130"/>
      <sheetName val="[97_207COSRP11.xls]_97_207_5117"/>
      <sheetName val="[97_207COSRP11.xls]_97_207_5118"/>
      <sheetName val="[97_207COSRP11.xls]_97_207_5119"/>
      <sheetName val="[97_207COSRP11.xls]_97_207_5120"/>
      <sheetName val="[97_207COSRP11.xls]_97_207_5121"/>
      <sheetName val="[97_207COSRP11.xls]_97_207_5122"/>
      <sheetName val="[97_207COSRP11.xls]_97_207_5123"/>
      <sheetName val="[97_207COSRP11.xls]_97_207_5131"/>
      <sheetName val="[97_207COSRP11.xls]_97_207_5132"/>
      <sheetName val="[97_207COSRP11.xls]_97_207_5133"/>
      <sheetName val="[97_207COSRP11.xls]B_______1688"/>
      <sheetName val="[97_207COSRP11.xls]B_______1689"/>
      <sheetName val="[97_207COSRP11.xls]_97_207_5134"/>
      <sheetName val="[97_207COSRP11.xls]_97_207_5135"/>
      <sheetName val="[97_207COSRP11.xls]B_______1690"/>
      <sheetName val="[97_207COSRP11.xls]_97_207_5136"/>
      <sheetName val="[97_207COSRP11.xls]_97_207_5137"/>
      <sheetName val="[97_207COSRP11.xls]_97_207_5194"/>
      <sheetName val="[97_207COSRP11.xls]_97_207_5195"/>
      <sheetName val="[97_207COSRP11.xls]_97_207_5196"/>
      <sheetName val="[97_207COSRP11.xls]_97_207_5148"/>
      <sheetName val="[97_207COSRP11.xls]_97_207_5149"/>
      <sheetName val="[97_207COSRP11.xls]_97_207_5150"/>
      <sheetName val="[97_207COSRP11.xls]_97_207_5172"/>
      <sheetName val="[97_207COSRP11.xls]_97_207_5173"/>
      <sheetName val="[97_207COSRP11.xls]B_______1703"/>
      <sheetName val="[97_207COSRP11.xls]B_______1704"/>
      <sheetName val="[97_207COSRP11.xls]_97_207_5179"/>
      <sheetName val="[97_207COSRP11.xls]_97_207_5174"/>
      <sheetName val="[97_207COSRP11.xls]_97_207_5175"/>
      <sheetName val="[97_207COSRP11.xls]_97_207_5180"/>
      <sheetName val="[97_207COSRP11.xls]B_______1705"/>
      <sheetName val="[97_207COSRP11.xls]_97_207_5176"/>
      <sheetName val="[97_207COSRP11.xls]_97_207_5177"/>
      <sheetName val="[97_207COSRP11.xls]_97_207_5181"/>
      <sheetName val="[97_207COSRP11.xls]_97_207_5178"/>
      <sheetName val="[97_207COSRP11.xls]_97_207_5151"/>
      <sheetName val="[97_207COSRP11.xls]_97_207_5152"/>
      <sheetName val="[97_207COSRP11.xls]B_______1694"/>
      <sheetName val="[97_207COSRP11.xls]B_______1695"/>
      <sheetName val="[97_207COSRP11.xls]_97_207_5153"/>
      <sheetName val="[97_207COSRP11.xls]_97_207_5154"/>
      <sheetName val="[97_207COSRP11.xls]B_______1696"/>
      <sheetName val="[97_207COSRP11.xls]_97_207_5155"/>
      <sheetName val="[97_207COSRP11.xls]_97_207_5156"/>
      <sheetName val="[97_207COSRP11.xls]_97_207_5157"/>
      <sheetName val="[97_207COSRP11.xls]_97_207_5158"/>
      <sheetName val="[97_207COSRP11.xls]_97_207_5159"/>
      <sheetName val="[97_207COSRP11.xls]B_______1697"/>
      <sheetName val="[97_207COSRP11.xls]B_______1698"/>
      <sheetName val="[97_207COSRP11.xls]_97_207_5160"/>
      <sheetName val="[97_207COSRP11.xls]_97_207_5161"/>
      <sheetName val="[97_207COSRP11.xls]B_______1699"/>
      <sheetName val="[97_207COSRP11.xls]_97_207_5162"/>
      <sheetName val="[97_207COSRP11.xls]_97_207_5163"/>
      <sheetName val="[97_207COSRP11.xls]_97_207_5164"/>
      <sheetName val="[97_207COSRP11.xls]_97_207_5165"/>
      <sheetName val="[97_207COSRP11.xls]_97_207_5166"/>
      <sheetName val="[97_207COSRP11.xls]B_______1700"/>
      <sheetName val="[97_207COSRP11.xls]B_______1701"/>
      <sheetName val="[97_207COSRP11.xls]_97_207_5167"/>
      <sheetName val="[97_207COSRP11.xls]_97_207_5168"/>
      <sheetName val="[97_207COSRP11.xls]B_______1702"/>
      <sheetName val="[97_207COSRP11.xls]_97_207_5169"/>
      <sheetName val="[97_207COSRP11.xls]_97_207_5170"/>
      <sheetName val="[97_207COSRP11.xls]_97_207_5171"/>
      <sheetName val="[97_207COSRP11.xls]_97_207_5185"/>
      <sheetName val="[97_207COSRP11.xls]_97_207_5186"/>
      <sheetName val="[97_207COSRP11.xls]_97_207_5187"/>
      <sheetName val="[97_207COSRP11.xls]_97_207_5182"/>
      <sheetName val="[97_207COSRP11.xls]_97_207_5183"/>
      <sheetName val="[97_207COSRP11.xls]_97_207_5184"/>
      <sheetName val="[97_207COSRP11.xls]_97_207_5188"/>
      <sheetName val="[97_207COSRP11.xls]_97_207_5189"/>
      <sheetName val="[97_207COSRP11.xls]_97_207_5190"/>
      <sheetName val="[97_207COSRP11.xls]_97_207_5191"/>
      <sheetName val="[97_207COSRP11.xls]_97_207_5192"/>
      <sheetName val="[97_207COSRP11.xls]_97_207_5193"/>
      <sheetName val="[97_207COSRP11.xls]_97_207_5197"/>
      <sheetName val="[97_207COSRP11.xls]_97_207_5198"/>
      <sheetName val="[97_207COSRP11.xls]_97_207_5199"/>
      <sheetName val="[97_207COSRP11.xls]B_______1706"/>
      <sheetName val="[97_207COSRP11.xls]B_______1707"/>
      <sheetName val="[97_207COSRP11.xls]_97_207_5224"/>
      <sheetName val="[97_207COSRP11.xls]_97_207_5200"/>
      <sheetName val="[97_207COSRP11.xls]_97_207_5201"/>
      <sheetName val="[97_207COSRP11.xls]_97_207_5225"/>
      <sheetName val="[97_207COSRP11.xls]B_______1708"/>
      <sheetName val="[97_207COSRP11.xls]_97_207_5202"/>
      <sheetName val="[97_207COSRP11.xls]_97_207_5203"/>
      <sheetName val="[97_207COSRP11.xls]_97_207_5226"/>
      <sheetName val="[97_207COSRP11.xls]_97_207_5204"/>
      <sheetName val="[97_207COSRP11.xls]_97_207_5205"/>
      <sheetName val="[97_207COSRP11.xls]B_______1709"/>
      <sheetName val="[97_207COSRP11.xls]B_______1710"/>
      <sheetName val="[97_207COSRP11.xls]_97_207_5206"/>
      <sheetName val="[97_207COSRP11.xls]_97_207_5207"/>
      <sheetName val="[97_207COSRP11.xls]B_______1711"/>
      <sheetName val="[97_207COSRP11.xls]_97_207_5208"/>
      <sheetName val="[97_207COSRP11.xls]_97_207_5209"/>
      <sheetName val="[97_207COSRP11.xls]_97_207_5210"/>
      <sheetName val="[97_207COSRP11.xls]B_______1715"/>
      <sheetName val="[97_207COSRP11.xls]B_______1716"/>
      <sheetName val="[97_207COSRP11.xls]_97_207_5227"/>
      <sheetName val="[97_207COSRP11.xls]_97_207_5228"/>
      <sheetName val="[97_207COSRP11.xls]B_______1717"/>
      <sheetName val="[97_207COSRP11.xls]_97_207_5229"/>
      <sheetName val="[97_207COSRP11.xls]_97_207_5230"/>
      <sheetName val="[97_207COSRP11.xls]_97_207_5214"/>
      <sheetName val="[97_207COSRP11.xls]_97_207_5211"/>
      <sheetName val="[97_207COSRP11.xls]_97_207_5215"/>
      <sheetName val="[97_207COSRP11.xls]_97_207_5212"/>
      <sheetName val="[97_207COSRP11.xls]_97_207_5213"/>
      <sheetName val="[97_207COSRP11.xls]_97_207_5216"/>
      <sheetName val="[97_207COSRP11.xls]_97_207_5217"/>
      <sheetName val="[97_207COSRP11.xls]_97_207_5218"/>
      <sheetName val="[97_207COSRP11.xls]_97_207_5219"/>
      <sheetName val="[97_207COSRP11.xls]B_______1712"/>
      <sheetName val="[97_207COSRP11.xls]B_______1713"/>
      <sheetName val="[97_207COSRP11.xls]_97_207_5220"/>
      <sheetName val="[97_207COSRP11.xls]_97_207_5221"/>
      <sheetName val="[97_207COSRP11.xls]B_______1714"/>
      <sheetName val="[97_207COSRP11.xls]_97_207_5222"/>
      <sheetName val="[97_207COSRP11.xls]_97_207_5223"/>
      <sheetName val="[97_207COSRP11.xls]_97_207_5464"/>
      <sheetName val="[97_207COSRP11.xls]_97_207_5465"/>
      <sheetName val="[97_207COSRP11.xls]_97_207_5466"/>
      <sheetName val="[97_207COSRP11.xls]_97_207_5239"/>
      <sheetName val="[97_207COSRP11.xls]_97_207_5240"/>
      <sheetName val="[97_207COSRP11.xls]_97_207_5241"/>
      <sheetName val="[97_207COSRP11.xls]_97_207_5238"/>
      <sheetName val="[97_207COSRP11.xls]_97_207_5242"/>
      <sheetName val="[97_207COSRP11.xls]_97_207_5243"/>
      <sheetName val="[97_207COSRP11.xls]_97_207_5244"/>
      <sheetName val="[97_207COSRP11.xls]_97_207_5252"/>
      <sheetName val="[97_207COSRP11.xls]_97_207_5253"/>
      <sheetName val="[97_207COSRP11.xls]_97_207_5254"/>
      <sheetName val="[97_207COSRP11.xls]_97_207_5259"/>
      <sheetName val="[97_207COSRP11.xls]_97_207_5255"/>
      <sheetName val="[97_207COSRP11.xls]_97_207_5256"/>
      <sheetName val="[97_207COSRP11.xls]_97_207_5260"/>
      <sheetName val="[97_207COSRP11.xls]_97_207_5257"/>
      <sheetName val="[97_207COSRP11.xls]_97_207_5258"/>
      <sheetName val="[97_207COSRP11.xls]_97_207_5261"/>
      <sheetName val="[97_207COSRP11.xls]_97_207_5245"/>
      <sheetName val="[97_207COSRP11.xls]_97_207_5246"/>
      <sheetName val="[97_207COSRP11.xls]_97_207_5247"/>
      <sheetName val="[97_207COSRP11.xls]_97_207_5248"/>
      <sheetName val="[97_207COSRP11.xls]_97_207_5249"/>
      <sheetName val="[97_207COSRP11.xls]_97_207_5250"/>
      <sheetName val="[97_207COSRP11.xls]_97_207_5251"/>
      <sheetName val="[97_207COSRP11.xls]_97_207_5262"/>
      <sheetName val="[97_207COSRP11.xls]_97_207_5263"/>
      <sheetName val="[97_207COSRP11.xls]_97_207_5264"/>
      <sheetName val="[97_207COSRP11.xls]_97_207_5394"/>
      <sheetName val="[97_207COSRP11.xls]_97_207_5395"/>
      <sheetName val="[97_207COSRP11.xls]_97_207_5396"/>
      <sheetName val="[97_207COSRP11.xls]B_______1757"/>
      <sheetName val="[97_207COSRP11.xls]B_______1758"/>
      <sheetName val="[97_207COSRP11.xls]_97_207_5401"/>
      <sheetName val="[97_207COSRP11.xls]_97_207_5397"/>
      <sheetName val="[97_207COSRP11.xls]_97_207_5398"/>
      <sheetName val="[97_207COSRP11.xls]_97_207_5402"/>
      <sheetName val="[97_207COSRP11.xls]B_______1759"/>
      <sheetName val="[97_207COSRP11.xls]_97_207_5399"/>
      <sheetName val="[97_207COSRP11.xls]_97_207_5400"/>
      <sheetName val="[97_207COSRP11.xls]_97_207_5403"/>
      <sheetName val="[97_207COSRP11.xls]B_______1739"/>
      <sheetName val="[97_207COSRP11.xls]B_______1740"/>
      <sheetName val="[97_207COSRP11.xls]_97_207_5372"/>
      <sheetName val="[97_207COSRP11.xls]_97_207_5337"/>
      <sheetName val="[97_207COSRP11.xls]_97_207_5338"/>
      <sheetName val="[97_207COSRP11.xls]_97_207_5339"/>
      <sheetName val="[97_207COSRP11.xls]_97_207_5340"/>
      <sheetName val="[97_207COSRP11.xls]_97_207_5373"/>
      <sheetName val="[97_207COSRP11.xls]B_______1741"/>
      <sheetName val="[97_207COSRP11.xls]_97_207_5341"/>
      <sheetName val="[97_207COSRP11.xls]_97_207_5342"/>
      <sheetName val="[97_207COSRP11.xls]_97_207_5343"/>
      <sheetName val="[97_207COSRP11.xls]_97_207_5374"/>
      <sheetName val="[97_207COSRP11.xls]_97_207_5265"/>
      <sheetName val="[97_207COSRP11.xls]_97_207_5266"/>
      <sheetName val="[97_207COSRP11.xls]_97_207_5267"/>
      <sheetName val="[97_207COSRP11.xls]B_______1721"/>
      <sheetName val="[97_207COSRP11.xls]B_______1722"/>
      <sheetName val="[97_207COSRP11.xls]_97_207_5331"/>
      <sheetName val="[97_207COSRP11.xls]_97_207_5268"/>
      <sheetName val="[97_207COSRP11.xls]_97_207_5269"/>
      <sheetName val="[97_207COSRP11.xls]_97_207_5332"/>
      <sheetName val="[97_207COSRP11.xls]B_______1723"/>
      <sheetName val="[97_207COSRP11.xls]_97_207_5270"/>
      <sheetName val="[97_207COSRP11.xls]_97_207_5271"/>
      <sheetName val="[97_207COSRP11.xls]_97_207_5333"/>
      <sheetName val="[97_207COSRP11.xls]_97_207_5298"/>
      <sheetName val="[97_207COSRP11.xls]_97_207_5299"/>
      <sheetName val="[97_207COSRP11.xls]B_______1730"/>
      <sheetName val="[97_207COSRP11.xls]B_______1731"/>
      <sheetName val="[97_207COSRP11.xls]_97_207_5305"/>
      <sheetName val="[97_207COSRP11.xls]_97_207_5300"/>
      <sheetName val="[97_207COSRP11.xls]_97_207_5301"/>
      <sheetName val="[97_207COSRP11.xls]_97_207_5306"/>
      <sheetName val="[97_207COSRP11.xls]B_______1732"/>
      <sheetName val="[97_207COSRP11.xls]_97_207_5302"/>
      <sheetName val="[97_207COSRP11.xls]_97_207_5303"/>
      <sheetName val="[97_207COSRP11.xls]_97_207_5307"/>
      <sheetName val="[97_207COSRP11.xls]_97_207_5304"/>
      <sheetName val="[97_207COSRP11.xls]_97_207_5272"/>
      <sheetName val="[97_207COSRP11.xls]_97_207_5273"/>
      <sheetName val="[97_207COSRP11.xls]_97_207_5274"/>
      <sheetName val="[97_207COSRP11.xls]B_______1724"/>
      <sheetName val="[97_207COSRP11.xls]B_______1725"/>
      <sheetName val="[97_207COSRP11.xls]_97_207_5279"/>
      <sheetName val="[97_207COSRP11.xls]_97_207_5275"/>
      <sheetName val="[97_207COSRP11.xls]_97_207_5276"/>
      <sheetName val="[97_207COSRP11.xls]_97_207_5280"/>
      <sheetName val="[97_207COSRP11.xls]B_______1726"/>
      <sheetName val="[97_207COSRP11.xls]_97_207_5277"/>
      <sheetName val="[97_207COSRP11.xls]_97_207_5278"/>
      <sheetName val="[97_207COSRP11.xls]_97_207_5281"/>
      <sheetName val="[97_207COSRP11.xls]_97_207_5282"/>
      <sheetName val="[97_207COSRP11.xls]_97_207_5283"/>
      <sheetName val="[97_207COSRP11.xls]_97_207_5284"/>
      <sheetName val="[97_207COSRP11.xls]B_______1727"/>
      <sheetName val="[97_207COSRP11.xls]B_______1728"/>
      <sheetName val="[97_207COSRP11.xls]_97_207_5292"/>
      <sheetName val="[97_207COSRP11.xls]_97_207_5285"/>
      <sheetName val="[97_207COSRP11.xls]_97_207_5286"/>
      <sheetName val="[97_207COSRP11.xls]_97_207_5293"/>
      <sheetName val="[97_207COSRP11.xls]B_______1729"/>
      <sheetName val="[97_207COSRP11.xls]_97_207_5287"/>
      <sheetName val="[97_207COSRP11.xls]_97_207_5288"/>
      <sheetName val="[97_207COSRP11.xls]_97_207_5294"/>
      <sheetName val="[97_207COSRP11.xls]_97_207_5289"/>
      <sheetName val="[97_207COSRP11.xls]_97_207_5290"/>
      <sheetName val="[97_207COSRP11.xls]_97_207_5291"/>
      <sheetName val="[97_207COSRP11.xls]_97_207_5295"/>
      <sheetName val="[97_207COSRP11.xls]_97_207_5296"/>
      <sheetName val="[97_207COSRP11.xls]_97_207_5297"/>
      <sheetName val="[97_207COSRP11.xls]_97_207_5308"/>
      <sheetName val="[97_207COSRP11.xls]_97_207_5309"/>
      <sheetName val="[97_207COSRP11.xls]_97_207_5310"/>
      <sheetName val="[97_207COSRP11.xls]B_______1733"/>
      <sheetName val="[97_207COSRP11.xls]B_______1734"/>
      <sheetName val="[97_207COSRP11.xls]_97_207_5318"/>
      <sheetName val="[97_207COSRP11.xls]_97_207_5311"/>
      <sheetName val="[97_207COSRP11.xls]_97_207_5312"/>
      <sheetName val="[97_207COSRP11.xls]_97_207_5319"/>
      <sheetName val="[97_207COSRP11.xls]B_______1735"/>
      <sheetName val="[97_207COSRP11.xls]_97_207_5313"/>
      <sheetName val="[97_207COSRP11.xls]_97_207_5314"/>
      <sheetName val="[97_207COSRP11.xls]_97_207_5320"/>
      <sheetName val="[97_207COSRP11.xls]_97_207_5315"/>
      <sheetName val="[97_207COSRP11.xls]_97_207_5316"/>
      <sheetName val="[97_207COSRP11.xls]_97_207_5317"/>
      <sheetName val="[97_207COSRP11.xls]_97_207_5321"/>
      <sheetName val="[97_207COSRP11.xls]_97_207_5322"/>
      <sheetName val="[97_207COSRP11.xls]_97_207_5323"/>
      <sheetName val="[97_207COSRP11.xls]B_______1736"/>
      <sheetName val="[97_207COSRP11.xls]B_______1737"/>
      <sheetName val="[97_207COSRP11.xls]_97_207_5328"/>
      <sheetName val="[97_207COSRP11.xls]_97_207_5324"/>
      <sheetName val="[97_207COSRP11.xls]_97_207_5325"/>
      <sheetName val="[97_207COSRP11.xls]_97_207_5329"/>
      <sheetName val="[97_207COSRP11.xls]B_______1738"/>
      <sheetName val="[97_207COSRP11.xls]_97_207_5326"/>
      <sheetName val="[97_207COSRP11.xls]_97_207_5327"/>
      <sheetName val="[97_207COSRP11.xls]_97_207_5330"/>
      <sheetName val="[97_207COSRP11.xls]_97_207_5334"/>
      <sheetName val="[97_207COSRP11.xls]_97_207_5335"/>
      <sheetName val="[97_207COSRP11.xls]_97_207_5336"/>
      <sheetName val="[97_207COSRP11.xls]B_______1751"/>
      <sheetName val="[97_207COSRP11.xls]B_______1752"/>
      <sheetName val="[97_207COSRP11.xls]_97_207_5365"/>
      <sheetName val="[97_207COSRP11.xls]_97_207_5366"/>
      <sheetName val="[97_207COSRP11.xls]_97_207_5367"/>
      <sheetName val="[97_207COSRP11.xls]_97_207_5368"/>
      <sheetName val="[97_207COSRP11.xls]B_______1753"/>
      <sheetName val="[97_207COSRP11.xls]_97_207_5369"/>
      <sheetName val="[97_207COSRP11.xls]_97_207_5370"/>
      <sheetName val="[97_207COSRP11.xls]_97_207_5371"/>
      <sheetName val="[97_207COSRP11.xls]B_______1742"/>
      <sheetName val="[97_207COSRP11.xls]B_______1743"/>
      <sheetName val="[97_207COSRP11.xls]_97_207_5344"/>
      <sheetName val="[97_207COSRP11.xls]_97_207_5345"/>
      <sheetName val="[97_207COSRP11.xls]_97_207_5346"/>
      <sheetName val="[97_207COSRP11.xls]_97_207_5347"/>
      <sheetName val="[97_207COSRP11.xls]B_______1744"/>
      <sheetName val="[97_207COSRP11.xls]_97_207_5348"/>
      <sheetName val="[97_207COSRP11.xls]_97_207_5349"/>
      <sheetName val="[97_207COSRP11.xls]_97_207_5350"/>
      <sheetName val="[97_207COSRP11.xls]B_______1745"/>
      <sheetName val="[97_207COSRP11.xls]B_______1746"/>
      <sheetName val="[97_207COSRP11.xls]_97_207_5351"/>
      <sheetName val="[97_207COSRP11.xls]_97_207_5352"/>
      <sheetName val="[97_207COSRP11.xls]_97_207_5353"/>
      <sheetName val="[97_207COSRP11.xls]_97_207_5354"/>
      <sheetName val="[97_207COSRP11.xls]B_______1747"/>
      <sheetName val="[97_207COSRP11.xls]_97_207_5355"/>
      <sheetName val="[97_207COSRP11.xls]_97_207_5356"/>
      <sheetName val="[97_207COSRP11.xls]_97_207_5357"/>
      <sheetName val="[97_207COSRP11.xls]B_______1748"/>
      <sheetName val="[97_207COSRP11.xls]B_______1749"/>
      <sheetName val="[97_207COSRP11.xls]_97_207_5358"/>
      <sheetName val="[97_207COSRP11.xls]_97_207_5359"/>
      <sheetName val="[97_207COSRP11.xls]_97_207_5360"/>
      <sheetName val="[97_207COSRP11.xls]_97_207_5361"/>
      <sheetName val="[97_207COSRP11.xls]B_______1750"/>
      <sheetName val="[97_207COSRP11.xls]_97_207_5362"/>
      <sheetName val="[97_207COSRP11.xls]_97_207_5363"/>
      <sheetName val="[97_207COSRP11.xls]_97_207_5364"/>
      <sheetName val="[97_207COSRP11.xls]_97_207_5381"/>
      <sheetName val="[97_207COSRP11.xls]_97_207_5382"/>
      <sheetName val="[97_207COSRP11.xls]_97_207_5383"/>
      <sheetName val="[97_207COSRP11.xls]_97_207_5375"/>
      <sheetName val="[97_207COSRP11.xls]_97_207_5376"/>
      <sheetName val="[97_207COSRP11.xls]_97_207_5377"/>
      <sheetName val="[97_207COSRP11.xls]_97_207_5378"/>
      <sheetName val="[97_207COSRP11.xls]_97_207_5379"/>
      <sheetName val="[97_207COSRP11.xls]_97_207_5380"/>
      <sheetName val="[97_207COSRP11.xls]_97_207_5384"/>
      <sheetName val="[97_207COSRP11.xls]_97_207_5385"/>
      <sheetName val="[97_207COSRP11.xls]_97_207_5386"/>
      <sheetName val="[97_207COSRP11.xls]B_______1754"/>
      <sheetName val="[97_207COSRP11.xls]B_______1755"/>
      <sheetName val="[97_207COSRP11.xls]_97_207_5391"/>
      <sheetName val="[97_207COSRP11.xls]_97_207_5387"/>
      <sheetName val="[97_207COSRP11.xls]_97_207_5388"/>
      <sheetName val="[97_207COSRP11.xls]_97_207_5392"/>
      <sheetName val="[97_207COSRP11.xls]B_______1756"/>
      <sheetName val="[97_207COSRP11.xls]_97_207_5389"/>
      <sheetName val="[97_207COSRP11.xls]_97_207_5390"/>
      <sheetName val="[97_207COSRP11.xls]_97_207_5393"/>
      <sheetName val="[97_207COSRP11.xls]_97_207_5404"/>
      <sheetName val="[97_207COSRP11.xls]_97_207_5405"/>
      <sheetName val="[97_207COSRP11.xls]_97_207_5406"/>
      <sheetName val="[97_207COSRP11.xls]B_______1760"/>
      <sheetName val="[97_207COSRP11.xls]B_______1761"/>
      <sheetName val="[97_207COSRP11.xls]_97_207_5414"/>
      <sheetName val="[97_207COSRP11.xls]_97_207_5407"/>
      <sheetName val="[97_207COSRP11.xls]_97_207_5408"/>
      <sheetName val="[97_207COSRP11.xls]_97_207_5415"/>
      <sheetName val="[97_207COSRP11.xls]B_______1762"/>
      <sheetName val="[97_207COSRP11.xls]_97_207_5409"/>
      <sheetName val="[97_207COSRP11.xls]_97_207_5410"/>
      <sheetName val="[97_207COSRP11.xls]_97_207_5416"/>
      <sheetName val="[97_207COSRP11.xls]_97_207_5411"/>
      <sheetName val="[97_207COSRP11.xls]_97_207_5412"/>
      <sheetName val="[97_207COSRP11.xls]_97_207_5413"/>
      <sheetName val="[97_207COSRP11.xls]_97_207_5417"/>
      <sheetName val="[97_207COSRP11.xls]_97_207_5418"/>
      <sheetName val="[97_207COSRP11.xls]_97_207_5419"/>
      <sheetName val="[97_207COSRP11.xls]_97_207_5420"/>
      <sheetName val="[97_207COSRP11.xls]_97_207_5421"/>
      <sheetName val="[97_207COSRP11.xls]_97_207_5422"/>
      <sheetName val="[97_207COSRP11.xls]B_______1763"/>
      <sheetName val="[97_207COSRP11.xls]B_______1764"/>
      <sheetName val="[97_207COSRP11.xls]_97_207_5427"/>
      <sheetName val="[97_207COSRP11.xls]_97_207_5423"/>
      <sheetName val="[97_207COSRP11.xls]_97_207_5424"/>
      <sheetName val="[97_207COSRP11.xls]_97_207_5428"/>
      <sheetName val="[97_207COSRP11.xls]B_______1765"/>
      <sheetName val="[97_207COSRP11.xls]_97_207_5425"/>
      <sheetName val="[97_207COSRP11.xls]_97_207_5426"/>
      <sheetName val="[97_207COSRP11.xls]_97_207_5429"/>
      <sheetName val="[97_207COSRP11.xls]_97_207_5437"/>
      <sheetName val="[97_207COSRP11.xls]_97_207_5438"/>
      <sheetName val="[97_207COSRP11.xls]_97_207_5439"/>
      <sheetName val="[97_207COSRP11.xls]B_______1769"/>
      <sheetName val="[97_207COSRP11.xls]B_______1770"/>
      <sheetName val="[97_207COSRP11.xls]_97_207_5444"/>
      <sheetName val="[97_207COSRP11.xls]_97_207_5440"/>
      <sheetName val="[97_207COSRP11.xls]_97_207_5441"/>
      <sheetName val="[97_207COSRP11.xls]_97_207_5445"/>
      <sheetName val="[97_207COSRP11.xls]B_______1771"/>
      <sheetName val="[97_207COSRP11.xls]_97_207_5442"/>
      <sheetName val="[97_207COSRP11.xls]_97_207_5443"/>
      <sheetName val="[97_207COSRP11.xls]_97_207_5446"/>
      <sheetName val="[97_207COSRP11.xls]_97_207_5430"/>
      <sheetName val="[97_207COSRP11.xls]_97_207_5431"/>
      <sheetName val="[97_207COSRP11.xls]_97_207_5432"/>
      <sheetName val="[97_207COSRP11.xls]B_______1766"/>
      <sheetName val="[97_207COSRP11.xls]B_______1767"/>
      <sheetName val="[97_207COSRP11.xls]_97_207_5433"/>
      <sheetName val="[97_207COSRP11.xls]_97_207_5434"/>
      <sheetName val="[97_207COSRP11.xls]B_______1768"/>
      <sheetName val="[97_207COSRP11.xls]_97_207_5435"/>
      <sheetName val="[97_207COSRP11.xls]_97_207_5436"/>
      <sheetName val="[97_207COSRP11.xls]B_______1772"/>
      <sheetName val="[97_207COSRP11.xls]B_______1773"/>
      <sheetName val="[97_207COSRP11.xls]_97_207_5454"/>
      <sheetName val="[97_207COSRP11.xls]_97_207_5447"/>
      <sheetName val="[97_207COSRP11.xls]_97_207_5448"/>
      <sheetName val="[97_207COSRP11.xls]_97_207_5455"/>
      <sheetName val="[97_207COSRP11.xls]B_______1774"/>
      <sheetName val="[97_207COSRP11.xls]_97_207_5449"/>
      <sheetName val="[97_207COSRP11.xls]_97_207_5450"/>
      <sheetName val="[97_207COSRP11.xls]_97_207_5456"/>
      <sheetName val="[97_207COSRP11.xls]_97_207_5451"/>
      <sheetName val="[97_207COSRP11.xls]_97_207_5452"/>
      <sheetName val="[97_207COSRP11.xls]_97_207_5453"/>
      <sheetName val="[97_207COSRP11.xls]_97_207_5457"/>
      <sheetName val="[97_207COSRP11.xls]_97_207_5458"/>
      <sheetName val="[97_207COSRP11.xls]_97_207_5459"/>
      <sheetName val="[97_207COSRP11.xls]B_______1775"/>
      <sheetName val="[97_207COSRP11.xls]B_______1776"/>
      <sheetName val="[97_207COSRP11.xls]_97_207_5460"/>
      <sheetName val="[97_207COSRP11.xls]_97_207_5461"/>
      <sheetName val="[97_207COSRP11.xls]B_______1777"/>
      <sheetName val="[97_207COSRP11.xls]_97_207_5462"/>
      <sheetName val="[97_207COSRP11.xls]_97_207_5463"/>
      <sheetName val="[97_207COSRP11.xls]B_______1778"/>
      <sheetName val="[97_207COSRP11.xls]B_______1779"/>
      <sheetName val="[97_207COSRP11.xls]_97_207_5471"/>
      <sheetName val="[97_207COSRP11.xls]_97_207_5467"/>
      <sheetName val="[97_207COSRP11.xls]_97_207_5468"/>
      <sheetName val="[97_207COSRP11.xls]_97_207_5472"/>
      <sheetName val="[97_207COSRP11.xls]B_______1780"/>
      <sheetName val="[97_207COSRP11.xls]_97_207_5469"/>
      <sheetName val="[97_207COSRP11.xls]_97_207_5470"/>
      <sheetName val="[97_207COSRP11.xls]_97_207_5473"/>
      <sheetName val="[97_207COSRP11.xls]_97_207_5474"/>
      <sheetName val="[97_207COSRP11.xls]_97_207_5475"/>
      <sheetName val="[97_207COSRP11.xls]_97_207_5476"/>
      <sheetName val="[97_207COSRP11.xls]B_______1781"/>
      <sheetName val="[97_207COSRP11.xls]B_______1782"/>
      <sheetName val="[97_207COSRP11.xls]_97_207_5477"/>
      <sheetName val="[97_207COSRP11.xls]_97_207_5478"/>
      <sheetName val="[97_207COSRP11.xls]B_______1783"/>
      <sheetName val="[97_207COSRP11.xls]_97_207_5479"/>
      <sheetName val="[97_207COSRP11.xls]_97_207_5480"/>
      <sheetName val="[97_207COSRP11.xls]B_______1784"/>
      <sheetName val="[97_207COSRP11.xls]B_______1785"/>
      <sheetName val="[97_207COSRP11.xls]_97_207_5495"/>
      <sheetName val="[97_207COSRP11.xls]_97_207_5484"/>
      <sheetName val="[97_207COSRP11.xls]_97_207_5485"/>
      <sheetName val="[97_207COSRP11.xls]_97_207_5496"/>
      <sheetName val="[97_207COSRP11.xls]B_______1786"/>
      <sheetName val="[97_207COSRP11.xls]_97_207_5486"/>
      <sheetName val="[97_207COSRP11.xls]_97_207_5487"/>
      <sheetName val="[97_207COSRP11.xls]_97_207_5497"/>
      <sheetName val="[97_207COSRP11.xls]B_______1790"/>
      <sheetName val="[97_207COSRP11.xls]B_______1791"/>
      <sheetName val="[97_207COSRP11.xls]_97_207_5502"/>
      <sheetName val="[97_207COSRP11.xls]_97_207_5498"/>
      <sheetName val="[97_207COSRP11.xls]_97_207_5499"/>
      <sheetName val="[97_207COSRP11.xls]_97_207_5503"/>
      <sheetName val="[97_207COSRP11.xls]B_______1792"/>
      <sheetName val="[97_207COSRP11.xls]_97_207_5500"/>
      <sheetName val="[97_207COSRP11.xls]_97_207_5501"/>
      <sheetName val="[97_207COSRP11.xls]_97_207_5504"/>
      <sheetName val="[97_207COSRP11.xls]_97_207_5488"/>
      <sheetName val="[97_207COSRP11.xls]_97_207_5489"/>
      <sheetName val="[97_207COSRP11.xls]_97_207_5490"/>
      <sheetName val="[97_207COSRP11.xls]B_______1787"/>
      <sheetName val="[97_207COSRP11.xls]B_______1788"/>
      <sheetName val="[97_207COSRP11.xls]_97_207_5491"/>
      <sheetName val="[97_207COSRP11.xls]_97_207_5492"/>
      <sheetName val="[97_207COSRP11.xls]B_______1789"/>
      <sheetName val="[97_207COSRP11.xls]_97_207_5493"/>
      <sheetName val="[97_207COSRP11.xls]_97_207_5494"/>
      <sheetName val="[97_207COSRP11.xls]_97_207_5522"/>
      <sheetName val="[97_207COSRP11.xls]_97_207_5523"/>
      <sheetName val="[97_207COSRP11.xls]_97_207_5524"/>
      <sheetName val="[97_207COSRP11.xls]B_______1799"/>
      <sheetName val="[97_207COSRP11.xls]B_______1800"/>
      <sheetName val="[97_207COSRP11.xls]_97_207_5529"/>
      <sheetName val="[97_207COSRP11.xls]_97_207_5525"/>
      <sheetName val="[97_207COSRP11.xls]_97_207_5526"/>
      <sheetName val="[97_207COSRP11.xls]_97_207_5530"/>
      <sheetName val="[97_207COSRP11.xls]B_______1801"/>
      <sheetName val="[97_207COSRP11.xls]_97_207_5527"/>
      <sheetName val="[97_207COSRP11.xls]_97_207_5528"/>
      <sheetName val="[97_207COSRP11.xls]_97_207_5531"/>
      <sheetName val="[97_207COSRP11.xls]_97_207_5512"/>
      <sheetName val="[97_207COSRP11.xls]_97_207_5513"/>
      <sheetName val="[97_207COSRP11.xls]_97_207_5514"/>
      <sheetName val="[97_207COSRP11.xls]B_______1796"/>
      <sheetName val="[97_207COSRP11.xls]B_______1797"/>
      <sheetName val="[97_207COSRP11.xls]_97_207_5519"/>
      <sheetName val="[97_207COSRP11.xls]_97_207_5515"/>
      <sheetName val="[97_207COSRP11.xls]_97_207_5516"/>
      <sheetName val="[97_207COSRP11.xls]_97_207_5520"/>
      <sheetName val="[97_207COSRP11.xls]B_______1798"/>
      <sheetName val="[97_207COSRP11.xls]_97_207_5517"/>
      <sheetName val="[97_207COSRP11.xls]_97_207_5518"/>
      <sheetName val="[97_207COSRP11.xls]_97_207_5521"/>
      <sheetName val="[97_207COSRP11.xls]_97_207_5505"/>
      <sheetName val="[97_207COSRP11.xls]_97_207_5506"/>
      <sheetName val="[97_207COSRP11.xls]_97_207_5507"/>
      <sheetName val="[97_207COSRP11.xls]B_______1793"/>
      <sheetName val="[97_207COSRP11.xls]B_______1794"/>
      <sheetName val="[97_207COSRP11.xls]_97_207_5508"/>
      <sheetName val="[97_207COSRP11.xls]_97_207_5509"/>
      <sheetName val="[97_207COSRP11.xls]B_______1795"/>
      <sheetName val="[97_207COSRP11.xls]_97_207_5510"/>
      <sheetName val="[97_207COSRP11.xls]_97_207_5511"/>
      <sheetName val="[97_207COSRP11.xls]B_______1802"/>
      <sheetName val="[97_207COSRP11.xls]B_______1803"/>
      <sheetName val="[97_207COSRP11.xls]_97_207_5549"/>
      <sheetName val="[97_207COSRP11.xls]_97_207_5532"/>
      <sheetName val="[97_207COSRP11.xls]_97_207_5533"/>
      <sheetName val="[97_207COSRP11.xls]_97_207_5550"/>
      <sheetName val="[97_207COSRP11.xls]B_______1804"/>
      <sheetName val="[97_207COSRP11.xls]_97_207_5534"/>
      <sheetName val="[97_207COSRP11.xls]_97_207_5535"/>
      <sheetName val="[97_207COSRP11.xls]_97_207_5551"/>
      <sheetName val="[97_207COSRP11.xls]_97_207_5536"/>
      <sheetName val="[97_207COSRP11.xls]_97_207_5537"/>
      <sheetName val="[97_207COSRP11.xls]_97_207_5538"/>
      <sheetName val="[97_207COSRP11.xls]B_______1805"/>
      <sheetName val="[97_207COSRP11.xls]B_______1806"/>
      <sheetName val="[97_207COSRP11.xls]_97_207_5543"/>
      <sheetName val="[97_207COSRP11.xls]_97_207_5539"/>
      <sheetName val="[97_207COSRP11.xls]_97_207_5540"/>
      <sheetName val="[97_207COSRP11.xls]_97_207_5544"/>
      <sheetName val="[97_207COSRP11.xls]B_______1807"/>
      <sheetName val="[97_207COSRP11.xls]_97_207_5541"/>
      <sheetName val="[97_207COSRP11.xls]_97_207_5542"/>
      <sheetName val="[97_207COSRP11.xls]_97_207_5545"/>
      <sheetName val="[97_207COSRP11.xls]_97_207_5546"/>
      <sheetName val="[97_207COSRP11.xls]_97_207_5547"/>
      <sheetName val="[97_207COSRP11.xls]_97_207_5548"/>
      <sheetName val="[97_207COSRP11.xls]_97_207_5552"/>
      <sheetName val="[97_207COSRP11.xls]_97_207_5553"/>
      <sheetName val="[97_207COSRP11.xls]_97_207_5554"/>
      <sheetName val="[97_207COSRP11.xls]B_______1808"/>
      <sheetName val="[97_207COSRP11.xls]B_______1809"/>
      <sheetName val="[97_207COSRP11.xls]_97_207_5571"/>
      <sheetName val="[97_207COSRP11.xls]_97_207_5555"/>
      <sheetName val="[97_207COSRP11.xls]_97_207_5556"/>
      <sheetName val="[97_207COSRP11.xls]_97_207_5572"/>
      <sheetName val="[97_207COSRP11.xls]B_______1810"/>
      <sheetName val="[97_207COSRP11.xls]_97_207_5557"/>
      <sheetName val="[97_207COSRP11.xls]_97_207_5558"/>
      <sheetName val="[97_207COSRP11.xls]_97_207_5573"/>
      <sheetName val="[97_207COSRP11.xls]_97_207_5559"/>
      <sheetName val="[97_207COSRP11.xls]_97_207_5560"/>
      <sheetName val="[97_207COSRP11.xls]_97_207_5561"/>
      <sheetName val="[97_207COSRP11.xls]_97_207_5562"/>
      <sheetName val="[97_207COSRP11.xls]_97_207_5563"/>
      <sheetName val="[97_207COSRP11.xls]_97_207_5564"/>
      <sheetName val="[97_207COSRP11.xls]_97_207_5565"/>
      <sheetName val="[97_207COSRP11.xls]_97_207_5566"/>
      <sheetName val="[97_207COSRP11.xls]_97_207_5567"/>
      <sheetName val="[97_207COSRP11.xls]_97_207_5568"/>
      <sheetName val="[97_207COSRP11.xls]_97_207_5569"/>
      <sheetName val="[97_207COSRP11.xls]_97_207_5570"/>
      <sheetName val="SILICATE"/>
      <sheetName val="[97_207COSRP11.xls]_97_207_5742"/>
      <sheetName val="[97_207COSRP11.xls]B_______1895"/>
      <sheetName val="[97_207COSRP11.xls]B_______1896"/>
      <sheetName val="[97_207COSRP11.xls]_97_207_5746"/>
      <sheetName val="[97_207COSRP11.xls]_97_207_5743"/>
      <sheetName val="[97_207COSRP11.xls]_97_207_5744"/>
      <sheetName val="[97_207COSRP11.xls]_97_207_5745"/>
      <sheetName val="[97_207COSRP11.xls]_97_207_5651"/>
      <sheetName val="[97_207COSRP11.xls]_97_207_5652"/>
      <sheetName val="[97_207COSRP11.xls]_97_207_5653"/>
      <sheetName val="[97_207COSRP11.xls]B_______1862"/>
      <sheetName val="[97_207COSRP11.xls]B_______1863"/>
      <sheetName val="[97_207COSRP11.xls]_97_207_5668"/>
      <sheetName val="[97_207COSRP11.xls]_97_207_5654"/>
      <sheetName val="[97_207COSRP11.xls]_97_207_5655"/>
      <sheetName val="[97_207COSRP11.xls]_97_207_5669"/>
      <sheetName val="[97_207COSRP11.xls]B_______1864"/>
      <sheetName val="[97_207COSRP11.xls]_97_207_5656"/>
      <sheetName val="[97_207COSRP11.xls]_97_207_5657"/>
      <sheetName val="[97_207COSRP11.xls]_97_207_5670"/>
      <sheetName val="[97_207COSRP11.xls]_97_207_5604"/>
      <sheetName val="[97_207COSRP11.xls]_97_207_5605"/>
      <sheetName val="[97_207COSRP11.xls]_97_207_5606"/>
      <sheetName val="[97_207COSRP11.xls]B_______1847"/>
      <sheetName val="[97_207COSRP11.xls]B_______1848"/>
      <sheetName val="[97_207COSRP11.xls]_97_207_5614"/>
      <sheetName val="[97_207COSRP11.xls]_97_207_5607"/>
      <sheetName val="[97_207COSRP11.xls]_97_207_5608"/>
      <sheetName val="[97_207COSRP11.xls]_97_207_5615"/>
      <sheetName val="[97_207COSRP11.xls]B_______1849"/>
      <sheetName val="[97_207COSRP11.xls]_97_207_5609"/>
      <sheetName val="[97_207COSRP11.xls]_97_207_5610"/>
      <sheetName val="[97_207COSRP11.xls]_97_207_5616"/>
      <sheetName val="Sqn (Main) Abs"/>
      <sheetName val="合成単価作成表-BLDG"/>
      <sheetName val="[97_207COSRP11.xls]B_______1811"/>
      <sheetName val="[97_207COSRP11.xls]B_______1812"/>
      <sheetName val="[97_207COSRP11.xls]B_______1813"/>
      <sheetName val="[97_207COSRP11.xls]B_______1829"/>
      <sheetName val="[97_207COSRP11.xls]B_______1830"/>
      <sheetName val="[97_207COSRP11.xls]B_______1831"/>
      <sheetName val="[97_207COSRP11.xls]B_______1820"/>
      <sheetName val="[97_207COSRP11.xls]B_______1821"/>
      <sheetName val="[97_207COSRP11.xls]B_______1822"/>
      <sheetName val="[97_207COSRP11.xls]B_______1814"/>
      <sheetName val="[97_207COSRP11.xls]B_______1815"/>
      <sheetName val="[97_207COSRP11.xls]B_______1816"/>
      <sheetName val="[97_207COSRP11.xls]B_______1817"/>
      <sheetName val="[97_207COSRP11.xls]B_______1818"/>
      <sheetName val="[97_207COSRP11.xls]B_______1819"/>
      <sheetName val="[97_207COSRP11.xls]B_______1823"/>
      <sheetName val="[97_207COSRP11.xls]B_______1824"/>
      <sheetName val="[97_207COSRP11.xls]B_______1825"/>
      <sheetName val="[97_207COSRP11.xls]B_______1826"/>
      <sheetName val="[97_207COSRP11.xls]B_______1827"/>
      <sheetName val="[97_207COSRP11.xls]B_______1828"/>
      <sheetName val="[97_207COSRP11.xls]B_______1832"/>
      <sheetName val="[97_207COSRP11.xls]B_______1833"/>
      <sheetName val="[97_207COSRP11.xls]_97_207_5587"/>
      <sheetName val="[97_207COSRP11.xls]_97_207_5588"/>
      <sheetName val="[97_207COSRP11.xls]B_______1834"/>
      <sheetName val="[97_207COSRP11.xls]_97_207_5589"/>
      <sheetName val="[97_207COSRP11.xls]B_______1841"/>
      <sheetName val="[97_207COSRP11.xls]B_______1842"/>
      <sheetName val="[97_207COSRP11.xls]_97_207_5594"/>
      <sheetName val="[97_207COSRP11.xls]_97_207_5590"/>
      <sheetName val="[97_207COSRP11.xls]_97_207_5591"/>
      <sheetName val="[97_207COSRP11.xls]_97_207_5595"/>
      <sheetName val="[97_207COSRP11.xls]B_______1843"/>
      <sheetName val="[97_207COSRP11.xls]_97_207_5592"/>
      <sheetName val="[97_207COSRP11.xls]_97_207_5593"/>
      <sheetName val="[97_207COSRP11.xls]_97_207_5596"/>
      <sheetName val="[97_207COSRP11.xls]_97_207_5574"/>
      <sheetName val="[97_207COSRP11.xls]_97_207_5575"/>
      <sheetName val="[97_207COSRP11.xls]B_______1835"/>
      <sheetName val="[97_207COSRP11.xls]B_______1836"/>
      <sheetName val="[97_207COSRP11.xls]_97_207_5576"/>
      <sheetName val="[97_207COSRP11.xls]_97_207_5577"/>
      <sheetName val="[97_207COSRP11.xls]B_______1837"/>
      <sheetName val="[97_207COSRP11.xls]_97_207_5578"/>
      <sheetName val="[97_207COSRP11.xls]_97_207_5579"/>
      <sheetName val="[97_207COSRP11.xls]_97_207_5580"/>
      <sheetName val="[97_207COSRP11.xls]_97_207_5581"/>
      <sheetName val="[97_207COSRP11.xls]_97_207_5582"/>
      <sheetName val="[97_207COSRP11.xls]B_______1838"/>
      <sheetName val="[97_207COSRP11.xls]B_______1839"/>
      <sheetName val="[97_207COSRP11.xls]_97_207_5583"/>
      <sheetName val="[97_207COSRP11.xls]_97_207_5584"/>
      <sheetName val="[97_207COSRP11.xls]B_______1840"/>
      <sheetName val="[97_207COSRP11.xls]_97_207_5585"/>
      <sheetName val="[97_207COSRP11.xls]_97_207_5586"/>
      <sheetName val="[97_207COSRP11.xls]_97_207_5597"/>
      <sheetName val="[97_207COSRP11.xls]_97_207_5598"/>
      <sheetName val="[97_207COSRP11.xls]_97_207_5599"/>
      <sheetName val="[97_207COSRP11.xls]B_______1844"/>
      <sheetName val="[97_207COSRP11.xls]B_______1845"/>
      <sheetName val="[97_207COSRP11.xls]_97_207_5600"/>
      <sheetName val="[97_207COSRP11.xls]_97_207_5601"/>
      <sheetName val="[97_207COSRP11.xls]B_______1846"/>
      <sheetName val="[97_207COSRP11.xls]_97_207_5602"/>
      <sheetName val="[97_207COSRP11.xls]_97_207_5603"/>
      <sheetName val="[97_207COSRP11.xls]_97_207_5611"/>
      <sheetName val="[97_207COSRP11.xls]_97_207_5612"/>
      <sheetName val="[97_207COSRP11.xls]_97_207_5613"/>
      <sheetName val="[97_207COSRP11.xls]B_______1850"/>
      <sheetName val="[97_207COSRP11.xls]B_______1851"/>
      <sheetName val="[97_207COSRP11.xls]_97_207_5631"/>
      <sheetName val="[97_207COSRP11.xls]_97_207_5617"/>
      <sheetName val="[97_207COSRP11.xls]_97_207_5618"/>
      <sheetName val="[97_207COSRP11.xls]_97_207_5632"/>
      <sheetName val="[97_207COSRP11.xls]B_______1852"/>
      <sheetName val="[97_207COSRP11.xls]_97_207_5619"/>
      <sheetName val="[97_207COSRP11.xls]_97_207_5620"/>
      <sheetName val="[97_207COSRP11.xls]_97_207_5633"/>
      <sheetName val="[97_207COSRP11.xls]B_______1856"/>
      <sheetName val="[97_207COSRP11.xls]B_______1857"/>
      <sheetName val="[97_207COSRP11.xls]_97_207_5638"/>
      <sheetName val="[97_207COSRP11.xls]_97_207_5634"/>
      <sheetName val="[97_207COSRP11.xls]_97_207_5635"/>
      <sheetName val="[97_207COSRP11.xls]_97_207_5639"/>
      <sheetName val="[97_207COSRP11.xls]B_______1858"/>
      <sheetName val="[97_207COSRP11.xls]_97_207_5636"/>
      <sheetName val="[97_207COSRP11.xls]_97_207_5637"/>
      <sheetName val="[97_207COSRP11.xls]_97_207_5640"/>
      <sheetName val="[97_207COSRP11.xls]_97_207_5621"/>
      <sheetName val="[97_207COSRP11.xls]_97_207_5622"/>
      <sheetName val="[97_207COSRP11.xls]_97_207_5623"/>
      <sheetName val="[97_207COSRP11.xls]B_______1853"/>
      <sheetName val="[97_207COSRP11.xls]B_______1854"/>
      <sheetName val="[97_207COSRP11.xls]_97_207_5628"/>
      <sheetName val="[97_207COSRP11.xls]_97_207_5624"/>
      <sheetName val="[97_207COSRP11.xls]_97_207_5625"/>
      <sheetName val="[97_207COSRP11.xls]_97_207_5629"/>
      <sheetName val="[97_207COSRP11.xls]B_______1855"/>
      <sheetName val="[97_207COSRP11.xls]_97_207_5626"/>
      <sheetName val="[97_207COSRP11.xls]_97_207_5627"/>
      <sheetName val="[97_207COSRP11.xls]_97_207_5630"/>
      <sheetName val="[97_207COSRP11.xls]_97_207_5641"/>
      <sheetName val="[97_207COSRP11.xls]_97_207_5642"/>
      <sheetName val="[97_207COSRP11.xls]_97_207_5643"/>
      <sheetName val="[97_207COSRP11.xls]B_______1859"/>
      <sheetName val="[97_207COSRP11.xls]B_______1860"/>
      <sheetName val="[97_207COSRP11.xls]_97_207_5648"/>
      <sheetName val="[97_207COSRP11.xls]_97_207_5644"/>
      <sheetName val="[97_207COSRP11.xls]_97_207_5645"/>
      <sheetName val="[97_207COSRP11.xls]_97_207_5649"/>
      <sheetName val="[97_207COSRP11.xls]B_______1861"/>
      <sheetName val="[97_207COSRP11.xls]_97_207_5646"/>
      <sheetName val="[97_207COSRP11.xls]_97_207_5647"/>
      <sheetName val="[97_207COSRP11.xls]_97_207_5650"/>
      <sheetName val="[97_207COSRP11.xls]B_______1868"/>
      <sheetName val="[97_207COSRP11.xls]B_______1869"/>
      <sheetName val="[97_207COSRP11.xls]_97_207_5699"/>
      <sheetName val="[97_207COSRP11.xls]_97_207_5671"/>
      <sheetName val="[97_207COSRP11.xls]_97_207_5672"/>
      <sheetName val="[97_207COSRP11.xls]_97_207_5700"/>
      <sheetName val="[97_207COSRP11.xls]B_______1870"/>
      <sheetName val="[97_207COSRP11.xls]_97_207_5673"/>
      <sheetName val="[97_207COSRP11.xls]_97_207_5674"/>
      <sheetName val="[97_207COSRP11.xls]_97_207_5701"/>
      <sheetName val="[97_207COSRP11.xls]_97_207_5658"/>
      <sheetName val="[97_207COSRP11.xls]_97_207_5659"/>
      <sheetName val="[97_207COSRP11.xls]_97_207_5660"/>
      <sheetName val="[97_207COSRP11.xls]_97_207_5661"/>
      <sheetName val="[97_207COSRP11.xls]_97_207_5662"/>
      <sheetName val="[97_207COSRP11.xls]_97_207_5663"/>
      <sheetName val="[97_207COSRP11.xls]B_______1865"/>
      <sheetName val="[97_207COSRP11.xls]B_______1866"/>
      <sheetName val="[97_207COSRP11.xls]_97_207_5664"/>
      <sheetName val="[97_207COSRP11.xls]_97_207_5665"/>
      <sheetName val="[97_207COSRP11.xls]B_______1867"/>
      <sheetName val="[97_207COSRP11.xls]_97_207_5666"/>
      <sheetName val="[97_207COSRP11.xls]_97_207_5667"/>
      <sheetName val="[97_207COSRP11.xls]_97_207_5675"/>
      <sheetName val="[97_207COSRP11.xls]_97_207_5676"/>
      <sheetName val="[97_207COSRP11.xls]_97_207_5677"/>
      <sheetName val="PROV_SUMS9"/>
      <sheetName val="PROV_QUANTITIES9"/>
      <sheetName val="RES_STEEL_TO9"/>
      <sheetName val="Data_sheet8"/>
      <sheetName val="Per_Unit8"/>
      <sheetName val="MASTER_RATE_ANALYSIS7"/>
      <sheetName val="Fin_Sum9"/>
      <sheetName val="SPT_vs_PHI8"/>
      <sheetName val="Switch_&amp;_Sockets8"/>
      <sheetName val="25mm_PVC_Conduit8"/>
      <sheetName val="FLOOR_JB8"/>
      <sheetName val="Light_Fittings8"/>
      <sheetName val="CABLE_TRAY8"/>
      <sheetName val="32MM_PVC_CONDUIT8"/>
      <sheetName val="Point_Wiring8"/>
      <sheetName val="3RX2_5SQMM_WIRE8"/>
      <sheetName val="3CX2_5SQMM_WIRES8"/>
      <sheetName val="3CX4_00SQMM8"/>
      <sheetName val="PPA_Summary8"/>
      <sheetName val="beam-reinft-IIInd_floor8"/>
      <sheetName val="India_F&amp;S_Template8"/>
      <sheetName val="Materials_Cost(PCC)8"/>
      <sheetName val="PRECAST_lightconc-II7"/>
      <sheetName val="Synergy_Sales_Budget7"/>
      <sheetName val="Break_up_Sheet7"/>
      <sheetName val="Paym__Recom7"/>
      <sheetName val="DC_-_DB_&amp;_MCB7"/>
      <sheetName val="inst__-_Pt_Wr_(cl-2)7"/>
      <sheetName val="Su__-_Pt_Wr7"/>
      <sheetName val="Su__Pwr_Wr7"/>
      <sheetName val="Inst__Pwr_Wr_(cl-2)7"/>
      <sheetName val="Su__-_Cor7"/>
      <sheetName val="Ins_-_Cor_7"/>
      <sheetName val="Earth_strip&amp;_fittings7"/>
      <sheetName val="DC__S_&amp;_So7"/>
      <sheetName val="Install_LIFT_SHAFT_7"/>
      <sheetName val="Su_solar_pt7"/>
      <sheetName val="SU_LIFT_SHAFT7"/>
      <sheetName val="DC_-Conduit7"/>
      <sheetName val="DC_wiring7"/>
      <sheetName val="PA-_Consutant_6"/>
      <sheetName val="beam-reinft-machine_rm6"/>
      <sheetName val="WORK_TABLE5"/>
      <sheetName val="ABP_inputs5"/>
      <sheetName val="E_&amp;_R6"/>
      <sheetName val="Appendix_-3-_Rcov__Mat_supplie5"/>
      <sheetName val="Debits_as_on_12_04_085"/>
      <sheetName val="foot-slab_reinft5"/>
      <sheetName val="List_of_contractors5"/>
      <sheetName val="Change_Order_Log5"/>
      <sheetName val="Material_List_5"/>
      <sheetName val="CONC__&amp;_STEEL_-_PILES5"/>
      <sheetName val="GR_slab-reinft5"/>
      <sheetName val="glass_project_concrete8"/>
      <sheetName val="glass_project_reift8"/>
      <sheetName val="glass_project_indices8"/>
      <sheetName val="SBC-BH_197"/>
      <sheetName val="Summary_05066"/>
      <sheetName val="Summary_0607-_31_MAR6"/>
      <sheetName val="Civil_Boq6"/>
      <sheetName val="Pile_cap6"/>
      <sheetName val="BH_12-11-10-137"/>
      <sheetName val="BH_12-11-10-97"/>
      <sheetName val="BH_36-15-377"/>
      <sheetName val="BH_16-35-25-177"/>
      <sheetName val="BH_35-25-177"/>
      <sheetName val="Sheet1_(2)7"/>
      <sheetName val="d-safe_DELUXE6"/>
      <sheetName val="V_O_4_-_PCC_Qty6"/>
      <sheetName val="TBAL9697_-group_wise__sdpl6"/>
      <sheetName val="Abstract_Sheet6"/>
      <sheetName val="Mix_Design6"/>
      <sheetName val="RCC,Ret__Wall6"/>
      <sheetName val="Form_66"/>
      <sheetName val="PointNo_56"/>
      <sheetName val="Legal_Risk_Analysis6"/>
      <sheetName val="Load_Details-220kV5"/>
      <sheetName val="Fill_this_out_first___5"/>
      <sheetName val="REVISED4A_PROG_PERF-SITE_1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Direct_selling_cost5"/>
      <sheetName val="BOQ_(2)5"/>
      <sheetName val="CABLE_DATA5"/>
      <sheetName val="Staff_Acco_5"/>
      <sheetName val="Pipe_Supports5"/>
      <sheetName val="final_abstract5"/>
      <sheetName val="INPUT_SHEET5"/>
      <sheetName val="Rev_S1_Abstract5"/>
      <sheetName val="Quantity_Abstract5"/>
      <sheetName val="M-Book_for_Conc5"/>
      <sheetName val="M-Book_for_FW5"/>
      <sheetName val="Project_Budget_Worksheet6"/>
      <sheetName val="BOQ_-II_ph_25"/>
      <sheetName val="d-safe_specs5"/>
      <sheetName val="class_&amp;_category5"/>
      <sheetName val="SSR_&amp;_NSSR_Market_final5"/>
      <sheetName val="Fee_Rate_Summary5"/>
      <sheetName val="STAFFSCHED_5"/>
      <sheetName val="220_11__BS_5"/>
      <sheetName val="Metso_-_Forth_&amp;_Slurry_11_02_15"/>
      <sheetName val="precast_RC_element5"/>
      <sheetName val="Bed_Class5"/>
      <sheetName val="ACAD_Finishes5"/>
      <sheetName val="Site_Details5"/>
      <sheetName val="Site_Area_Statement5"/>
      <sheetName val="입찰내역_발주처_양식5"/>
      <sheetName val="Basement_Budget5"/>
      <sheetName val="Mat_Cost5"/>
      <sheetName val="TRIAL_BALANCE5"/>
      <sheetName val="[97_207COSRP11_xls][97_207COSR5"/>
      <sheetName val="SC_Cost_FEB_035"/>
      <sheetName val="Bank_Guarantee5"/>
      <sheetName val="Sub_Contractors_list5"/>
      <sheetName val="Strwise_Qty5"/>
      <sheetName val="NMR_(2)5"/>
      <sheetName val="[97_207COSRP11_xls]_97_207COS41"/>
      <sheetName val="[97_207COSRP11_xls]_97_207COS42"/>
      <sheetName val="[97_207COSRP11_xls]_97_207COS43"/>
      <sheetName val="[97_207COSRP11_xls]_97_207COS44"/>
      <sheetName val="[97_207COSRP11_xls]_97_207COS45"/>
      <sheetName val="[97_207COSRP11_xls]_97_207COS46"/>
      <sheetName val="[97_207COSRP11_xls]_97_207COS47"/>
      <sheetName val="[97_207COSRP11_xls]_97_207CO392"/>
      <sheetName val="[97_207COSRP11_xls]_97_207COS48"/>
      <sheetName val="[97_207COSRP11_xls]_97_207CO393"/>
      <sheetName val="[97_207COSRP11_xls]_97_207CO394"/>
      <sheetName val="[97_207COSRP11_xls]_97_207CO395"/>
      <sheetName val="[97_207COSRP11_xls]_97_207CO396"/>
      <sheetName val="[97_207COSRP11_xls]_97_207CO397"/>
      <sheetName val="[97_207COSRP11_xls]_97_207CO398"/>
      <sheetName val="[97_207COSRP11_xls]_97_207CO399"/>
      <sheetName val="[97_207COSRP11_xls]_97_207CO400"/>
      <sheetName val="[97_207COSRP11_xls]_97_207CO401"/>
      <sheetName val="[97_207COSRP11_xls]_97_207CO402"/>
      <sheetName val="[97_207COSRP11_xls]_97_207CO403"/>
      <sheetName val="[97_207COSRP11_xls]_97_207CO404"/>
      <sheetName val="[97_207COSRP11_xls]_97_207CO405"/>
      <sheetName val="[97_207COSRP11_xls]_97_207CO406"/>
      <sheetName val="[97_207COSRP11_xls]_97_207CO407"/>
      <sheetName val="[97_207COSRP11_xls]_97_207CO408"/>
      <sheetName val="[97_207COSRP11_xls]_97_207CO409"/>
      <sheetName val="[97_207COSRP11_xls]_97_207CO410"/>
      <sheetName val="[97_207COSRP11_xls]_97_207CO411"/>
      <sheetName val="[97_207COSRP11_xls]_97_207CO412"/>
      <sheetName val="[97_207COSRP11_xls]_97_207CO413"/>
      <sheetName val="[97_207COSRP11_xls]_97_207CO414"/>
      <sheetName val="[97_207COSRP11_xls]_97_207CO415"/>
      <sheetName val="[97_207COSRP11_xls]_97_207CO416"/>
      <sheetName val="[97_207COSRP11_xls]_97_207CO417"/>
      <sheetName val="[97_207COSRP11_xls]_97_207CO418"/>
      <sheetName val="[97_207COSRP11_xls]_97_207CO419"/>
      <sheetName val="[97_207COSRP11_xls]_97_207CO420"/>
      <sheetName val="[97_207COSRP11_xls]_97_207CO421"/>
      <sheetName val="[97_207COSRP11_xls]_97_207CO422"/>
      <sheetName val="[97_207COSRP11_xls]_97_207CO423"/>
      <sheetName val="[97_207COSRP11_xls]_97_207CO424"/>
      <sheetName val="[97_207COSRP11_xls]_97_207CO425"/>
      <sheetName val="[97_207COSRP11_xls]_97_207CO426"/>
      <sheetName val="[97_207COSRP11_xls]_97_207CO427"/>
      <sheetName val="[97_207COSRP11_xls]_97_207CO428"/>
      <sheetName val="[97_207COSRP11_xls]_97_207CO429"/>
      <sheetName val="[97_207COSRP11_xls]_97_207CO430"/>
      <sheetName val="[97_207COSRP11_xls]_97_207CO431"/>
      <sheetName val="[97_207COSRP11_xls]_97_207CO432"/>
      <sheetName val="[97_207COSRP11_xls]_97_207CO433"/>
      <sheetName val="[97_207COSRP11_xls]_97_207CO434"/>
      <sheetName val="[97_207COSRP11_xls]_97_207CO435"/>
      <sheetName val="[97_207COSRP11_xls]_97_207CO436"/>
      <sheetName val="[97_207COSRP11_xls]_97_207CO437"/>
      <sheetName val="[97_207COSRP11_xls]_97_207CO438"/>
      <sheetName val="[97_207COSRP11_xls]_97_207CO439"/>
      <sheetName val="[97_207COSRP11_xls]_97_207CO440"/>
      <sheetName val="[97_207COSRP11_xls]_97_207CO441"/>
      <sheetName val="[97_207COSRP11_xls]_97_207CO442"/>
      <sheetName val="[97_207COSRP11_xls]_97_207CO443"/>
      <sheetName val="[97_207COSRP11_xls]_97_207CO444"/>
      <sheetName val="[97_207COSRP11_xls]_97_207CO445"/>
      <sheetName val="[97_207COSRP11_xls]_97_207CO446"/>
      <sheetName val="[97_207COSRP11_xls]_97_207CO447"/>
      <sheetName val="[97_207COSRP11_xls]_97_207CO448"/>
      <sheetName val="[97_207COSRP11_xls]_97_207CO449"/>
      <sheetName val="[97_207COSRP11_xls]_97_207CO450"/>
      <sheetName val="[97_207COSRP11_xls]_97_207CO451"/>
      <sheetName val="[97_207COSRP11_xls]_97_207CO452"/>
      <sheetName val="[97_207COSRP11_xls]_97_207CO453"/>
      <sheetName val="[97_207COSRP11_xls]_97_207CO454"/>
      <sheetName val="[97_207COSRP11_xls]_97_207CO455"/>
      <sheetName val="[97_207COSRP11_xls]_97_207CO456"/>
      <sheetName val="[97_207COSRP11_xls]_97_207CO457"/>
      <sheetName val="[97_207COSRP11_xls]_97_207CO458"/>
      <sheetName val="[97_207COSRP11_xls]_97_207CO459"/>
      <sheetName val="[97_207COSRP11_xls]_97_207CO460"/>
      <sheetName val="[97_207COSRP11_xls]_97_207CO461"/>
      <sheetName val="[97_207COSRP11_xls]_97_207CO462"/>
      <sheetName val="[97_207COSRP11_xls]_97_207CO463"/>
      <sheetName val="[97_207COSRP11_xls]_97_207CO464"/>
      <sheetName val="[97_207COSRP11_xls]_97_207CO465"/>
      <sheetName val="[97_207COSRP11_xls]_97_207CO466"/>
      <sheetName val="[97_207COSRP11_xls]_97_207CO467"/>
      <sheetName val="[97_207COSRP11_xls]_97_207CO468"/>
      <sheetName val="[97_207COSRP11_xls]_97_207CO469"/>
      <sheetName val="SC_Cost_FEB_034"/>
      <sheetName val="Bank_Guarantee4"/>
      <sheetName val="Sub_Contractors_list4"/>
      <sheetName val="Strwise_Qty4"/>
      <sheetName val="NMR_(2)4"/>
      <sheetName val="[97_207COSRP11_xls]_97_207COS33"/>
      <sheetName val="[97_207COSRP11_xls]_97_207COS34"/>
      <sheetName val="[97_207COSRP11_xls]_97_207COS35"/>
      <sheetName val="[97_207COSRP11_xls]_97_207COS36"/>
      <sheetName val="[97_207COSRP11_xls]_97_207COS37"/>
      <sheetName val="[97_207COSRP11_xls]_97_207COS38"/>
      <sheetName val="[97_207COSRP11_xls]_97_207COS39"/>
      <sheetName val="[97_207COSRP11_xls]_97_207COS40"/>
      <sheetName val="[97_207COSRP11_xls]_97_207CO370"/>
      <sheetName val="[97_207COSRP11_xls]_97_207CO371"/>
      <sheetName val="[97_207COSRP11_xls]_97_207CO372"/>
      <sheetName val="[97_207COSRP11_xls]_97_207CO373"/>
      <sheetName val="[97_207COSRP11_xls]_97_207CO374"/>
      <sheetName val="[97_207COSRP11_xls]_97_207CO375"/>
      <sheetName val="[97_207COSRP11_xls]_97_207CO376"/>
      <sheetName val="[97_207COSRP11_xls]_97_207CO377"/>
      <sheetName val="[97_207COSRP11_xls]_97_207CO378"/>
      <sheetName val="[97_207COSRP11_xls]_97_207CO379"/>
      <sheetName val="[97_207COSRP11_xls]_97_207CO380"/>
      <sheetName val="[97_207COSRP11_xls]_97_207CO381"/>
      <sheetName val="[97_207COSRP11_xls]_97_207CO382"/>
      <sheetName val="[97_207COSRP11_xls]_97_207CO383"/>
      <sheetName val="[97_207COSRP11_xls]_97_207CO384"/>
      <sheetName val="[97_207COSRP11_xls]_97_207CO385"/>
      <sheetName val="[97_207COSRP11_xls]_97_207CO386"/>
      <sheetName val="[97_207COSRP11_xls]_97_207CO387"/>
      <sheetName val="[97_207COSRP11_xls]_97_207CO388"/>
      <sheetName val="[97_207COSRP11_xls]_97_207CO389"/>
      <sheetName val="[97_207COSRP11_xls]_97_207CO390"/>
      <sheetName val="[97_207COSRP11_xls]_97_207CO391"/>
      <sheetName val="[97_207COSRP11_xls]_97_207CO470"/>
      <sheetName val="PROV_SUMS10"/>
      <sheetName val="PROV_QUANTITIES10"/>
      <sheetName val="RES_STEEL_TO10"/>
      <sheetName val="Data_sheet9"/>
      <sheetName val="Per_Unit9"/>
      <sheetName val="MASTER_RATE_ANALYSIS8"/>
      <sheetName val="Fin_Sum10"/>
      <sheetName val="SPT_vs_PHI9"/>
      <sheetName val="Switch_&amp;_Sockets9"/>
      <sheetName val="25mm_PVC_Conduit9"/>
      <sheetName val="FLOOR_JB9"/>
      <sheetName val="Light_Fittings9"/>
      <sheetName val="CABLE_TRAY9"/>
      <sheetName val="32MM_PVC_CONDUIT9"/>
      <sheetName val="Point_Wiring9"/>
      <sheetName val="3RX2_5SQMM_WIRE9"/>
      <sheetName val="3CX2_5SQMM_WIRES9"/>
      <sheetName val="3CX4_00SQMM9"/>
      <sheetName val="Rate_analysis4"/>
      <sheetName val="PPA_Summary9"/>
      <sheetName val="beam-reinft-IIInd_floor9"/>
      <sheetName val="India_F&amp;S_Template9"/>
      <sheetName val="Materials_Cost(PCC)9"/>
      <sheetName val="PRECAST_lightconc-II8"/>
      <sheetName val="Synergy_Sales_Budget8"/>
      <sheetName val="Break_up_Sheet8"/>
      <sheetName val="Paym__Recom8"/>
      <sheetName val="DC_-_DB_&amp;_MCB8"/>
      <sheetName val="inst__-_Pt_Wr_(cl-2)8"/>
      <sheetName val="Su__-_Pt_Wr8"/>
      <sheetName val="Su__Pwr_Wr8"/>
      <sheetName val="Inst__Pwr_Wr_(cl-2)8"/>
      <sheetName val="Su__-_Cor8"/>
      <sheetName val="Ins_-_Cor_8"/>
      <sheetName val="Earth_strip&amp;_fittings8"/>
      <sheetName val="DC__S_&amp;_So8"/>
      <sheetName val="Install_LIFT_SHAFT_8"/>
      <sheetName val="Su_solar_pt8"/>
      <sheetName val="SU_LIFT_SHAFT8"/>
      <sheetName val="DC_-Conduit8"/>
      <sheetName val="DC_wiring8"/>
      <sheetName val="PA-_Consutant_7"/>
      <sheetName val="beam-reinft-machine_rm7"/>
      <sheetName val="WORK_TABLE6"/>
      <sheetName val="ABP_inputs6"/>
      <sheetName val="E_&amp;_R7"/>
      <sheetName val="Appendix_-3-_Rcov__Mat_supplie6"/>
      <sheetName val="Debits_as_on_12_04_086"/>
      <sheetName val="foot-slab_reinft6"/>
      <sheetName val="List_of_contractors6"/>
      <sheetName val="Change_Order_Log6"/>
      <sheetName val="Material_List_6"/>
      <sheetName val="CONC__&amp;_STEEL_-_PILES6"/>
      <sheetName val="GR_slab-reinft6"/>
      <sheetName val="glass_project_concrete9"/>
      <sheetName val="glass_project_reift9"/>
      <sheetName val="glass_project_indices9"/>
      <sheetName val="SBC-BH_198"/>
      <sheetName val="Summary_05067"/>
      <sheetName val="Summary_0607-_31_MAR7"/>
      <sheetName val="Civil_Boq7"/>
      <sheetName val="Pile_cap7"/>
      <sheetName val="BH_12-11-10-138"/>
      <sheetName val="BH_12-11-10-98"/>
      <sheetName val="BH_36-15-378"/>
      <sheetName val="BH_16-35-25-178"/>
      <sheetName val="BH_35-25-178"/>
      <sheetName val="Sheet1_(2)8"/>
      <sheetName val="d-safe_DELUXE7"/>
      <sheetName val="V_O_4_-_PCC_Qty7"/>
      <sheetName val="TBAL9697_-group_wise__sdpl7"/>
      <sheetName val="Abstract_Sheet7"/>
      <sheetName val="Mix_Design7"/>
      <sheetName val="RCC,Ret__Wall7"/>
      <sheetName val="Form_67"/>
      <sheetName val="PointNo_57"/>
      <sheetName val="Legal_Risk_Analysis7"/>
      <sheetName val="Load_Details-220kV6"/>
      <sheetName val="Fill_this_out_first___6"/>
      <sheetName val="REVISED4A_PROG_PERF-SITE_1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Direct_selling_cost6"/>
      <sheetName val="BOQ_(2)6"/>
      <sheetName val="CABLE_DATA6"/>
      <sheetName val="Staff_Acco_6"/>
      <sheetName val="Pipe_Supports6"/>
      <sheetName val="final_abstract6"/>
      <sheetName val="INPUT_SHEET6"/>
      <sheetName val="Rev_S1_Abstract6"/>
      <sheetName val="Quantity_Abstract6"/>
      <sheetName val="M-Book_for_Conc6"/>
      <sheetName val="M-Book_for_FW6"/>
      <sheetName val="Project_Budget_Worksheet7"/>
      <sheetName val="BOQ_-II_ph_26"/>
      <sheetName val="d-safe_specs6"/>
      <sheetName val="class_&amp;_category6"/>
      <sheetName val="SSR_&amp;_NSSR_Market_final6"/>
      <sheetName val="Fee_Rate_Summary6"/>
      <sheetName val="STAFFSCHED_6"/>
      <sheetName val="220_11__BS_6"/>
      <sheetName val="Metso_-_Forth_&amp;_Slurry_11_02_16"/>
      <sheetName val="precast_RC_element6"/>
      <sheetName val="Bed_Class6"/>
      <sheetName val="ACAD_Finishes6"/>
      <sheetName val="Site_Details6"/>
      <sheetName val="Site_Area_Statement6"/>
      <sheetName val="입찰내역_발주처_양식6"/>
      <sheetName val="Basement_Budget6"/>
      <sheetName val="Mat_Cost6"/>
      <sheetName val="TRIAL_BALANCE6"/>
      <sheetName val="[97_207COSRP11_xls][97_207COSR6"/>
      <sheetName val="SC_Cost_FEB_036"/>
      <sheetName val="Bank_Guarantee6"/>
      <sheetName val="Sub_Contractors_list6"/>
      <sheetName val="Strwise_Qty6"/>
      <sheetName val="NMR_(2)6"/>
      <sheetName val="[97_207COSRP11_xls]_97_207COS49"/>
      <sheetName val="[97_207COSRP11_xls]_97_207COS50"/>
      <sheetName val="[97_207COSRP11_xls]_97_207COS51"/>
      <sheetName val="[97_207COSRP11_xls]_97_207COS52"/>
      <sheetName val="[97_207COSRP11_xls]_97_207COS53"/>
      <sheetName val="[97_207COSRP11_xls]_97_207COS54"/>
      <sheetName val="[97_207COSRP11_xls]_97_207COS55"/>
      <sheetName val="[97_207COSRP11_xls]_97_207CO471"/>
      <sheetName val="[97_207COSRP11_xls]_97_207COS56"/>
      <sheetName val="[97_207COSRP11_xls]_97_207CO472"/>
      <sheetName val="[97_207COSRP11_xls]_97_207CO473"/>
      <sheetName val="[97_207COSRP11_xls]_97_207CO474"/>
      <sheetName val="[97_207COSRP11_xls]_97_207CO475"/>
      <sheetName val="[97_207COSRP11_xls]_97_207CO476"/>
      <sheetName val="[97_207COSRP11_xls]_97_207CO477"/>
      <sheetName val="[97_207COSRP11_xls]_97_207CO478"/>
      <sheetName val="[97_207COSRP11_xls]_97_207CO479"/>
      <sheetName val="[97_207COSRP11_xls]_97_207CO480"/>
      <sheetName val="[97_207COSRP11_xls]_97_207CO481"/>
      <sheetName val="[97_207COSRP11_xls]_97_207CO482"/>
      <sheetName val="[97_207COSRP11_xls]_97_207CO483"/>
      <sheetName val="[97_207COSRP11_xls]_97_207CO484"/>
      <sheetName val="[97_207COSRP11_xls]_97_207CO485"/>
      <sheetName val="[97_207COSRP11_xls]_97_207CO486"/>
      <sheetName val="[97_207COSRP11_xls]_97_207CO487"/>
      <sheetName val="[97_207COSRP11_xls]_97_207CO488"/>
      <sheetName val="[97_207COSRP11_xls]_97_207CO489"/>
      <sheetName val="[97_207COSRP11_xls]_97_207CO490"/>
      <sheetName val="[97_207COSRP11_xls]_97_207CO491"/>
      <sheetName val="[97_207COSRP11_xls]_97_207CO492"/>
      <sheetName val="[97_207COSRP11_xls]_97_207CO493"/>
      <sheetName val="[97_207COSRP11_xls]_97_207CO494"/>
      <sheetName val="[97_207COSRP11_xls]_97_207CO495"/>
      <sheetName val="[97_207COSRP11_xls]_97_207CO496"/>
      <sheetName val="[97_207COSRP11_xls]_97_207CO497"/>
      <sheetName val="[97_207COSRP11_xls]_97_207CO498"/>
      <sheetName val="[97_207COSRP11_xls]_97_207CO499"/>
      <sheetName val="[97_207COSRP11_xls]_97_207CO500"/>
      <sheetName val="[97_207COSRP11_xls]_97_207CO501"/>
      <sheetName val="[97_207COSRP11_xls]_97_207CO502"/>
      <sheetName val="[97_207COSRP11_xls]_97_207CO503"/>
      <sheetName val="[97_207COSRP11_xls]_97_207CO504"/>
      <sheetName val="[97_207COSRP11_xls]_97_207CO505"/>
      <sheetName val="[97_207COSRP11_xls]_97_207CO506"/>
      <sheetName val="[97_207COSRP11_xls]_97_207CO507"/>
      <sheetName val="[97_207COSRP11_xls]_97_207CO508"/>
      <sheetName val="[97_207COSRP11_xls]_97_207CO509"/>
      <sheetName val="[97_207COSRP11_xls]_97_207CO510"/>
      <sheetName val="[97_207COSRP11_xls]_97_207CO511"/>
      <sheetName val="[97_207COSRP11_xls]_97_207CO512"/>
      <sheetName val="[97_207COSRP11_xls]_97_207CO513"/>
      <sheetName val="[97_207COSRP11_xls]_97_207CO514"/>
      <sheetName val="[97_207COSRP11_xls]_97_207CO515"/>
      <sheetName val="[97_207COSRP11_xls]_97_207CO516"/>
      <sheetName val="[97_207COSRP11_xls]_97_207CO517"/>
      <sheetName val="[97_207COSRP11_xls]_97_207CO518"/>
      <sheetName val="[97_207COSRP11_xls]_97_207CO519"/>
      <sheetName val="[97_207COSRP11_xls]_97_207CO520"/>
      <sheetName val="[97_207COSRP11_xls]_97_207CO521"/>
      <sheetName val="[97_207COSRP11_xls]_97_207CO522"/>
      <sheetName val="[97_207COSRP11_xls]_97_207CO523"/>
      <sheetName val="[97_207COSRP11_xls]_97_207CO524"/>
      <sheetName val="[97_207COSRP11_xls]_97_207CO525"/>
      <sheetName val="[97_207COSRP11_xls]_97_207CO526"/>
      <sheetName val="[97_207COSRP11_xls]_97_207CO527"/>
      <sheetName val="[97_207COSRP11_xls]_97_207CO528"/>
      <sheetName val="[97_207COSRP11_xls]_97_207CO529"/>
      <sheetName val="[97_207COSRP11_xls]_97_207CO530"/>
      <sheetName val="[97_207COSRP11_xls]_97_207CO531"/>
      <sheetName val="[97_207COSRP11_xls]_97_207CO532"/>
      <sheetName val="[97_207COSRP11_xls]_97_207CO533"/>
      <sheetName val="[97_207COSRP11_xls]_97_207CO534"/>
      <sheetName val="[97_207COSRP11_xls]_97_207CO535"/>
      <sheetName val="[97_207COSRP11_xls]_97_207CO536"/>
      <sheetName val="[97_207COSRP11_xls]_97_207CO537"/>
      <sheetName val="[97_207COSRP11_xls]_97_207CO538"/>
      <sheetName val="[97_207COSRP11_xls]_97_207CO539"/>
      <sheetName val="[97_207COSRP11_xls]_97_207CO540"/>
      <sheetName val="[97_207COSRP11_xls]_97_207CO541"/>
      <sheetName val="[97_207COSRP11_xls]_97_207CO542"/>
      <sheetName val="[97_207COSRP11_xls]_97_207CO543"/>
      <sheetName val="[97_207COSRP11_xls]_97_207CO544"/>
      <sheetName val="[97_207COSRP11_xls]_97_207CO545"/>
      <sheetName val="[97_207COSRP11_xls]_97_207CO546"/>
      <sheetName val="[97_207COSRP11_xls]_97_207CO547"/>
      <sheetName val="[97_207COSRP11_xls]_97_207CO548"/>
      <sheetName val="PROV_SUMS11"/>
      <sheetName val="PROV_QUANTITIES11"/>
      <sheetName val="RES_STEEL_TO11"/>
      <sheetName val="Data_sheet10"/>
      <sheetName val="Per_Unit10"/>
      <sheetName val="MASTER_RATE_ANALYSIS9"/>
      <sheetName val="Fin_Sum11"/>
      <sheetName val="SPT_vs_PHI10"/>
      <sheetName val="Switch_&amp;_Sockets10"/>
      <sheetName val="25mm_PVC_Conduit10"/>
      <sheetName val="FLOOR_JB10"/>
      <sheetName val="Light_Fittings10"/>
      <sheetName val="CABLE_TRAY10"/>
      <sheetName val="32MM_PVC_CONDUIT10"/>
      <sheetName val="Point_Wiring10"/>
      <sheetName val="3RX2_5SQMM_WIRE10"/>
      <sheetName val="3CX2_5SQMM_WIRES10"/>
      <sheetName val="3CX4_00SQMM10"/>
      <sheetName val="Rate_analysis5"/>
      <sheetName val="PPA_Summary10"/>
      <sheetName val="beam-reinft-IIInd_floor10"/>
      <sheetName val="India_F&amp;S_Template10"/>
      <sheetName val="Materials_Cost(PCC)10"/>
      <sheetName val="PRECAST_lightconc-II9"/>
      <sheetName val="Synergy_Sales_Budget9"/>
      <sheetName val="Break_up_Sheet9"/>
      <sheetName val="Paym__Recom9"/>
      <sheetName val="DC_-_DB_&amp;_MCB9"/>
      <sheetName val="inst__-_Pt_Wr_(cl-2)9"/>
      <sheetName val="Su__-_Pt_Wr9"/>
      <sheetName val="Su__Pwr_Wr9"/>
      <sheetName val="Inst__Pwr_Wr_(cl-2)9"/>
      <sheetName val="Su__-_Cor9"/>
      <sheetName val="Ins_-_Cor_9"/>
      <sheetName val="Earth_strip&amp;_fittings9"/>
      <sheetName val="DC__S_&amp;_So9"/>
      <sheetName val="Install_LIFT_SHAFT_9"/>
      <sheetName val="Su_solar_pt9"/>
      <sheetName val="SU_LIFT_SHAFT9"/>
      <sheetName val="DC_-Conduit9"/>
      <sheetName val="DC_wiring9"/>
      <sheetName val="PA-_Consutant_8"/>
      <sheetName val="beam-reinft-machine_rm8"/>
      <sheetName val="WORK_TABLE7"/>
      <sheetName val="ABP_inputs7"/>
      <sheetName val="E_&amp;_R8"/>
      <sheetName val="Appendix_-3-_Rcov__Mat_supplie7"/>
      <sheetName val="Debits_as_on_12_04_087"/>
      <sheetName val="foot-slab_reinft7"/>
      <sheetName val="List_of_contractors7"/>
      <sheetName val="Change_Order_Log7"/>
      <sheetName val="Material_List_7"/>
      <sheetName val="CONC__&amp;_STEEL_-_PILES7"/>
      <sheetName val="GR_slab-reinft7"/>
      <sheetName val="glass_project_concrete10"/>
      <sheetName val="glass_project_reift10"/>
      <sheetName val="glass_project_indices10"/>
      <sheetName val="SBC-BH_199"/>
      <sheetName val="Summary_05068"/>
      <sheetName val="Summary_0607-_31_MAR8"/>
      <sheetName val="Civil_Boq8"/>
      <sheetName val="Pile_cap8"/>
      <sheetName val="BH_12-11-10-139"/>
      <sheetName val="BH_12-11-10-99"/>
      <sheetName val="BH_36-15-379"/>
      <sheetName val="BH_16-35-25-179"/>
      <sheetName val="BH_35-25-179"/>
      <sheetName val="Sheet1_(2)9"/>
      <sheetName val="d-safe_DELUXE8"/>
      <sheetName val="V_O_4_-_PCC_Qty8"/>
      <sheetName val="TBAL9697_-group_wise__sdpl8"/>
      <sheetName val="Abstract_Sheet8"/>
      <sheetName val="Mix_Design8"/>
      <sheetName val="RCC,Ret__Wall8"/>
      <sheetName val="Form_68"/>
      <sheetName val="PointNo_58"/>
      <sheetName val="Legal_Risk_Analysis8"/>
      <sheetName val="Load_Details-220kV7"/>
      <sheetName val="Fill_this_out_first___7"/>
      <sheetName val="REVISED4A_PROG_PERF-SITE_1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Direct_selling_cost7"/>
      <sheetName val="BOQ_(2)7"/>
      <sheetName val="CABLE_DATA7"/>
      <sheetName val="Staff_Acco_7"/>
      <sheetName val="Pipe_Supports7"/>
      <sheetName val="final_abstract7"/>
      <sheetName val="INPUT_SHEET7"/>
      <sheetName val="Rev_S1_Abstract7"/>
      <sheetName val="Quantity_Abstract7"/>
      <sheetName val="M-Book_for_Conc7"/>
      <sheetName val="M-Book_for_FW7"/>
      <sheetName val="Project_Budget_Worksheet8"/>
      <sheetName val="BOQ_-II_ph_27"/>
      <sheetName val="d-safe_specs7"/>
      <sheetName val="class_&amp;_category7"/>
      <sheetName val="SSR_&amp;_NSSR_Market_final7"/>
      <sheetName val="Fee_Rate_Summary7"/>
      <sheetName val="STAFFSCHED_7"/>
      <sheetName val="220_11__BS_7"/>
      <sheetName val="Metso_-_Forth_&amp;_Slurry_11_02_17"/>
      <sheetName val="precast_RC_element7"/>
      <sheetName val="Bed_Class7"/>
      <sheetName val="ACAD_Finishes7"/>
      <sheetName val="Site_Details7"/>
      <sheetName val="Site_Area_Statement7"/>
      <sheetName val="입찰내역_발주처_양식7"/>
      <sheetName val="Basement_Budget7"/>
      <sheetName val="Mat_Cost7"/>
      <sheetName val="TRIAL_BALANCE7"/>
      <sheetName val="[97_207COSRP11_xls][97_207COSR7"/>
      <sheetName val="SC_Cost_FEB_037"/>
      <sheetName val="Bank_Guarantee7"/>
      <sheetName val="Sub_Contractors_list7"/>
      <sheetName val="Strwise_Qty7"/>
      <sheetName val="NMR_(2)7"/>
      <sheetName val="[97_207COSRP11_xls]_97_207COS57"/>
      <sheetName val="[97_207COSRP11_xls]_97_207COS58"/>
      <sheetName val="[97_207COSRP11_xls]_97_207COS59"/>
      <sheetName val="[97_207COSRP11_xls]_97_207COS60"/>
      <sheetName val="[97_207COSRP11_xls]_97_207COS61"/>
      <sheetName val="[97_207COSRP11_xls]_97_207COS62"/>
      <sheetName val="[97_207COSRP11_xls]_97_207COS63"/>
      <sheetName val="[97_207COSRP11_xls]_97_207CO549"/>
      <sheetName val="[97_207COSRP11_xls]_97_207COS64"/>
      <sheetName val="[97_207COSRP11_xls]_97_207CO550"/>
      <sheetName val="[97_207COSRP11_xls]_97_207CO551"/>
      <sheetName val="[97_207COSRP11_xls]_97_207CO552"/>
      <sheetName val="[97_207COSRP11_xls]_97_207CO553"/>
      <sheetName val="[97_207COSRP11_xls]_97_207CO554"/>
      <sheetName val="[97_207COSRP11_xls]_97_207CO555"/>
      <sheetName val="[97_207COSRP11_xls]_97_207CO556"/>
      <sheetName val="[97_207COSRP11_xls]_97_207CO557"/>
      <sheetName val="[97_207COSRP11_xls]_97_207CO558"/>
      <sheetName val="[97_207COSRP11_xls]_97_207CO559"/>
      <sheetName val="[97_207COSRP11_xls]_97_207CO560"/>
      <sheetName val="[97_207COSRP11_xls]_97_207CO561"/>
      <sheetName val="[97_207COSRP11_xls]_97_207CO562"/>
      <sheetName val="[97_207COSRP11_xls]_97_207CO563"/>
      <sheetName val="[97_207COSRP11_xls]_97_207CO564"/>
      <sheetName val="[97_207COSRP11_xls]_97_207CO565"/>
      <sheetName val="[97_207COSRP11_xls]_97_207CO566"/>
      <sheetName val="[97_207COSRP11_xls]_97_207CO567"/>
      <sheetName val="[97_207COSRP11_xls]_97_207CO568"/>
      <sheetName val="[97_207COSRP11_xls]_97_207CO569"/>
      <sheetName val="[97_207COSRP11_xls]_97_207CO570"/>
      <sheetName val="[97_207COSRP11_xls]_97_207CO571"/>
      <sheetName val="[97_207COSRP11_xls]_97_207CO572"/>
      <sheetName val="[97_207COSRP11_xls]_97_207CO573"/>
      <sheetName val="[97_207COSRP11_xls]_97_207CO574"/>
      <sheetName val="[97_207COSRP11_xls]_97_207CO575"/>
      <sheetName val="[97_207COSRP11_xls]_97_207CO576"/>
      <sheetName val="[97_207COSRP11_xls]_97_207CO577"/>
      <sheetName val="[97_207COSRP11_xls]_97_207CO578"/>
      <sheetName val="[97_207COSRP11_xls]_97_207CO579"/>
      <sheetName val="[97_207COSRP11_xls]_97_207CO580"/>
      <sheetName val="[97_207COSRP11_xls]_97_207CO581"/>
      <sheetName val="[97_207COSRP11_xls]_97_207CO582"/>
      <sheetName val="[97_207COSRP11_xls]_97_207CO583"/>
      <sheetName val="[97_207COSRP11_xls]_97_207CO584"/>
      <sheetName val="[97_207COSRP11_xls]_97_207CO585"/>
      <sheetName val="[97_207COSRP11_xls]_97_207CO586"/>
      <sheetName val="[97_207COSRP11_xls]_97_207CO587"/>
      <sheetName val="[97_207COSRP11_xls]_97_207CO588"/>
      <sheetName val="[97_207COSRP11_xls]_97_207CO589"/>
      <sheetName val="[97_207COSRP11_xls]_97_207CO590"/>
      <sheetName val="[97_207COSRP11_xls]_97_207CO591"/>
      <sheetName val="[97_207COSRP11_xls]_97_207CO592"/>
      <sheetName val="[97_207COSRP11_xls]_97_207CO593"/>
      <sheetName val="[97_207COSRP11_xls]_97_207CO594"/>
      <sheetName val="[97_207COSRP11_xls]_97_207CO595"/>
      <sheetName val="[97_207COSRP11_xls]_97_207CO596"/>
      <sheetName val="[97_207COSRP11_xls]_97_207CO597"/>
      <sheetName val="[97_207COSRP11_xls]_97_207CO598"/>
      <sheetName val="[97_207COSRP11_xls]_97_207CO599"/>
      <sheetName val="[97_207COSRP11_xls]_97_207CO600"/>
      <sheetName val="[97_207COSRP11_xls]_97_207CO601"/>
      <sheetName val="[97_207COSRP11_xls]_97_207CO602"/>
      <sheetName val="[97_207COSRP11_xls]_97_207CO603"/>
      <sheetName val="[97_207COSRP11_xls]_97_207CO604"/>
      <sheetName val="[97_207COSRP11_xls]_97_207CO605"/>
      <sheetName val="[97_207COSRP11_xls]_97_207CO606"/>
      <sheetName val="[97_207COSRP11_xls]_97_207CO607"/>
      <sheetName val="[97_207COSRP11_xls]_97_207CO608"/>
      <sheetName val="[97_207COSRP11_xls]_97_207CO609"/>
      <sheetName val="[97_207COSRP11_xls]_97_207CO610"/>
      <sheetName val="[97_207COSRP11_xls]_97_207CO611"/>
      <sheetName val="[97_207COSRP11_xls]_97_207CO612"/>
      <sheetName val="[97_207COSRP11_xls]_97_207CO613"/>
      <sheetName val="[97_207COSRP11_xls]_97_207CO614"/>
      <sheetName val="[97_207COSRP11_xls]_97_207CO615"/>
      <sheetName val="[97_207COSRP11_xls]_97_207CO616"/>
      <sheetName val="[97_207COSRP11_xls]_97_207CO617"/>
      <sheetName val="[97_207COSRP11_xls]_97_207CO618"/>
      <sheetName val="[97_207COSRP11_xls]_97_207CO619"/>
      <sheetName val="[97_207COSRP11_xls]_97_207CO620"/>
      <sheetName val="[97_207COSRP11_xls]_97_207CO621"/>
      <sheetName val="[97_207COSRP11_xls]_97_207CO622"/>
      <sheetName val="[97_207COSRP11_xls]_97_207CO623"/>
      <sheetName val="[97_207COSRP11_xls]_97_207CO624"/>
      <sheetName val="[97_207COSRP11_xls]_97_207CO625"/>
      <sheetName val="[97_207COSRP11_xls]_97_207CO626"/>
      <sheetName val="PROV_SUMS12"/>
      <sheetName val="PROV_QUANTITIES12"/>
      <sheetName val="RES_STEEL_TO12"/>
      <sheetName val="Data_sheet11"/>
      <sheetName val="Per_Unit11"/>
      <sheetName val="MASTER_RATE_ANALYSIS10"/>
      <sheetName val="Fin_Sum12"/>
      <sheetName val="SPT_vs_PHI11"/>
      <sheetName val="Switch_&amp;_Sockets11"/>
      <sheetName val="25mm_PVC_Conduit11"/>
      <sheetName val="FLOOR_JB11"/>
      <sheetName val="Light_Fittings11"/>
      <sheetName val="CABLE_TRAY11"/>
      <sheetName val="32MM_PVC_CONDUIT11"/>
      <sheetName val="Point_Wiring11"/>
      <sheetName val="3RX2_5SQMM_WIRE11"/>
      <sheetName val="3CX2_5SQMM_WIRES11"/>
      <sheetName val="3CX4_00SQMM11"/>
      <sheetName val="Rate_analysis6"/>
      <sheetName val="PPA_Summary11"/>
      <sheetName val="beam-reinft-IIInd_floor11"/>
      <sheetName val="India_F&amp;S_Template11"/>
      <sheetName val="Materials_Cost(PCC)11"/>
      <sheetName val="PRECAST_lightconc-II10"/>
      <sheetName val="Synergy_Sales_Budget10"/>
      <sheetName val="Break_up_Sheet10"/>
      <sheetName val="Paym__Recom10"/>
      <sheetName val="DC_-_DB_&amp;_MCB10"/>
      <sheetName val="inst__-_Pt_Wr_(cl-2)10"/>
      <sheetName val="Su__-_Pt_Wr10"/>
      <sheetName val="Su__Pwr_Wr10"/>
      <sheetName val="Inst__Pwr_Wr_(cl-2)10"/>
      <sheetName val="Su__-_Cor10"/>
      <sheetName val="Ins_-_Cor_10"/>
      <sheetName val="Earth_strip&amp;_fittings10"/>
      <sheetName val="DC__S_&amp;_So10"/>
      <sheetName val="Install_LIFT_SHAFT_10"/>
      <sheetName val="Su_solar_pt10"/>
      <sheetName val="SU_LIFT_SHAFT10"/>
      <sheetName val="DC_-Conduit10"/>
      <sheetName val="DC_wiring10"/>
      <sheetName val="PA-_Consutant_9"/>
      <sheetName val="beam-reinft-machine_rm9"/>
      <sheetName val="WORK_TABLE8"/>
      <sheetName val="ABP_inputs8"/>
      <sheetName val="E_&amp;_R9"/>
      <sheetName val="Appendix_-3-_Rcov__Mat_supplie8"/>
      <sheetName val="Debits_as_on_12_04_088"/>
      <sheetName val="foot-slab_reinft8"/>
      <sheetName val="List_of_contractors8"/>
      <sheetName val="Change_Order_Log8"/>
      <sheetName val="Material_List_8"/>
      <sheetName val="CONC__&amp;_STEEL_-_PILES8"/>
      <sheetName val="GR_slab-reinft8"/>
      <sheetName val="glass_project_concrete11"/>
      <sheetName val="glass_project_reift11"/>
      <sheetName val="glass_project_indices11"/>
      <sheetName val="SBC-BH_1910"/>
      <sheetName val="Summary_05069"/>
      <sheetName val="Summary_0607-_31_MAR9"/>
      <sheetName val="Civil_Boq9"/>
      <sheetName val="Pile_cap9"/>
      <sheetName val="BH_12-11-10-1310"/>
      <sheetName val="BH_12-11-10-910"/>
      <sheetName val="BH_36-15-3710"/>
      <sheetName val="BH_16-35-25-1710"/>
      <sheetName val="BH_35-25-1710"/>
      <sheetName val="Sheet1_(2)10"/>
      <sheetName val="d-safe_DELUXE9"/>
      <sheetName val="V_O_4_-_PCC_Qty9"/>
      <sheetName val="TBAL9697_-group_wise__sdpl9"/>
      <sheetName val="Abstract_Sheet9"/>
      <sheetName val="Mix_Design9"/>
      <sheetName val="RCC,Ret__Wall9"/>
      <sheetName val="Form_69"/>
      <sheetName val="PointNo_59"/>
      <sheetName val="Legal_Risk_Analysis9"/>
      <sheetName val="Load_Details-220kV8"/>
      <sheetName val="Fill_this_out_first___8"/>
      <sheetName val="REVISED4A_PROG_PERF-SITE_1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Direct_selling_cost8"/>
      <sheetName val="BOQ_(2)8"/>
      <sheetName val="CABLE_DATA8"/>
      <sheetName val="Staff_Acco_8"/>
      <sheetName val="Pipe_Supports8"/>
      <sheetName val="final_abstract8"/>
      <sheetName val="INPUT_SHEET8"/>
      <sheetName val="Rev_S1_Abstract8"/>
      <sheetName val="Quantity_Abstract8"/>
      <sheetName val="M-Book_for_Conc8"/>
      <sheetName val="M-Book_for_FW8"/>
      <sheetName val="Project_Budget_Worksheet9"/>
      <sheetName val="BOQ_-II_ph_28"/>
      <sheetName val="d-safe_specs8"/>
      <sheetName val="class_&amp;_category8"/>
      <sheetName val="SSR_&amp;_NSSR_Market_final8"/>
      <sheetName val="Fee_Rate_Summary8"/>
      <sheetName val="STAFFSCHED_8"/>
      <sheetName val="220_11__BS_8"/>
      <sheetName val="Metso_-_Forth_&amp;_Slurry_11_02_18"/>
      <sheetName val="precast_RC_element8"/>
      <sheetName val="Bed_Class8"/>
      <sheetName val="ACAD_Finishes8"/>
      <sheetName val="Site_Details8"/>
      <sheetName val="Site_Area_Statement8"/>
      <sheetName val="입찰내역_발주처_양식8"/>
      <sheetName val="Basement_Budget8"/>
      <sheetName val="Mat_Cost8"/>
      <sheetName val="TRIAL_BALANCE8"/>
      <sheetName val="[97_207COSRP11_xls][97_207COSR8"/>
      <sheetName val="SC_Cost_FEB_038"/>
      <sheetName val="Bank_Guarantee8"/>
      <sheetName val="Sub_Contractors_list8"/>
      <sheetName val="Strwise_Qty8"/>
      <sheetName val="NMR_(2)8"/>
      <sheetName val="[97_207COSRP11_xls]_97_207COS65"/>
      <sheetName val="[97_207COSRP11_xls]_97_207COS66"/>
      <sheetName val="[97_207COSRP11_xls]_97_207COS67"/>
      <sheetName val="[97_207COSRP11_xls]_97_207COS68"/>
      <sheetName val="[97_207COSRP11_xls]_97_207COS69"/>
      <sheetName val="[97_207COSRP11_xls]_97_207COS70"/>
      <sheetName val="[97_207COSRP11_xls]_97_207COS71"/>
      <sheetName val="[97_207COSRP11_xls]_97_207CO627"/>
      <sheetName val="[97_207COSRP11_xls]_97_207COS72"/>
      <sheetName val="[97_207COSRP11_xls]_97_207CO628"/>
      <sheetName val="[97_207COSRP11_xls]_97_207CO629"/>
      <sheetName val="[97_207COSRP11_xls]_97_207CO630"/>
      <sheetName val="[97_207COSRP11_xls]_97_207CO631"/>
      <sheetName val="[97_207COSRP11_xls]_97_207CO632"/>
      <sheetName val="[97_207COSRP11_xls]_97_207CO633"/>
      <sheetName val="[97_207COSRP11_xls]_97_207CO634"/>
      <sheetName val="[97_207COSRP11_xls]_97_207CO635"/>
      <sheetName val="[97_207COSRP11_xls]_97_207CO636"/>
      <sheetName val="[97_207COSRP11_xls]_97_207CO637"/>
      <sheetName val="[97_207COSRP11_xls]_97_207CO638"/>
      <sheetName val="[97_207COSRP11_xls]_97_207CO639"/>
      <sheetName val="[97_207COSRP11_xls]_97_207CO640"/>
      <sheetName val="[97_207COSRP11_xls]_97_207CO641"/>
      <sheetName val="[97_207COSRP11_xls]_97_207CO642"/>
      <sheetName val="[97_207COSRP11_xls]_97_207CO643"/>
      <sheetName val="[97_207COSRP11_xls]_97_207CO644"/>
      <sheetName val="[97_207COSRP11_xls]_97_207CO645"/>
      <sheetName val="[97_207COSRP11_xls]_97_207CO646"/>
      <sheetName val="[97_207COSRP11_xls]_97_207CO647"/>
      <sheetName val="[97_207COSRP11_xls]_97_207CO648"/>
      <sheetName val="[97_207COSRP11_xls]_97_207CO649"/>
      <sheetName val="[97_207COSRP11_xls]_97_207CO650"/>
      <sheetName val="[97_207COSRP11_xls]_97_207CO651"/>
      <sheetName val="[97_207COSRP11_xls]_97_207CO652"/>
      <sheetName val="[97_207COSRP11_xls]_97_207CO653"/>
      <sheetName val="[97_207COSRP11_xls]_97_207CO654"/>
      <sheetName val="[97_207COSRP11_xls]_97_207CO655"/>
      <sheetName val="[97_207COSRP11_xls]_97_207CO656"/>
      <sheetName val="[97_207COSRP11_xls]_97_207CO657"/>
      <sheetName val="[97_207COSRP11_xls]_97_207CO658"/>
      <sheetName val="[97_207COSRP11_xls]_97_207CO659"/>
      <sheetName val="[97_207COSRP11_xls]_97_207CO660"/>
      <sheetName val="[97_207COSRP11_xls]_97_207CO661"/>
      <sheetName val="[97_207COSRP11_xls]_97_207CO662"/>
      <sheetName val="[97_207COSRP11_xls]_97_207CO663"/>
      <sheetName val="[97_207COSRP11_xls]_97_207CO664"/>
      <sheetName val="[97_207COSRP11_xls]_97_207CO665"/>
      <sheetName val="[97_207COSRP11_xls]_97_207CO666"/>
      <sheetName val="[97_207COSRP11_xls]_97_207CO667"/>
      <sheetName val="[97_207COSRP11_xls]_97_207CO668"/>
      <sheetName val="[97_207COSRP11_xls]_97_207CO669"/>
      <sheetName val="[97_207COSRP11_xls]_97_207CO670"/>
      <sheetName val="[97_207COSRP11_xls]_97_207CO671"/>
      <sheetName val="[97_207COSRP11_xls]_97_207CO672"/>
      <sheetName val="[97_207COSRP11_xls]_97_207CO673"/>
      <sheetName val="[97_207COSRP11_xls]_97_207CO674"/>
      <sheetName val="[97_207COSRP11_xls]_97_207CO675"/>
      <sheetName val="[97_207COSRP11_xls]_97_207CO676"/>
      <sheetName val="[97_207COSRP11_xls]_97_207CO677"/>
      <sheetName val="[97_207COSRP11_xls]_97_207CO678"/>
      <sheetName val="[97_207COSRP11_xls]_97_207CO679"/>
      <sheetName val="[97_207COSRP11_xls]_97_207CO680"/>
      <sheetName val="[97_207COSRP11_xls]B________659"/>
      <sheetName val="[97_207COSRP11_xls]B________660"/>
      <sheetName val="[97_207COSRP11_xls]_97_207CO681"/>
      <sheetName val="[97_207COSRP11_xls]B________661"/>
      <sheetName val="[97_207COSRP11_xls]B________662"/>
      <sheetName val="[97_207COSRP11_xls]_97_207CO682"/>
      <sheetName val="[97_207COSRP11_xls]_97_207CO683"/>
      <sheetName val="[97_207COSRP11_xls]B________663"/>
      <sheetName val="[97_207COSRP11_xls]B________664"/>
      <sheetName val="[97_207COSRP11_xls]_97_207CO684"/>
      <sheetName val="[97_207COSRP11_xls]_97_207CO685"/>
      <sheetName val="[97_207COSRP11_xls]B________665"/>
      <sheetName val="[97_207COSRP11_xls]B________666"/>
      <sheetName val="[97_207COSRP11_xls]_97_207CO686"/>
      <sheetName val="[97_207COSRP11_xls]B________667"/>
      <sheetName val="[97_207COSRP11_xls]B________668"/>
      <sheetName val="[97_207COSRP11_xls]_97_207CO687"/>
      <sheetName val="[97_207COSRP11_xls]B________669"/>
      <sheetName val="[97_207COSRP11_xls]B________670"/>
      <sheetName val="[97_207COSRP11_xls]_97_207CO688"/>
      <sheetName val="[97_207COSRP11_xls]B________671"/>
      <sheetName val="[97_207COSRP11_xls]B________672"/>
      <sheetName val="[97_207COSRP11_xls]_97_207CO689"/>
      <sheetName val="[97_207COSRP11_xls]_97_207CO690"/>
      <sheetName val="[97_207COSRP11_xls]B________673"/>
      <sheetName val="[97_207COSRP11_xls]B________674"/>
      <sheetName val="[97_207COSRP11_xls]B________675"/>
      <sheetName val="[97_207COSRP11_xls]B________676"/>
      <sheetName val="[97_207COSRP11_xls]_97_207CO691"/>
      <sheetName val="[97_207COSRP11_xls]_97_207CO692"/>
      <sheetName val="[97_207COSRP11_xls]_97_207CO693"/>
      <sheetName val="[97_207COSRP11_xls]B________677"/>
      <sheetName val="[97_207COSRP11_xls]B________678"/>
      <sheetName val="[97_207COSRP11_xls]_97_207CO694"/>
      <sheetName val="[97_207COSRP11_xls]_97_207CO695"/>
      <sheetName val="[97_207COSRP11_xls]_97_207CO696"/>
      <sheetName val="[97_207COSRP11_xls]B________679"/>
      <sheetName val="[97_207COSRP11_xls]B________680"/>
      <sheetName val="[97_207COSRP11_xls]_97_207CO697"/>
      <sheetName val="[97_207COSRP11_xls]_97_207CO698"/>
      <sheetName val="[97_207COSRP11_xls]B________681"/>
      <sheetName val="[97_207COSRP11_xls]B________682"/>
      <sheetName val="[97_207COSRP11_xls]_97_207CO699"/>
      <sheetName val="[97_207COSRP11_xls]_97_207CO700"/>
      <sheetName val="[97_207COSRP11_xls]B________683"/>
      <sheetName val="[97_207COSRP11_xls]B________684"/>
      <sheetName val="[97_207COSRP11_xls]_97_207CO701"/>
      <sheetName val="[97_207COSRP11_xls]_97_207CO702"/>
      <sheetName val="[97_207COSRP11_xls]_97_207CO703"/>
      <sheetName val="[97_207COSRP11_xls]_97_207CO704"/>
      <sheetName val="PROV_SUMS13"/>
      <sheetName val="PROV_QUANTITIES13"/>
      <sheetName val="RES_STEEL_TO13"/>
      <sheetName val="Data_sheet12"/>
      <sheetName val="Per_Unit12"/>
      <sheetName val="MASTER_RATE_ANALYSIS11"/>
      <sheetName val="Fin_Sum13"/>
      <sheetName val="SPT_vs_PHI12"/>
      <sheetName val="Switch_&amp;_Sockets12"/>
      <sheetName val="25mm_PVC_Conduit12"/>
      <sheetName val="FLOOR_JB12"/>
      <sheetName val="Light_Fittings12"/>
      <sheetName val="CABLE_TRAY12"/>
      <sheetName val="32MM_PVC_CONDUIT12"/>
      <sheetName val="Point_Wiring12"/>
      <sheetName val="3RX2_5SQMM_WIRE12"/>
      <sheetName val="3CX2_5SQMM_WIRES12"/>
      <sheetName val="3CX4_00SQMM12"/>
      <sheetName val="Rate_analysis7"/>
      <sheetName val="PPA_Summary12"/>
      <sheetName val="beam-reinft-IIInd_floor12"/>
      <sheetName val="India_F&amp;S_Template12"/>
      <sheetName val="Materials_Cost(PCC)12"/>
      <sheetName val="PRECAST_lightconc-II11"/>
      <sheetName val="Synergy_Sales_Budget11"/>
      <sheetName val="Break_up_Sheet11"/>
      <sheetName val="Paym__Recom11"/>
      <sheetName val="DC_-_DB_&amp;_MCB11"/>
      <sheetName val="inst__-_Pt_Wr_(cl-2)11"/>
      <sheetName val="Su__-_Pt_Wr11"/>
      <sheetName val="Su__Pwr_Wr11"/>
      <sheetName val="Inst__Pwr_Wr_(cl-2)11"/>
      <sheetName val="Su__-_Cor11"/>
      <sheetName val="Ins_-_Cor_11"/>
      <sheetName val="Earth_strip&amp;_fittings11"/>
      <sheetName val="DC__S_&amp;_So11"/>
      <sheetName val="Install_LIFT_SHAFT_11"/>
      <sheetName val="Su_solar_pt11"/>
      <sheetName val="SU_LIFT_SHAFT11"/>
      <sheetName val="DC_-Conduit11"/>
      <sheetName val="DC_wiring11"/>
      <sheetName val="PA-_Consutant_10"/>
      <sheetName val="beam-reinft-machine_rm10"/>
      <sheetName val="WORK_TABLE9"/>
      <sheetName val="ABP_inputs9"/>
      <sheetName val="E_&amp;_R10"/>
      <sheetName val="Appendix_-3-_Rcov__Mat_supplie9"/>
      <sheetName val="Debits_as_on_12_04_089"/>
      <sheetName val="foot-slab_reinft9"/>
      <sheetName val="List_of_contractors9"/>
      <sheetName val="Change_Order_Log9"/>
      <sheetName val="Material_List_9"/>
      <sheetName val="CONC__&amp;_STEEL_-_PILES9"/>
      <sheetName val="GR_slab-reinft9"/>
      <sheetName val="glass_project_concrete12"/>
      <sheetName val="glass_project_reift12"/>
      <sheetName val="glass_project_indices12"/>
      <sheetName val="SBC-BH_1911"/>
      <sheetName val="Summary_050610"/>
      <sheetName val="Summary_0607-_31_MAR10"/>
      <sheetName val="Civil_Boq10"/>
      <sheetName val="Pile_cap10"/>
      <sheetName val="BH_12-11-10-1311"/>
      <sheetName val="BH_12-11-10-911"/>
      <sheetName val="BH_36-15-3711"/>
      <sheetName val="BH_16-35-25-1711"/>
      <sheetName val="BH_35-25-1711"/>
      <sheetName val="Sheet1_(2)11"/>
      <sheetName val="d-safe_DELUXE10"/>
      <sheetName val="V_O_4_-_PCC_Qty10"/>
      <sheetName val="TBAL9697_-group_wise__sdpl10"/>
      <sheetName val="Abstract_Sheet10"/>
      <sheetName val="Mix_Design10"/>
      <sheetName val="RCC,Ret__Wall10"/>
      <sheetName val="Form_610"/>
      <sheetName val="PointNo_510"/>
      <sheetName val="Legal_Risk_Analysis10"/>
      <sheetName val="Load_Details-220kV9"/>
      <sheetName val="Fill_this_out_first___9"/>
      <sheetName val="REVISED4A_PROG_PERF-SITE_1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Direct_selling_cost9"/>
      <sheetName val="BOQ_(2)9"/>
      <sheetName val="CABLE_DATA9"/>
      <sheetName val="Staff_Acco_9"/>
      <sheetName val="Pipe_Supports9"/>
      <sheetName val="final_abstract9"/>
      <sheetName val="INPUT_SHEET9"/>
      <sheetName val="Rev_S1_Abstract9"/>
      <sheetName val="Quantity_Abstract9"/>
      <sheetName val="M-Book_for_Conc9"/>
      <sheetName val="M-Book_for_FW9"/>
      <sheetName val="Project_Budget_Worksheet10"/>
      <sheetName val="BOQ_-II_ph_29"/>
      <sheetName val="d-safe_specs9"/>
      <sheetName val="class_&amp;_category9"/>
      <sheetName val="SSR_&amp;_NSSR_Market_final9"/>
      <sheetName val="Fee_Rate_Summary9"/>
      <sheetName val="STAFFSCHED_9"/>
      <sheetName val="220_11__BS_9"/>
      <sheetName val="Metso_-_Forth_&amp;_Slurry_11_02_19"/>
      <sheetName val="precast_RC_element9"/>
      <sheetName val="Bed_Class9"/>
      <sheetName val="ACAD_Finishes9"/>
      <sheetName val="Site_Details9"/>
      <sheetName val="Site_Area_Statement9"/>
      <sheetName val="입찰내역_발주처_양식9"/>
      <sheetName val="Basement_Budget9"/>
      <sheetName val="Mat_Cost9"/>
      <sheetName val="TRIAL_BALANCE9"/>
      <sheetName val="[97_207COSRP11_xls][97_207COSR9"/>
      <sheetName val="SC_Cost_FEB_039"/>
      <sheetName val="Bank_Guarantee9"/>
      <sheetName val="Sub_Contractors_list9"/>
      <sheetName val="Strwise_Qty9"/>
      <sheetName val="NMR_(2)9"/>
      <sheetName val="[97_207COSRP11_xls]_97_207COS73"/>
      <sheetName val="[97_207COSRP11_xls]B________685"/>
      <sheetName val="[97_207COSRP11_xls]B________686"/>
      <sheetName val="[97_207COSRP11_xls]_97_207COS74"/>
      <sheetName val="[97_207COSRP11_xls]_97_207COS75"/>
      <sheetName val="[97_207COSRP11_xls]_97_207COS76"/>
      <sheetName val="[97_207COSRP11_xls]B________687"/>
      <sheetName val="[97_207COSRP11_xls]B________688"/>
      <sheetName val="[97_207COSRP11_xls]_97_207COS77"/>
      <sheetName val="[97_207COSRP11_xls]_97_207COS78"/>
      <sheetName val="[97_207COSRP11_xls]B________689"/>
      <sheetName val="[97_207COSRP11_xls]B________690"/>
      <sheetName val="[97_207COSRP11_xls]_97_207COS79"/>
      <sheetName val="[97_207COSRP11_xls]_97_207CO705"/>
      <sheetName val="[97_207COSRP11_xls]_97_207COS80"/>
      <sheetName val="[97_207COSRP11_xls]_97_207CO706"/>
      <sheetName val="[97_207COSRP11_xls]_97_207CO707"/>
      <sheetName val="[97_207COSRP11_xls]_97_207CO708"/>
      <sheetName val="[97_207COSRP11_xls]_97_207CO709"/>
      <sheetName val="[97_207COSRP11_xls]B________691"/>
      <sheetName val="[97_207COSRP11_xls]B________692"/>
      <sheetName val="[97_207COSRP11_xls]_97_207CO710"/>
      <sheetName val="[97_207COSRP11_xls]B________693"/>
      <sheetName val="[97_207COSRP11_xls]B________694"/>
      <sheetName val="[97_207COSRP11_xls]_97_207CO711"/>
      <sheetName val="[97_207COSRP11_xls]_97_207CO712"/>
      <sheetName val="[97_207COSRP11_xls]B________695"/>
      <sheetName val="[97_207COSRP11_xls]B________696"/>
      <sheetName val="[97_207COSRP11_xls]_97_207CO713"/>
      <sheetName val="[97_207COSRP11_xls]_97_207CO714"/>
      <sheetName val="[97_207COSRP11_xls]B________697"/>
      <sheetName val="[97_207COSRP11_xls]B________698"/>
      <sheetName val="[97_207COSRP11_xls]_97_207CO715"/>
      <sheetName val="[97_207COSRP11_xls]_97_207CO716"/>
      <sheetName val="[97_207COSRP11_xls]_97_207CO717"/>
      <sheetName val="[97_207COSRP11_xls]_97_207CO718"/>
      <sheetName val="[97_207COSRP11_xls]B________699"/>
      <sheetName val="[97_207COSRP11_xls]B________700"/>
      <sheetName val="[97_207COSRP11_xls]_97_207CO719"/>
      <sheetName val="[97_207COSRP11_xls]B________701"/>
      <sheetName val="[97_207COSRP11_xls]B________702"/>
      <sheetName val="[97_207COSRP11_xls]_97_207CO720"/>
      <sheetName val="[97_207COSRP11_xls]B________703"/>
      <sheetName val="[97_207COSRP11_xls]B________704"/>
      <sheetName val="[97_207COSRP11_xls]_97_207CO721"/>
      <sheetName val="[97_207COSRP11_xls]B________705"/>
      <sheetName val="[97_207COSRP11_xls]B________706"/>
      <sheetName val="[97_207COSRP11_xls]_97_207CO722"/>
      <sheetName val="[97_207COSRP11_xls]_97_207CO723"/>
      <sheetName val="[97_207COSRP11_xls]B________707"/>
      <sheetName val="[97_207COSRP11_xls]B________708"/>
      <sheetName val="[97_207COSRP11_xls]_97_207CO724"/>
      <sheetName val="[97_207COSRP11_xls]_97_207CO725"/>
      <sheetName val="[97_207COSRP11_xls]B________709"/>
      <sheetName val="[97_207COSRP11_xls]B________710"/>
      <sheetName val="[97_207COSRP11_xls]_97_207CO726"/>
      <sheetName val="[97_207COSRP11_xls]_97_207CO727"/>
      <sheetName val="[97_207COSRP11_xls]_97_207CO728"/>
      <sheetName val="[97_207COSRP11_xls]B________711"/>
      <sheetName val="[97_207COSRP11_xls]B________712"/>
      <sheetName val="[97_207COSRP11_xls]_97_207CO729"/>
      <sheetName val="[97_207COSRP11_xls]_97_207CO730"/>
      <sheetName val="[97_207COSRP11_xls]_97_207CO731"/>
      <sheetName val="[97_207COSRP11_xls]_97_207CO732"/>
      <sheetName val="[97_207COSRP11_xls]B________713"/>
      <sheetName val="[97_207COSRP11_xls]B________714"/>
      <sheetName val="[97_207COSRP11_xls]_97_207CO733"/>
      <sheetName val="[97_207COSRP11_xls]_97_207CO734"/>
      <sheetName val="[97_207COSRP11_xls]B________715"/>
      <sheetName val="[97_207COSRP11_xls]B________716"/>
      <sheetName val="[97_207COSRP11_xls]_97_207CO735"/>
      <sheetName val="[97_207COSRP11_xls]_97_207CO736"/>
      <sheetName val="[97_207COSRP11_xls]B________717"/>
      <sheetName val="[97_207COSRP11_xls]B________718"/>
      <sheetName val="[97_207COSRP11_xls]_97_207CO737"/>
      <sheetName val="[97_207COSRP11_xls]_97_207CO738"/>
      <sheetName val="[97_207COSRP11_xls]B________719"/>
      <sheetName val="[97_207COSRP11_xls]B________720"/>
      <sheetName val="[97_207COSRP11_xls]_97_207CO739"/>
      <sheetName val="[97_207COSRP11_xls]_97_207CO740"/>
      <sheetName val="[97_207COSRP11_xls]B________721"/>
      <sheetName val="[97_207COSRP11_xls]B________722"/>
      <sheetName val="[97_207COSRP11_xls]_97_207CO741"/>
      <sheetName val="[97_207COSRP11_xls]_97_207CO742"/>
      <sheetName val="[97_207COSRP11_xls]B________723"/>
      <sheetName val="[97_207COSRP11_xls]B________724"/>
      <sheetName val="[97_207COSRP11_xls]_97_207CO743"/>
      <sheetName val="[97_207COSRP11_xls]_97_207CO744"/>
      <sheetName val="[97_207COSRP11_xls]_97_207CO745"/>
      <sheetName val="[97_207COSRP11_xls]B________725"/>
      <sheetName val="[97_207COSRP11_xls]B________726"/>
      <sheetName val="[97_207COSRP11_xls]_97_207CO746"/>
      <sheetName val="[97_207COSRP11_xls]_97_207CO747"/>
      <sheetName val="[97_207COSRP11_xls]B________727"/>
      <sheetName val="[97_207COSRP11_xls]B________728"/>
      <sheetName val="[97_207COSRP11_xls]_97_207CO748"/>
      <sheetName val="[97_207COSRP11_xls]_97_207CO749"/>
      <sheetName val="[97_207COSRP11_xls]_97_207CO750"/>
      <sheetName val="[97_207COSRP11_xls]B________729"/>
      <sheetName val="[97_207COSRP11_xls]B________730"/>
      <sheetName val="[97_207COSRP11_xls]_97_207CO751"/>
      <sheetName val="[97_207COSRP11_xls]_97_207CO752"/>
      <sheetName val="[97_207COSRP11_xls]B________731"/>
      <sheetName val="[97_207COSRP11_xls]B________732"/>
      <sheetName val="[97_207COSRP11_xls]_97_207CO753"/>
      <sheetName val="[97_207COSRP11_xls]_97_207CO754"/>
      <sheetName val="[97_207COSRP11_xls]_97_207CO755"/>
      <sheetName val="[97_207COSRP11_xls]B________733"/>
      <sheetName val="[97_207COSRP11_xls]B________734"/>
      <sheetName val="[97_207COSRP11_xls]_97_207CO756"/>
      <sheetName val="[97_207COSRP11_xls]_97_207CO757"/>
      <sheetName val="[97_207COSRP11_xls]_97_207CO758"/>
      <sheetName val="[97_207COSRP11_xls]B________735"/>
      <sheetName val="[97_207COSRP11_xls]B________736"/>
      <sheetName val="[97_207COSRP11_xls]_97_207CO759"/>
      <sheetName val="[97_207COSRP11_xls]B________737"/>
      <sheetName val="[97_207COSRP11_xls]B________738"/>
      <sheetName val="[97_207COSRP11_xls]_97_207CO760"/>
      <sheetName val="[97_207COSRP11_xls]_97_207CO761"/>
      <sheetName val="[97_207COSRP11_xls]B________739"/>
      <sheetName val="[97_207COSRP11_xls]B________740"/>
      <sheetName val="[97_207COSRP11_xls]_97_207CO762"/>
      <sheetName val="[97_207COSRP11_xls]_97_207CO763"/>
      <sheetName val="[97_207COSRP11_xls]B________741"/>
      <sheetName val="[97_207COSRP11_xls]B________742"/>
      <sheetName val="[97_207COSRP11_xls]_97_207CO764"/>
      <sheetName val="[97_207COSRP11_xls]B________743"/>
      <sheetName val="[97_207COSRP11_xls]B________744"/>
      <sheetName val="[97_207COSRP11_xls]_97_207CO765"/>
      <sheetName val="[97_207COSRP11_xls]B________745"/>
      <sheetName val="[97_207COSRP11_xls]B________746"/>
      <sheetName val="[97_207COSRP11_xls]_97_207CO766"/>
      <sheetName val="[97_207COSRP11_xls]B________747"/>
      <sheetName val="[97_207COSRP11_xls]B________748"/>
      <sheetName val="[97_207COSRP11_xls]_97_207CO767"/>
      <sheetName val="[97_207COSRP11_xls]_97_207CO768"/>
      <sheetName val="[97_207COSRP11_xls]B________749"/>
      <sheetName val="[97_207COSRP11_xls]B________750"/>
      <sheetName val="[97_207COSRP11_xls]B________751"/>
      <sheetName val="[97_207COSRP11_xls]B________752"/>
      <sheetName val="[97_207COSRP11_xls]_97_207CO769"/>
      <sheetName val="[97_207COSRP11_xls]_97_207CO770"/>
      <sheetName val="[97_207COSRP11_xls]_97_207CO771"/>
      <sheetName val="[97_207COSRP11_xls]B________753"/>
      <sheetName val="[97_207COSRP11_xls]B________754"/>
      <sheetName val="[97_207COSRP11_xls]_97_207CO772"/>
      <sheetName val="[97_207COSRP11_xls]_97_207CO773"/>
      <sheetName val="[97_207COSRP11_xls]_97_207CO774"/>
      <sheetName val="[97_207COSRP11_xls]B________755"/>
      <sheetName val="[97_207COSRP11_xls]B________756"/>
      <sheetName val="[97_207COSRP11_xls]_97_207CO775"/>
      <sheetName val="[97_207COSRP11_xls]_97_207CO776"/>
      <sheetName val="[97_207COSRP11_xls]B________757"/>
      <sheetName val="[97_207COSRP11_xls]B________758"/>
      <sheetName val="[97_207COSRP11_xls]_97_207CO777"/>
      <sheetName val="[97_207COSRP11_xls]_97_207CO778"/>
      <sheetName val="[97_207COSRP11_xls]B________759"/>
      <sheetName val="[97_207COSRP11_xls]B________760"/>
      <sheetName val="[97_207COSRP11_xls]_97_207CO779"/>
      <sheetName val="[97_207COSRP11_xls]_97_207CO780"/>
      <sheetName val="[97_207COSRP11_xls]_97_207CO781"/>
      <sheetName val="PROV_SUMS14"/>
      <sheetName val="PROV_QUANTITIES14"/>
      <sheetName val="RES_STEEL_TO14"/>
      <sheetName val="Data_sheet13"/>
      <sheetName val="Per_Unit13"/>
      <sheetName val="MASTER_RATE_ANALYSIS12"/>
      <sheetName val="Fin_Sum14"/>
      <sheetName val="SPT_vs_PHI13"/>
      <sheetName val="Switch_&amp;_Sockets13"/>
      <sheetName val="25mm_PVC_Conduit13"/>
      <sheetName val="FLOOR_JB13"/>
      <sheetName val="Light_Fittings13"/>
      <sheetName val="CABLE_TRAY13"/>
      <sheetName val="32MM_PVC_CONDUIT13"/>
      <sheetName val="Point_Wiring13"/>
      <sheetName val="3RX2_5SQMM_WIRE13"/>
      <sheetName val="3CX2_5SQMM_WIRES13"/>
      <sheetName val="3CX4_00SQMM13"/>
      <sheetName val="Rate_analysis8"/>
      <sheetName val="PPA_Summary13"/>
      <sheetName val="beam-reinft-IIInd_floor13"/>
      <sheetName val="India_F&amp;S_Template13"/>
      <sheetName val="Materials_Cost(PCC)13"/>
      <sheetName val="PRECAST_lightconc-II12"/>
      <sheetName val="Synergy_Sales_Budget12"/>
      <sheetName val="Break_up_Sheet12"/>
      <sheetName val="Paym__Recom12"/>
      <sheetName val="DC_-_DB_&amp;_MCB12"/>
      <sheetName val="inst__-_Pt_Wr_(cl-2)12"/>
      <sheetName val="Su__-_Pt_Wr12"/>
      <sheetName val="Su__Pwr_Wr12"/>
      <sheetName val="Inst__Pwr_Wr_(cl-2)12"/>
      <sheetName val="Su__-_Cor12"/>
      <sheetName val="Ins_-_Cor_12"/>
      <sheetName val="Earth_strip&amp;_fittings12"/>
      <sheetName val="DC__S_&amp;_So12"/>
      <sheetName val="Install_LIFT_SHAFT_12"/>
      <sheetName val="Su_solar_pt12"/>
      <sheetName val="SU_LIFT_SHAFT12"/>
      <sheetName val="DC_-Conduit12"/>
      <sheetName val="DC_wiring12"/>
      <sheetName val="PA-_Consutant_11"/>
      <sheetName val="beam-reinft-machine_rm11"/>
      <sheetName val="WORK_TABLE10"/>
      <sheetName val="ABP_inputs10"/>
      <sheetName val="E_&amp;_R11"/>
      <sheetName val="Appendix_-3-_Rcov__Mat_suppli10"/>
      <sheetName val="Debits_as_on_12_04_0810"/>
      <sheetName val="foot-slab_reinft10"/>
      <sheetName val="List_of_contractors10"/>
      <sheetName val="Change_Order_Log10"/>
      <sheetName val="Material_List_10"/>
      <sheetName val="CONC__&amp;_STEEL_-_PILES10"/>
      <sheetName val="GR_slab-reinft10"/>
      <sheetName val="glass_project_concrete13"/>
      <sheetName val="glass_project_reift13"/>
      <sheetName val="glass_project_indices13"/>
      <sheetName val="SBC-BH_1912"/>
      <sheetName val="Summary_050611"/>
      <sheetName val="Summary_0607-_31_MAR11"/>
      <sheetName val="Civil_Boq11"/>
      <sheetName val="Pile_cap11"/>
      <sheetName val="BH_12-11-10-1312"/>
      <sheetName val="BH_12-11-10-912"/>
      <sheetName val="BH_36-15-3712"/>
      <sheetName val="BH_16-35-25-1712"/>
      <sheetName val="BH_35-25-1712"/>
      <sheetName val="Sheet1_(2)12"/>
      <sheetName val="d-safe_DELUXE11"/>
      <sheetName val="V_O_4_-_PCC_Qty11"/>
      <sheetName val="TBAL9697_-group_wise__sdpl11"/>
      <sheetName val="Abstract_Sheet11"/>
      <sheetName val="Mix_Design11"/>
      <sheetName val="RCC,Ret__Wall11"/>
      <sheetName val="Form_611"/>
      <sheetName val="PointNo_511"/>
      <sheetName val="Legal_Risk_Analysis11"/>
      <sheetName val="Load_Details-220kV10"/>
      <sheetName val="Fill_this_out_first___10"/>
      <sheetName val="REVISED4A_PROG_PERF-SITE_1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Direct_selling_cost10"/>
      <sheetName val="BOQ_(2)10"/>
      <sheetName val="CABLE_DATA10"/>
      <sheetName val="Staff_Acco_10"/>
      <sheetName val="Pipe_Supports10"/>
      <sheetName val="final_abstract10"/>
      <sheetName val="INPUT_SHEET10"/>
      <sheetName val="Rev_S1_Abstract10"/>
      <sheetName val="Quantity_Abstract10"/>
      <sheetName val="M-Book_for_Conc10"/>
      <sheetName val="M-Book_for_FW10"/>
      <sheetName val="Project_Budget_Worksheet11"/>
      <sheetName val="BOQ_-II_ph_210"/>
      <sheetName val="d-safe_specs10"/>
      <sheetName val="class_&amp;_category10"/>
      <sheetName val="SSR_&amp;_NSSR_Market_final10"/>
      <sheetName val="Fee_Rate_Summary10"/>
      <sheetName val="STAFFSCHED_10"/>
      <sheetName val="220_11__BS_10"/>
      <sheetName val="Metso_-_Forth_&amp;_Slurry_11_02_20"/>
      <sheetName val="precast_RC_element10"/>
      <sheetName val="Bed_Class10"/>
      <sheetName val="ACAD_Finishes10"/>
      <sheetName val="Site_Details10"/>
      <sheetName val="Site_Area_Statement10"/>
      <sheetName val="입찰내역_발주처_양식10"/>
      <sheetName val="Basement_Budget10"/>
      <sheetName val="Mat_Cost10"/>
      <sheetName val="TRIAL_BALANCE10"/>
      <sheetName val="[97_207COSRP11_xls][97_207COS10"/>
      <sheetName val="SC_Cost_FEB_0310"/>
      <sheetName val="Bank_Guarantee10"/>
      <sheetName val="Sub_Contractors_list10"/>
      <sheetName val="Strwise_Qty10"/>
      <sheetName val="NMR_(2)10"/>
      <sheetName val="[97_207COSRP11_xls]_97_207COS81"/>
      <sheetName val="[97_207COSRP11_xls]B________761"/>
      <sheetName val="[97_207COSRP11_xls]B________762"/>
      <sheetName val="[97_207COSRP11_xls]_97_207COS82"/>
      <sheetName val="[97_207COSRP11_xls]_97_207COS83"/>
      <sheetName val="[97_207COSRP11_xls]_97_207COS84"/>
      <sheetName val="[97_207COSRP11_xls]B________763"/>
      <sheetName val="[97_207COSRP11_xls]B________764"/>
      <sheetName val="[97_207COSRP11_xls]_97_207COS85"/>
      <sheetName val="[97_207COSRP11_xls]_97_207COS86"/>
      <sheetName val="[97_207COSRP11_xls]B________765"/>
      <sheetName val="[97_207COSRP11_xls]B________766"/>
      <sheetName val="[97_207COSRP11_xls]_97_207COS87"/>
      <sheetName val="[97_207COSRP11_xls]_97_207CO782"/>
      <sheetName val="[97_207COSRP11_xls]_97_207COS88"/>
      <sheetName val="[97_207COSRP11_xls]_97_207CO783"/>
      <sheetName val="[97_207COSRP11_xls]_97_207CO784"/>
      <sheetName val="[97_207COSRP11_xls]_97_207CO785"/>
      <sheetName val="[97_207COSRP11_xls]_97_207CO786"/>
      <sheetName val="[97_207COSRP11_xls]B________767"/>
      <sheetName val="[97_207COSRP11_xls]B________768"/>
      <sheetName val="[97_207COSRP11_xls]_97_207CO787"/>
      <sheetName val="[97_207COSRP11_xls]B________769"/>
      <sheetName val="[97_207COSRP11_xls]B________770"/>
      <sheetName val="[97_207COSRP11_xls]_97_207CO788"/>
      <sheetName val="[97_207COSRP11_xls]_97_207CO789"/>
      <sheetName val="[97_207COSRP11_xls]B________771"/>
      <sheetName val="[97_207COSRP11_xls]B________772"/>
      <sheetName val="[97_207COSRP11_xls]_97_207CO790"/>
      <sheetName val="[97_207COSRP11_xls]_97_207CO791"/>
      <sheetName val="[97_207COSRP11_xls]B________773"/>
      <sheetName val="[97_207COSRP11_xls]B________774"/>
      <sheetName val="[97_207COSRP11_xls]_97_207CO792"/>
      <sheetName val="[97_207COSRP11_xls]_97_207CO793"/>
      <sheetName val="[97_207COSRP11_xls]_97_207CO794"/>
      <sheetName val="[97_207COSRP11_xls]_97_207CO795"/>
      <sheetName val="[97_207COSRP11_xls]B________775"/>
      <sheetName val="[97_207COSRP11_xls]B________776"/>
      <sheetName val="[97_207COSRP11_xls]_97_207CO796"/>
      <sheetName val="[97_207COSRP11_xls]B________777"/>
      <sheetName val="[97_207COSRP11_xls]B________778"/>
      <sheetName val="[97_207COSRP11_xls]_97_207CO797"/>
      <sheetName val="[97_207COSRP11_xls]B________779"/>
      <sheetName val="[97_207COSRP11_xls]B________780"/>
      <sheetName val="[97_207COSRP11_xls]_97_207CO798"/>
      <sheetName val="[97_207COSRP11_xls]B________781"/>
      <sheetName val="[97_207COSRP11_xls]B________782"/>
      <sheetName val="[97_207COSRP11_xls]_97_207CO799"/>
      <sheetName val="[97_207COSRP11_xls]_97_207CO800"/>
      <sheetName val="[97_207COSRP11_xls]B________783"/>
      <sheetName val="[97_207COSRP11_xls]B________784"/>
      <sheetName val="[97_207COSRP11_xls]_97_207CO801"/>
      <sheetName val="[97_207COSRP11_xls]_97_207CO802"/>
      <sheetName val="[97_207COSRP11_xls]B________785"/>
      <sheetName val="[97_207COSRP11_xls]B________786"/>
      <sheetName val="[97_207COSRP11_xls]_97_207CO803"/>
      <sheetName val="[97_207COSRP11_xls]_97_207CO804"/>
      <sheetName val="[97_207COSRP11_xls]_97_207CO805"/>
      <sheetName val="[97_207COSRP11_xls]B________787"/>
      <sheetName val="[97_207COSRP11_xls]B________788"/>
      <sheetName val="[97_207COSRP11_xls]_97_207CO806"/>
      <sheetName val="[97_207COSRP11_xls]_97_207CO807"/>
      <sheetName val="[97_207COSRP11_xls]_97_207CO808"/>
      <sheetName val="[97_207COSRP11_xls]_97_207CO809"/>
      <sheetName val="[97_207COSRP11_xls]B________789"/>
      <sheetName val="[97_207COSRP11_xls]B________790"/>
      <sheetName val="[97_207COSRP11_xls]_97_207CO810"/>
      <sheetName val="[97_207COSRP11_xls]_97_207CO811"/>
      <sheetName val="[97_207COSRP11_xls]B________791"/>
      <sheetName val="[97_207COSRP11_xls]B________792"/>
      <sheetName val="[97_207COSRP11_xls]_97_207CO812"/>
      <sheetName val="[97_207COSRP11_xls]_97_207CO813"/>
      <sheetName val="[97_207COSRP11_xls]B________793"/>
      <sheetName val="[97_207COSRP11_xls]B________794"/>
      <sheetName val="[97_207COSRP11_xls]_97_207CO814"/>
      <sheetName val="[97_207COSRP11_xls]_97_207CO815"/>
      <sheetName val="[97_207COSRP11_xls]B________795"/>
      <sheetName val="[97_207COSRP11_xls]B________796"/>
      <sheetName val="[97_207COSRP11_xls]_97_207CO816"/>
      <sheetName val="[97_207COSRP11_xls]_97_207CO817"/>
      <sheetName val="[97_207COSRP11_xls]B________797"/>
      <sheetName val="[97_207COSRP11_xls]B________798"/>
      <sheetName val="[97_207COSRP11_xls]_97_207CO818"/>
      <sheetName val="[97_207COSRP11_xls]_97_207CO819"/>
      <sheetName val="[97_207COSRP11_xls]B________799"/>
      <sheetName val="[97_207COSRP11_xls]B________800"/>
      <sheetName val="[97_207COSRP11_xls]_97_207CO820"/>
      <sheetName val="[97_207COSRP11_xls]_97_207CO821"/>
      <sheetName val="[97_207COSRP11_xls]_97_207CO822"/>
      <sheetName val="[97_207COSRP11_xls]B________801"/>
      <sheetName val="[97_207COSRP11_xls]B________802"/>
      <sheetName val="[97_207COSRP11_xls]_97_207CO823"/>
      <sheetName val="[97_207COSRP11_xls]_97_207CO824"/>
      <sheetName val="[97_207COSRP11_xls]B________803"/>
      <sheetName val="[97_207COSRP11_xls]B________804"/>
      <sheetName val="[97_207COSRP11_xls]_97_207CO825"/>
      <sheetName val="[97_207COSRP11_xls]_97_207CO826"/>
      <sheetName val="[97_207COSRP11_xls]_97_207CO827"/>
      <sheetName val="[97_207COSRP11_xls]B________805"/>
      <sheetName val="[97_207COSRP11_xls]B________806"/>
      <sheetName val="[97_207COSRP11_xls]_97_207CO828"/>
      <sheetName val="[97_207COSRP11_xls]_97_207CO829"/>
      <sheetName val="[97_207COSRP11_xls]B________807"/>
      <sheetName val="[97_207COSRP11_xls]B________808"/>
      <sheetName val="[97_207COSRP11_xls]_97_207CO830"/>
      <sheetName val="[97_207COSRP11_xls]_97_207CO831"/>
      <sheetName val="[97_207COSRP11_xls]_97_207CO832"/>
      <sheetName val="[97_207COSRP11_xls]B________809"/>
      <sheetName val="[97_207COSRP11_xls]B________810"/>
      <sheetName val="[97_207COSRP11_xls]_97_207CO833"/>
      <sheetName val="[97_207COSRP11_xls]_97_207CO834"/>
      <sheetName val="[97_207COSRP11_xls]_97_207CO835"/>
      <sheetName val="[97_207COSRP11_xls]B________811"/>
      <sheetName val="[97_207COSRP11_xls]B________812"/>
      <sheetName val="[97_207COSRP11_xls]_97_207CO836"/>
      <sheetName val="[97_207COSRP11_xls]B________813"/>
      <sheetName val="[97_207COSRP11_xls]B________814"/>
      <sheetName val="[97_207COSRP11_xls]_97_207CO837"/>
      <sheetName val="[97_207COSRP11_xls]_97_207CO838"/>
      <sheetName val="[97_207COSRP11_xls]B________815"/>
      <sheetName val="[97_207COSRP11_xls]B________816"/>
      <sheetName val="[97_207COSRP11_xls]_97_207CO839"/>
      <sheetName val="[97_207COSRP11_xls]_97_207CO840"/>
      <sheetName val="[97_207COSRP11_xls]B________817"/>
      <sheetName val="[97_207COSRP11_xls]B________818"/>
      <sheetName val="[97_207COSRP11_xls]_97_207CO841"/>
      <sheetName val="[97_207COSRP11_xls]B________819"/>
      <sheetName val="[97_207COSRP11_xls]B________820"/>
      <sheetName val="[97_207COSRP11_xls]_97_207CO842"/>
      <sheetName val="[97_207COSRP11_xls]B________821"/>
      <sheetName val="[97_207COSRP11_xls]B________822"/>
      <sheetName val="[97_207COSRP11_xls]_97_207CO843"/>
      <sheetName val="[97_207COSRP11_xls]B________823"/>
      <sheetName val="[97_207COSRP11_xls]B________824"/>
      <sheetName val="[97_207COSRP11_xls]_97_207CO844"/>
      <sheetName val="[97_207COSRP11_xls]_97_207CO845"/>
      <sheetName val="[97_207COSRP11_xls]B________825"/>
      <sheetName val="[97_207COSRP11_xls]B________826"/>
      <sheetName val="[97_207COSRP11_xls]B________827"/>
      <sheetName val="[97_207COSRP11_xls]B________828"/>
      <sheetName val="[97_207COSRP11_xls]_97_207CO846"/>
      <sheetName val="[97_207COSRP11_xls]_97_207CO847"/>
      <sheetName val="[97_207COSRP11_xls]_97_207CO848"/>
      <sheetName val="[97_207COSRP11_xls]B________829"/>
      <sheetName val="[97_207COSRP11_xls]B________830"/>
      <sheetName val="[97_207COSRP11_xls]_97_207CO849"/>
      <sheetName val="[97_207COSRP11_xls]_97_207CO850"/>
      <sheetName val="[97_207COSRP11_xls]_97_207CO851"/>
      <sheetName val="[97_207COSRP11_xls]B________831"/>
      <sheetName val="[97_207COSRP11_xls]B________832"/>
      <sheetName val="[97_207COSRP11_xls]_97_207CO852"/>
      <sheetName val="[97_207COSRP11_xls]_97_207CO853"/>
      <sheetName val="[97_207COSRP11_xls]B________833"/>
      <sheetName val="[97_207COSRP11_xls]B________834"/>
      <sheetName val="[97_207COSRP11_xls]_97_207CO854"/>
      <sheetName val="[97_207COSRP11_xls]_97_207CO855"/>
      <sheetName val="[97_207COSRP11_xls]B________835"/>
      <sheetName val="[97_207COSRP11_xls]B________836"/>
      <sheetName val="[97_207COSRP11_xls]_97_207CO856"/>
      <sheetName val="[97_207COSRP11_xls]_97_207CO857"/>
      <sheetName val="[97_207COSRP11_xls]_97_207CO858"/>
      <sheetName val="[97_207COSRP11_xls]_97_207CO859"/>
      <sheetName val="[97_207COSRP11_xls]_97_207CO860"/>
      <sheetName val="[97_207COSRP11_xls]B________837"/>
      <sheetName val="[97_207COSRP11_xls]B________838"/>
      <sheetName val="[97_207COSRP11_xls]_97_207CO861"/>
      <sheetName val="[97_207COSRP11_xls]_97_207CO862"/>
      <sheetName val="[97_207COSRP11_xls]B________839"/>
      <sheetName val="[97_207COSRP11_xls]B________840"/>
      <sheetName val="[97_207COSRP11_xls]_97_207CO863"/>
      <sheetName val="[97_207COSRP11_xls]_97_207CO864"/>
      <sheetName val="[97_207COSRP11_xls]B________841"/>
      <sheetName val="[97_207COSRP11_xls]B________842"/>
      <sheetName val="[97_207COSRP11_xls]_97_207CO865"/>
      <sheetName val="[97_207COSRP11_xls]B________843"/>
      <sheetName val="[97_207COSRP11_xls]B________844"/>
      <sheetName val="[97_207COSRP11_xls]_97_207CO866"/>
      <sheetName val="[97_207COSRP11_xls]B________845"/>
      <sheetName val="[97_207COSRP11_xls]B________846"/>
      <sheetName val="[97_207COSRP11_xls]_97_207CO867"/>
      <sheetName val="[97_207COSRP11_xls]_97_207CO868"/>
      <sheetName val="[97_207COSRP11_xls]_97_207CO869"/>
      <sheetName val="PROV_SUMS15"/>
      <sheetName val="PROV_QUANTITIES15"/>
      <sheetName val="RES_STEEL_TO15"/>
      <sheetName val="Data_sheet14"/>
      <sheetName val="Per_Unit14"/>
      <sheetName val="MASTER_RATE_ANALYSIS13"/>
      <sheetName val="Fin_Sum15"/>
      <sheetName val="SPT_vs_PHI14"/>
      <sheetName val="Switch_&amp;_Sockets14"/>
      <sheetName val="25mm_PVC_Conduit14"/>
      <sheetName val="FLOOR_JB14"/>
      <sheetName val="Light_Fittings14"/>
      <sheetName val="CABLE_TRAY14"/>
      <sheetName val="32MM_PVC_CONDUIT14"/>
      <sheetName val="Point_Wiring14"/>
      <sheetName val="3RX2_5SQMM_WIRE14"/>
      <sheetName val="3CX2_5SQMM_WIRES14"/>
      <sheetName val="3CX4_00SQMM14"/>
      <sheetName val="Rate_analysis9"/>
      <sheetName val="PPA_Summary14"/>
      <sheetName val="beam-reinft-IIInd_floor14"/>
      <sheetName val="India_F&amp;S_Template14"/>
      <sheetName val="Materials_Cost(PCC)14"/>
      <sheetName val="PRECAST_lightconc-II13"/>
      <sheetName val="Synergy_Sales_Budget13"/>
      <sheetName val="Break_up_Sheet13"/>
      <sheetName val="Paym__Recom13"/>
      <sheetName val="DC_-_DB_&amp;_MCB13"/>
      <sheetName val="inst__-_Pt_Wr_(cl-2)13"/>
      <sheetName val="Su__-_Pt_Wr13"/>
      <sheetName val="Su__Pwr_Wr13"/>
      <sheetName val="Inst__Pwr_Wr_(cl-2)13"/>
      <sheetName val="Su__-_Cor13"/>
      <sheetName val="Ins_-_Cor_13"/>
      <sheetName val="Earth_strip&amp;_fittings13"/>
      <sheetName val="DC__S_&amp;_So13"/>
      <sheetName val="Install_LIFT_SHAFT_13"/>
      <sheetName val="Su_solar_pt13"/>
      <sheetName val="SU_LIFT_SHAFT13"/>
      <sheetName val="DC_-Conduit13"/>
      <sheetName val="DC_wiring13"/>
      <sheetName val="PA-_Consutant_12"/>
      <sheetName val="beam-reinft-machine_rm12"/>
      <sheetName val="WORK_TABLE11"/>
      <sheetName val="ABP_inputs11"/>
      <sheetName val="E_&amp;_R12"/>
      <sheetName val="Appendix_-3-_Rcov__Mat_suppli11"/>
      <sheetName val="Debits_as_on_12_04_0811"/>
      <sheetName val="foot-slab_reinft11"/>
      <sheetName val="List_of_contractors11"/>
      <sheetName val="Change_Order_Log11"/>
      <sheetName val="Material_List_11"/>
      <sheetName val="CONC__&amp;_STEEL_-_PILES11"/>
      <sheetName val="GR_slab-reinft11"/>
      <sheetName val="glass_project_concrete14"/>
      <sheetName val="glass_project_reift14"/>
      <sheetName val="glass_project_indices14"/>
      <sheetName val="SBC-BH_1913"/>
      <sheetName val="Summary_050612"/>
      <sheetName val="Summary_0607-_31_MAR12"/>
      <sheetName val="Civil_Boq12"/>
      <sheetName val="Pile_cap12"/>
      <sheetName val="BH_12-11-10-1313"/>
      <sheetName val="BH_12-11-10-913"/>
      <sheetName val="BH_36-15-3713"/>
      <sheetName val="BH_16-35-25-1713"/>
      <sheetName val="BH_35-25-1713"/>
      <sheetName val="Sheet1_(2)13"/>
      <sheetName val="d-safe_DELUXE12"/>
      <sheetName val="V_O_4_-_PCC_Qty12"/>
      <sheetName val="TBAL9697_-group_wise__sdpl12"/>
      <sheetName val="Abstract_Sheet12"/>
      <sheetName val="Mix_Design12"/>
      <sheetName val="RCC,Ret__Wall12"/>
      <sheetName val="Form_612"/>
      <sheetName val="PointNo_512"/>
      <sheetName val="Legal_Risk_Analysis12"/>
      <sheetName val="Load_Details-220kV11"/>
      <sheetName val="Fill_this_out_first___11"/>
      <sheetName val="REVISED4A_PROG_PERF-SITE_1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Direct_selling_cost11"/>
      <sheetName val="BOQ_(2)11"/>
      <sheetName val="CABLE_DATA11"/>
      <sheetName val="Staff_Acco_11"/>
      <sheetName val="Pipe_Supports11"/>
      <sheetName val="final_abstract11"/>
      <sheetName val="INPUT_SHEET11"/>
      <sheetName val="Rev_S1_Abstract11"/>
      <sheetName val="Quantity_Abstract11"/>
      <sheetName val="M-Book_for_Conc11"/>
      <sheetName val="M-Book_for_FW11"/>
      <sheetName val="Project_Budget_Worksheet12"/>
      <sheetName val="BOQ_-II_ph_211"/>
      <sheetName val="d-safe_specs11"/>
      <sheetName val="class_&amp;_category11"/>
      <sheetName val="SSR_&amp;_NSSR_Market_final11"/>
      <sheetName val="Fee_Rate_Summary11"/>
      <sheetName val="STAFFSCHED_11"/>
      <sheetName val="220_11__BS_11"/>
      <sheetName val="Metso_-_Forth_&amp;_Slurry_11_02_21"/>
      <sheetName val="precast_RC_element11"/>
      <sheetName val="Bed_Class11"/>
      <sheetName val="ACAD_Finishes11"/>
      <sheetName val="Site_Details11"/>
      <sheetName val="Site_Area_Statement11"/>
      <sheetName val="입찰내역_발주처_양식11"/>
      <sheetName val="Basement_Budget11"/>
      <sheetName val="Mat_Cost11"/>
      <sheetName val="TRIAL_BALANCE11"/>
      <sheetName val="[97_207COSRP11_xls][97_207COS11"/>
      <sheetName val="SC_Cost_FEB_0311"/>
      <sheetName val="Bank_Guarantee11"/>
      <sheetName val="Sub_Contractors_list11"/>
      <sheetName val="Strwise_Qty11"/>
      <sheetName val="NMR_(2)11"/>
      <sheetName val="[97_207COSRP11_xls]_97_207COS89"/>
      <sheetName val="[97_207COSRP11_xls]B________847"/>
      <sheetName val="[97_207COSRP11_xls]B________848"/>
      <sheetName val="[97_207COSRP11_xls]_97_207COS90"/>
      <sheetName val="[97_207COSRP11_xls]_97_207COS91"/>
      <sheetName val="[97_207COSRP11_xls]_97_207COS92"/>
      <sheetName val="[97_207COSRP11_xls]B________849"/>
      <sheetName val="[97_207COSRP11_xls]B________850"/>
      <sheetName val="[97_207COSRP11_xls]_97_207COS93"/>
      <sheetName val="[97_207COSRP11_xls]_97_207COS94"/>
      <sheetName val="[97_207COSRP11_xls]B________851"/>
      <sheetName val="[97_207COSRP11_xls]B________852"/>
      <sheetName val="[97_207COSRP11_xls]_97_207COS95"/>
      <sheetName val="[97_207COSRP11_xls]_97_207CO870"/>
      <sheetName val="[97_207COSRP11_xls]_97_207COS96"/>
      <sheetName val="[97_207COSRP11_xls]_97_207CO871"/>
      <sheetName val="[97_207COSRP11_xls]_97_207CO872"/>
      <sheetName val="[97_207COSRP11_xls]_97_207CO873"/>
      <sheetName val="[97_207COSRP11_xls]_97_207CO874"/>
      <sheetName val="[97_207COSRP11_xls]B________853"/>
      <sheetName val="[97_207COSRP11_xls]B________854"/>
      <sheetName val="[97_207COSRP11_xls]_97_207CO875"/>
      <sheetName val="[97_207COSRP11_xls]B________855"/>
      <sheetName val="[97_207COSRP11_xls]B________856"/>
      <sheetName val="[97_207COSRP11_xls]_97_207CO876"/>
      <sheetName val="[97_207COSRP11_xls]_97_207CO877"/>
      <sheetName val="[97_207COSRP11_xls]B________857"/>
      <sheetName val="[97_207COSRP11_xls]B________858"/>
      <sheetName val="[97_207COSRP11_xls]_97_207CO878"/>
      <sheetName val="[97_207COSRP11_xls]_97_207CO879"/>
      <sheetName val="[97_207COSRP11_xls]B________859"/>
      <sheetName val="[97_207COSRP11_xls]B________860"/>
      <sheetName val="[97_207COSRP11_xls]_97_207CO880"/>
      <sheetName val="[97_207COSRP11_xls]_97_207CO881"/>
      <sheetName val="[97_207COSRP11_xls]_97_207CO882"/>
      <sheetName val="[97_207COSRP11_xls]_97_207CO883"/>
      <sheetName val="[97_207COSRP11_xls]B________861"/>
      <sheetName val="[97_207COSRP11_xls]B________862"/>
      <sheetName val="[97_207COSRP11_xls]_97_207CO884"/>
      <sheetName val="[97_207COSRP11_xls]B________863"/>
      <sheetName val="[97_207COSRP11_xls]B________864"/>
      <sheetName val="[97_207COSRP11_xls]_97_207CO885"/>
      <sheetName val="[97_207COSRP11_xls]B________865"/>
      <sheetName val="[97_207COSRP11_xls]B________866"/>
      <sheetName val="[97_207COSRP11_xls]_97_207CO886"/>
      <sheetName val="[97_207COSRP11_xls]B________867"/>
      <sheetName val="[97_207COSRP11_xls]B________868"/>
      <sheetName val="[97_207COSRP11_xls]_97_207CO887"/>
      <sheetName val="[97_207COSRP11_xls]_97_207CO888"/>
      <sheetName val="[97_207COSRP11_xls]B________869"/>
      <sheetName val="[97_207COSRP11_xls]B________870"/>
      <sheetName val="[97_207COSRP11_xls]_97_207CO889"/>
      <sheetName val="[97_207COSRP11_xls]_97_207CO890"/>
      <sheetName val="[97_207COSRP11_xls]B________871"/>
      <sheetName val="[97_207COSRP11_xls]B________872"/>
      <sheetName val="[97_207COSRP11_xls]_97_207CO891"/>
      <sheetName val="[97_207COSRP11_xls]_97_207CO892"/>
      <sheetName val="[97_207COSRP11_xls]_97_207CO893"/>
      <sheetName val="[97_207COSRP11_xls]B________873"/>
      <sheetName val="[97_207COSRP11_xls]B________874"/>
      <sheetName val="[97_207COSRP11_xls]_97_207CO894"/>
      <sheetName val="[97_207COSRP11_xls]_97_207CO895"/>
      <sheetName val="[97_207COSRP11_xls]_97_207CO896"/>
      <sheetName val="[97_207COSRP11_xls]_97_207CO897"/>
      <sheetName val="[97_207COSRP11_xls]B________875"/>
      <sheetName val="[97_207COSRP11_xls]B________876"/>
      <sheetName val="[97_207COSRP11_xls]_97_207CO898"/>
      <sheetName val="[97_207COSRP11_xls]_97_207CO899"/>
      <sheetName val="[97_207COSRP11_xls]B________877"/>
      <sheetName val="[97_207COSRP11_xls]B________878"/>
      <sheetName val="[97_207COSRP11_xls]_97_207CO900"/>
      <sheetName val="[97_207COSRP11_xls]_97_207CO901"/>
      <sheetName val="[97_207COSRP11_xls]B________879"/>
      <sheetName val="[97_207COSRP11_xls]B________880"/>
      <sheetName val="[97_207COSRP11_xls]_97_207CO902"/>
      <sheetName val="[97_207COSRP11_xls]_97_207CO903"/>
      <sheetName val="[97_207COSRP11_xls]B________881"/>
      <sheetName val="[97_207COSRP11_xls]B________882"/>
      <sheetName val="[97_207COSRP11_xls]_97_207CO904"/>
      <sheetName val="[97_207COSRP11_xls]_97_207CO905"/>
      <sheetName val="[97_207COSRP11_xls]B________883"/>
      <sheetName val="[97_207COSRP11_xls]B________884"/>
      <sheetName val="[97_207COSRP11_xls]_97_207CO906"/>
      <sheetName val="[97_207COSRP11_xls]_97_207CO907"/>
      <sheetName val="[97_207COSRP11_xls]B________885"/>
      <sheetName val="[97_207COSRP11_xls]B________886"/>
      <sheetName val="[97_207COSRP11_xls]_97_207CO908"/>
      <sheetName val="[97_207COSRP11_xls]_97_207CO909"/>
      <sheetName val="[97_207COSRP11_xls]_97_207CO910"/>
      <sheetName val="[97_207COSRP11_xls]B________887"/>
      <sheetName val="[97_207COSRP11_xls]B________888"/>
      <sheetName val="[97_207COSRP11_xls]_97_207CO911"/>
      <sheetName val="[97_207COSRP11_xls]_97_207CO912"/>
      <sheetName val="[97_207COSRP11_xls]B________889"/>
      <sheetName val="[97_207COSRP11_xls]B________890"/>
      <sheetName val="[97_207COSRP11_xls]_97_207CO913"/>
      <sheetName val="[97_207COSRP11_xls]_97_207CO914"/>
      <sheetName val="[97_207COSRP11_xls]_97_207CO915"/>
      <sheetName val="[97_207COSRP11_xls]B________891"/>
      <sheetName val="[97_207COSRP11_xls]B________892"/>
      <sheetName val="[97_207COSRP11_xls]_97_207CO916"/>
      <sheetName val="[97_207COSRP11_xls]_97_207CO917"/>
      <sheetName val="[97_207COSRP11_xls]B________893"/>
      <sheetName val="[97_207COSRP11_xls]B________894"/>
      <sheetName val="[97_207COSRP11_xls]_97_207CO918"/>
      <sheetName val="[97_207COSRP11_xls]_97_207CO919"/>
      <sheetName val="[97_207COSRP11_xls]_97_207CO920"/>
      <sheetName val="[97_207COSRP11_xls]B________895"/>
      <sheetName val="[97_207COSRP11_xls]B________896"/>
      <sheetName val="[97_207COSRP11_xls]_97_207CO921"/>
      <sheetName val="[97_207COSRP11_xls]_97_207CO922"/>
      <sheetName val="[97_207COSRP11_xls]_97_207CO923"/>
      <sheetName val="[97_207COSRP11_xls]B________897"/>
      <sheetName val="[97_207COSRP11_xls]B________898"/>
      <sheetName val="[97_207COSRP11_xls]_97_207CO924"/>
      <sheetName val="[97_207COSRP11_xls]B________899"/>
      <sheetName val="[97_207COSRP11_xls]B________900"/>
      <sheetName val="[97_207COSRP11_xls]_97_207CO925"/>
      <sheetName val="[97_207COSRP11_xls]_97_207CO926"/>
      <sheetName val="[97_207COSRP11_xls]B________901"/>
      <sheetName val="[97_207COSRP11_xls]B________902"/>
      <sheetName val="[97_207COSRP11_xls]_97_207CO927"/>
      <sheetName val="[97_207COSRP11_xls]_97_207CO928"/>
      <sheetName val="[97_207COSRP11_xls]B________903"/>
      <sheetName val="[97_207COSRP11_xls]B________904"/>
      <sheetName val="[97_207COSRP11_xls]_97_207CO929"/>
      <sheetName val="[97_207COSRP11_xls]B________905"/>
      <sheetName val="[97_207COSRP11_xls]B________906"/>
      <sheetName val="[97_207COSRP11_xls]_97_207CO930"/>
      <sheetName val="[97_207COSRP11_xls]B________907"/>
      <sheetName val="[97_207COSRP11_xls]B________908"/>
      <sheetName val="[97_207COSRP11_xls]_97_207CO931"/>
      <sheetName val="[97_207COSRP11_xls]B________909"/>
      <sheetName val="[97_207COSRP11_xls]B________910"/>
      <sheetName val="[97_207COSRP11_xls]_97_207CO932"/>
      <sheetName val="[97_207COSRP11_xls]_97_207CO933"/>
      <sheetName val="[97_207COSRP11_xls]B________911"/>
      <sheetName val="[97_207COSRP11_xls]B________912"/>
      <sheetName val="[97_207COSRP11_xls]B________913"/>
      <sheetName val="[97_207COSRP11_xls]B________914"/>
      <sheetName val="[97_207COSRP11_xls]_97_207CO934"/>
      <sheetName val="[97_207COSRP11_xls]_97_207CO935"/>
      <sheetName val="[97_207COSRP11_xls]_97_207CO936"/>
      <sheetName val="[97_207COSRP11_xls]B________915"/>
      <sheetName val="[97_207COSRP11_xls]B________916"/>
      <sheetName val="[97_207COSRP11_xls]_97_207CO937"/>
      <sheetName val="[97_207COSRP11_xls]_97_207CO938"/>
      <sheetName val="[97_207COSRP11_xls]_97_207CO939"/>
      <sheetName val="[97_207COSRP11_xls]B________917"/>
      <sheetName val="[97_207COSRP11_xls]B________918"/>
      <sheetName val="[97_207COSRP11_xls]_97_207CO940"/>
      <sheetName val="[97_207COSRP11_xls]_97_207CO941"/>
      <sheetName val="[97_207COSRP11_xls]B________919"/>
      <sheetName val="[97_207COSRP11_xls]B________920"/>
      <sheetName val="[97_207COSRP11_xls]_97_207CO942"/>
      <sheetName val="[97_207COSRP11_xls]_97_207CO943"/>
      <sheetName val="[97_207COSRP11_xls]B________921"/>
      <sheetName val="[97_207COSRP11_xls]B________922"/>
      <sheetName val="[97_207COSRP11_xls]_97_207CO944"/>
      <sheetName val="[97_207COSRP11_xls]_97_207CO945"/>
      <sheetName val="[97_207COSRP11_xls]_97_207CO946"/>
      <sheetName val="[97_207COSRP11_xls]_97_207CO947"/>
      <sheetName val="[97_207COSRP11_xls]_97_207CO948"/>
      <sheetName val="[97_207COSRP11_xls]B________923"/>
      <sheetName val="[97_207COSRP11_xls]B________924"/>
      <sheetName val="[97_207COSRP11_xls]_97_207CO949"/>
      <sheetName val="[97_207COSRP11_xls]_97_207CO950"/>
      <sheetName val="[97_207COSRP11_xls]B________925"/>
      <sheetName val="[97_207COSRP11_xls]B________926"/>
      <sheetName val="[97_207COSRP11_xls]_97_207CO951"/>
      <sheetName val="[97_207COSRP11_xls]_97_207CO952"/>
      <sheetName val="[97_207COSRP11_xls]B________927"/>
      <sheetName val="[97_207COSRP11_xls]B________928"/>
      <sheetName val="[97_207COSRP11_xls]_97_207CO953"/>
      <sheetName val="[97_207COSRP11_xls]B________929"/>
      <sheetName val="[97_207COSRP11_xls]B________930"/>
      <sheetName val="[97_207COSRP11_xls]_97_207CO954"/>
      <sheetName val="[97_207COSRP11_xls]B________931"/>
      <sheetName val="[97_207COSRP11_xls]B________932"/>
      <sheetName val="[97_207COSRP11_xls]_97_207CO955"/>
      <sheetName val="[97_207COSRP11_xls]_97_207CO956"/>
      <sheetName val="[97_207COSRP11_xls]_97_207CO957"/>
      <sheetName val="B@__x0000__x0"/>
      <sheetName val="[97_207COSRP11.xls]B_______1871"/>
      <sheetName val="[97_207COSRP11.xls]B_______1872"/>
      <sheetName val="[97_207COSRP11.xls]_97_207_5682"/>
      <sheetName val="[97_207COSRP11.xls]_97_207_5678"/>
      <sheetName val="[97_207COSRP11.xls]_97_207_5679"/>
      <sheetName val="[97_207COSRP11.xls]_97_207_5683"/>
      <sheetName val="[97_207COSRP11.xls]B_______1873"/>
      <sheetName val="[97_207COSRP11.xls]_97_207_5680"/>
      <sheetName val="[97_207COSRP11.xls]_97_207_5681"/>
      <sheetName val="[97_207COSRP11.xls]_97_207_5684"/>
      <sheetName val="[97_207COSRP11.xls]B_______1880"/>
      <sheetName val="[97_207COSRP11.xls]B_______1881"/>
      <sheetName val="[97_207COSRP11.xls]_97_207_5706"/>
      <sheetName val="[97_207COSRP11.xls]_97_207_5702"/>
      <sheetName val="[97_207COSRP11.xls]_97_207_5703"/>
      <sheetName val="[97_207COSRP11.xls]_97_207_5707"/>
      <sheetName val="[97_207COSRP11.xls]B_______1882"/>
      <sheetName val="[97_207COSRP11.xls]_97_207_5704"/>
      <sheetName val="[97_207COSRP11.xls]_97_207_5705"/>
      <sheetName val="[97_207COSRP11.xls]_97_207_5708"/>
      <sheetName val="[97_207COSRP11.xls]_97_207_5685"/>
      <sheetName val="[97_207COSRP11.xls]_97_207_5686"/>
      <sheetName val="[97_207COSRP11.xls]_97_207_5687"/>
      <sheetName val="[97_207COSRP11.xls]B_______1874"/>
      <sheetName val="[97_207COSRP11.xls]B_______1875"/>
      <sheetName val="[97_207COSRP11.xls]_97_207_5688"/>
      <sheetName val="[97_207COSRP11.xls]_97_207_5689"/>
      <sheetName val="[97_207COSRP11.xls]B_______1876"/>
      <sheetName val="[97_207COSRP11.xls]_97_207_5690"/>
      <sheetName val="[97_207COSRP11.xls]_97_207_5691"/>
      <sheetName val="[97_207COSRP11.xls]_97_207_5692"/>
      <sheetName val="[97_207COSRP11.xls]_97_207_5693"/>
      <sheetName val="[97_207COSRP11.xls]_97_207_5694"/>
      <sheetName val="[97_207COSRP11.xls]B_______1877"/>
      <sheetName val="[97_207COSRP11.xls]B_______1878"/>
      <sheetName val="[97_207COSRP11.xls]_97_207_5695"/>
      <sheetName val="[97_207COSRP11.xls]_97_207_5696"/>
      <sheetName val="[97_207COSRP11.xls]B_______1879"/>
      <sheetName val="[97_207COSRP11.xls]_97_207_5697"/>
      <sheetName val="[97_207COSRP11.xls]_97_207_5698"/>
      <sheetName val="[97_207COSRP11.xls]B_______1883"/>
      <sheetName val="[97_207COSRP11.xls]B_______1884"/>
      <sheetName val="[97_207COSRP11.xls]_97_207_5713"/>
      <sheetName val="[97_207COSRP11.xls]_97_207_5709"/>
      <sheetName val="[97_207COSRP11.xls]_97_207_5710"/>
      <sheetName val="[97_207COSRP11.xls]_97_207_5714"/>
      <sheetName val="[97_207COSRP11.xls]B_______1885"/>
      <sheetName val="[97_207COSRP11.xls]_97_207_5711"/>
      <sheetName val="[97_207COSRP11.xls]_97_207_5712"/>
      <sheetName val="[97_207COSRP11.xls]_97_207_5715"/>
      <sheetName val="[97_207COSRP11.xls]_97_207_5716"/>
      <sheetName val="[97_207COSRP11.xls]_97_207_5717"/>
      <sheetName val="[97_207COSRP11.xls]_97_207_5718"/>
      <sheetName val="[97_207COSRP11.xls]B_______1886"/>
      <sheetName val="[97_207COSRP11.xls]B_______1887"/>
      <sheetName val="[97_207COSRP11.xls]_97_207_5723"/>
      <sheetName val="[97_207COSRP11.xls]_97_207_5719"/>
      <sheetName val="[97_207COSRP11.xls]_97_207_5720"/>
      <sheetName val="[97_207COSRP11.xls]_97_207_5724"/>
      <sheetName val="[97_207COSRP11.xls]B_______1888"/>
      <sheetName val="[97_207COSRP11.xls]_97_207_5721"/>
      <sheetName val="[97_207COSRP11.xls]_97_207_5722"/>
      <sheetName val="[97_207COSRP11.xls]_97_207_5725"/>
      <sheetName val="[97_207COSRP11.xls]_97_207_5726"/>
      <sheetName val="[97_207COSRP11.xls]_97_207_5727"/>
      <sheetName val="9. Package split - Cost "/>
      <sheetName val="RATE ANALYSIS."/>
      <sheetName val="doq"/>
      <sheetName val="[97_207COSRP11.xls]_97_207_5728"/>
      <sheetName val="[97_207COSRP11.xls]B_______1889"/>
      <sheetName val="[97_207COSRP11.xls]B_______1890"/>
      <sheetName val="[97_207COSRP11.xls]_97_207_5732"/>
      <sheetName val="[97_207COSRP11.xls]_97_207_5729"/>
      <sheetName val="[97_207COSRP11.xls]_97_207_5730"/>
      <sheetName val="[97_207COSRP11.xls]_97_207_5731"/>
      <sheetName val="[97_207COSRP11.xls]_97_207_5733"/>
      <sheetName val="[97_207COSRP11.xls]_97_207_5738"/>
      <sheetName val="[97_207COSRP11.xls]B_______1893"/>
      <sheetName val="[97_207COSRP11.xls]B_______1894"/>
      <sheetName val="[97_207COSRP11.xls]_97_207_5739"/>
      <sheetName val="[97_207COSRP11.xls]_97_207_5740"/>
      <sheetName val="[97_207COSRP11.xls]_97_207_5741"/>
      <sheetName val="[97_207COSRP11.xls]_97_207_5734"/>
      <sheetName val="[97_207COSRP11.xls]B_______1891"/>
      <sheetName val="[97_207COSRP11.xls]B_______1892"/>
      <sheetName val="[97_207COSRP11.xls]_97_207_5735"/>
      <sheetName val="[97_207COSRP11.xls]_97_207_5736"/>
      <sheetName val="[97_207COSRP11.xls]_97_207_5737"/>
      <sheetName val="[97_207COSRP11.xls]_97_207_5747"/>
      <sheetName val="[97_207COSRP11.xls]B_______1897"/>
      <sheetName val="[97_207COSRP11.xls]B_______1898"/>
      <sheetName val="[97_207COSRP11.xls]_97_207_5748"/>
    </sheetNames>
    <sheetDataSet>
      <sheetData sheetId="0">
        <row r="1">
          <cell r="J1">
            <v>1.7453292519943295E-2</v>
          </cell>
        </row>
      </sheetData>
      <sheetData sheetId="1">
        <row r="2">
          <cell r="B2">
            <v>1</v>
          </cell>
        </row>
      </sheetData>
      <sheetData sheetId="2">
        <row r="1">
          <cell r="J1">
            <v>1.7453292519943295E-2</v>
          </cell>
        </row>
        <row r="15">
          <cell r="B15" t="str">
            <v>To Jun 98</v>
          </cell>
        </row>
        <row r="16">
          <cell r="B16">
            <v>35977</v>
          </cell>
        </row>
        <row r="17">
          <cell r="B17">
            <v>36008</v>
          </cell>
        </row>
        <row r="18">
          <cell r="B18">
            <v>36039</v>
          </cell>
        </row>
        <row r="19">
          <cell r="B19">
            <v>36070</v>
          </cell>
        </row>
        <row r="20">
          <cell r="B20">
            <v>36101</v>
          </cell>
        </row>
        <row r="21">
          <cell r="B21">
            <v>36132</v>
          </cell>
        </row>
        <row r="22">
          <cell r="B22">
            <v>36163</v>
          </cell>
        </row>
        <row r="23">
          <cell r="B23">
            <v>36194</v>
          </cell>
        </row>
        <row r="24">
          <cell r="B24">
            <v>36225</v>
          </cell>
        </row>
        <row r="25">
          <cell r="B25">
            <v>36256</v>
          </cell>
        </row>
        <row r="26">
          <cell r="B26">
            <v>36287</v>
          </cell>
        </row>
        <row r="27">
          <cell r="B27">
            <v>36318</v>
          </cell>
        </row>
        <row r="28">
          <cell r="B28">
            <v>36348</v>
          </cell>
        </row>
        <row r="29">
          <cell r="B29">
            <v>36379</v>
          </cell>
        </row>
      </sheetData>
      <sheetData sheetId="3">
        <row r="15">
          <cell r="B15">
            <v>43221</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ow r="2">
          <cell r="B2">
            <v>1</v>
          </cell>
        </row>
      </sheetData>
      <sheetData sheetId="72">
        <row r="2">
          <cell r="B2">
            <v>1</v>
          </cell>
        </row>
      </sheetData>
      <sheetData sheetId="73">
        <row r="2">
          <cell r="B2">
            <v>1</v>
          </cell>
        </row>
      </sheetData>
      <sheetData sheetId="74">
        <row r="2">
          <cell r="B2">
            <v>1</v>
          </cell>
        </row>
      </sheetData>
      <sheetData sheetId="75">
        <row r="2">
          <cell r="B2">
            <v>1</v>
          </cell>
        </row>
      </sheetData>
      <sheetData sheetId="76">
        <row r="2">
          <cell r="B2">
            <v>1</v>
          </cell>
        </row>
      </sheetData>
      <sheetData sheetId="77">
        <row r="2">
          <cell r="B2">
            <v>1</v>
          </cell>
        </row>
      </sheetData>
      <sheetData sheetId="78">
        <row r="2">
          <cell r="B2">
            <v>1</v>
          </cell>
        </row>
      </sheetData>
      <sheetData sheetId="79">
        <row r="2">
          <cell r="B2">
            <v>1</v>
          </cell>
        </row>
      </sheetData>
      <sheetData sheetId="80">
        <row r="1">
          <cell r="J1">
            <v>1.7453292519943295E-2</v>
          </cell>
        </row>
      </sheetData>
      <sheetData sheetId="81">
        <row r="2">
          <cell r="B2">
            <v>1</v>
          </cell>
        </row>
      </sheetData>
      <sheetData sheetId="82">
        <row r="2">
          <cell r="B2">
            <v>1</v>
          </cell>
        </row>
      </sheetData>
      <sheetData sheetId="83">
        <row r="2">
          <cell r="B2">
            <v>1</v>
          </cell>
        </row>
      </sheetData>
      <sheetData sheetId="84">
        <row r="2">
          <cell r="B2">
            <v>1</v>
          </cell>
        </row>
      </sheetData>
      <sheetData sheetId="85">
        <row r="2">
          <cell r="B2">
            <v>1</v>
          </cell>
        </row>
      </sheetData>
      <sheetData sheetId="86">
        <row r="2">
          <cell r="B2">
            <v>1</v>
          </cell>
        </row>
      </sheetData>
      <sheetData sheetId="87"/>
      <sheetData sheetId="88">
        <row r="2">
          <cell r="B2">
            <v>1</v>
          </cell>
        </row>
      </sheetData>
      <sheetData sheetId="89"/>
      <sheetData sheetId="90"/>
      <sheetData sheetId="91"/>
      <sheetData sheetId="92"/>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sheetData sheetId="103" refreshError="1"/>
      <sheetData sheetId="104"/>
      <sheetData sheetId="105"/>
      <sheetData sheetId="106"/>
      <sheetData sheetId="107"/>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ow r="1">
          <cell r="J1">
            <v>1.7453292519943295E-2</v>
          </cell>
        </row>
      </sheetData>
      <sheetData sheetId="138">
        <row r="1">
          <cell r="J1">
            <v>1.7453292519943295E-2</v>
          </cell>
        </row>
      </sheetData>
      <sheetData sheetId="139">
        <row r="1">
          <cell r="J1">
            <v>1.7453292519943295E-2</v>
          </cell>
        </row>
      </sheetData>
      <sheetData sheetId="140">
        <row r="1">
          <cell r="J1">
            <v>1.7453292519943295E-2</v>
          </cell>
        </row>
      </sheetData>
      <sheetData sheetId="141">
        <row r="1">
          <cell r="J1">
            <v>1.7453292519943295E-2</v>
          </cell>
        </row>
      </sheetData>
      <sheetData sheetId="142">
        <row r="1">
          <cell r="J1">
            <v>1.7453292519943295E-2</v>
          </cell>
        </row>
      </sheetData>
      <sheetData sheetId="143">
        <row r="1">
          <cell r="J1">
            <v>1.7453292519943295E-2</v>
          </cell>
        </row>
      </sheetData>
      <sheetData sheetId="144">
        <row r="1">
          <cell r="J1">
            <v>1.7453292519943295E-2</v>
          </cell>
        </row>
      </sheetData>
      <sheetData sheetId="145">
        <row r="1">
          <cell r="J1">
            <v>1.7453292519943295E-2</v>
          </cell>
        </row>
      </sheetData>
      <sheetData sheetId="146">
        <row r="1">
          <cell r="J1">
            <v>1.7453292519943295E-2</v>
          </cell>
        </row>
      </sheetData>
      <sheetData sheetId="147">
        <row r="1">
          <cell r="J1">
            <v>1.7453292519943295E-2</v>
          </cell>
        </row>
      </sheetData>
      <sheetData sheetId="148">
        <row r="1">
          <cell r="J1">
            <v>1.7453292519943295E-2</v>
          </cell>
        </row>
      </sheetData>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2">
          <cell r="B2">
            <v>1</v>
          </cell>
        </row>
      </sheetData>
      <sheetData sheetId="169" refreshError="1"/>
      <sheetData sheetId="170" refreshError="1"/>
      <sheetData sheetId="171" refreshError="1"/>
      <sheetData sheetId="172">
        <row r="2">
          <cell r="B2">
            <v>1</v>
          </cell>
        </row>
      </sheetData>
      <sheetData sheetId="173">
        <row r="2">
          <cell r="B2">
            <v>1</v>
          </cell>
        </row>
      </sheetData>
      <sheetData sheetId="174">
        <row r="2">
          <cell r="B2">
            <v>1</v>
          </cell>
        </row>
      </sheetData>
      <sheetData sheetId="175">
        <row r="2">
          <cell r="B2">
            <v>1</v>
          </cell>
        </row>
      </sheetData>
      <sheetData sheetId="176">
        <row r="2">
          <cell r="B2">
            <v>1</v>
          </cell>
        </row>
      </sheetData>
      <sheetData sheetId="177">
        <row r="2">
          <cell r="B2">
            <v>1</v>
          </cell>
        </row>
      </sheetData>
      <sheetData sheetId="178">
        <row r="2">
          <cell r="B2">
            <v>1</v>
          </cell>
        </row>
      </sheetData>
      <sheetData sheetId="179">
        <row r="1">
          <cell r="J1">
            <v>1.7453292519943295E-2</v>
          </cell>
        </row>
      </sheetData>
      <sheetData sheetId="180">
        <row r="2">
          <cell r="B2">
            <v>1</v>
          </cell>
        </row>
      </sheetData>
      <sheetData sheetId="181">
        <row r="2">
          <cell r="B2">
            <v>1</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ow r="1">
          <cell r="J1">
            <v>1.7453292519943295E-2</v>
          </cell>
        </row>
      </sheetData>
      <sheetData sheetId="329">
        <row r="1">
          <cell r="J1">
            <v>1.7453292519943295E-2</v>
          </cell>
        </row>
      </sheetData>
      <sheetData sheetId="330">
        <row r="1">
          <cell r="J1">
            <v>1.7453292519943295E-2</v>
          </cell>
        </row>
      </sheetData>
      <sheetData sheetId="331">
        <row r="1">
          <cell r="J1">
            <v>1.7453292519943295E-2</v>
          </cell>
        </row>
      </sheetData>
      <sheetData sheetId="332">
        <row r="1">
          <cell r="J1">
            <v>1.7453292519943295E-2</v>
          </cell>
        </row>
      </sheetData>
      <sheetData sheetId="333">
        <row r="1">
          <cell r="J1">
            <v>1.7453292519943295E-2</v>
          </cell>
        </row>
      </sheetData>
      <sheetData sheetId="334">
        <row r="1">
          <cell r="J1">
            <v>1.7453292519943295E-2</v>
          </cell>
        </row>
      </sheetData>
      <sheetData sheetId="335">
        <row r="1">
          <cell r="J1">
            <v>1.7453292519943295E-2</v>
          </cell>
        </row>
      </sheetData>
      <sheetData sheetId="336">
        <row r="1">
          <cell r="J1">
            <v>1.7453292519943295E-2</v>
          </cell>
        </row>
      </sheetData>
      <sheetData sheetId="337">
        <row r="1">
          <cell r="J1">
            <v>1.7453292519943295E-2</v>
          </cell>
        </row>
      </sheetData>
      <sheetData sheetId="338">
        <row r="1">
          <cell r="J1">
            <v>1.7453292519943295E-2</v>
          </cell>
        </row>
      </sheetData>
      <sheetData sheetId="339">
        <row r="1">
          <cell r="J1">
            <v>1.7453292519943295E-2</v>
          </cell>
        </row>
      </sheetData>
      <sheetData sheetId="340">
        <row r="1">
          <cell r="J1">
            <v>1.7453292519943295E-2</v>
          </cell>
        </row>
      </sheetData>
      <sheetData sheetId="341">
        <row r="1">
          <cell r="J1">
            <v>1.7453292519943295E-2</v>
          </cell>
        </row>
      </sheetData>
      <sheetData sheetId="342">
        <row r="1">
          <cell r="J1">
            <v>1.7453292519943295E-2</v>
          </cell>
        </row>
      </sheetData>
      <sheetData sheetId="343">
        <row r="1">
          <cell r="J1">
            <v>1.7453292519943295E-2</v>
          </cell>
        </row>
      </sheetData>
      <sheetData sheetId="344">
        <row r="1">
          <cell r="J1">
            <v>1.7453292519943295E-2</v>
          </cell>
        </row>
      </sheetData>
      <sheetData sheetId="345">
        <row r="1">
          <cell r="J1">
            <v>1.7453292519943295E-2</v>
          </cell>
        </row>
      </sheetData>
      <sheetData sheetId="346">
        <row r="1">
          <cell r="J1">
            <v>1.7453292519943295E-2</v>
          </cell>
        </row>
      </sheetData>
      <sheetData sheetId="347">
        <row r="1">
          <cell r="J1">
            <v>1.7453292519943295E-2</v>
          </cell>
        </row>
      </sheetData>
      <sheetData sheetId="348">
        <row r="1">
          <cell r="J1">
            <v>1.7453292519943295E-2</v>
          </cell>
        </row>
      </sheetData>
      <sheetData sheetId="349">
        <row r="1">
          <cell r="J1">
            <v>1.7453292519943295E-2</v>
          </cell>
        </row>
      </sheetData>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ow r="1">
          <cell r="J1">
            <v>1.7453292519943295E-2</v>
          </cell>
        </row>
      </sheetData>
      <sheetData sheetId="358">
        <row r="1">
          <cell r="J1">
            <v>1.7453292519943295E-2</v>
          </cell>
        </row>
      </sheetData>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ow r="2">
          <cell r="B2">
            <v>1</v>
          </cell>
        </row>
      </sheetData>
      <sheetData sheetId="378">
        <row r="2">
          <cell r="B2">
            <v>1</v>
          </cell>
        </row>
      </sheetData>
      <sheetData sheetId="379">
        <row r="1">
          <cell r="J1">
            <v>1.7453292519943295E-2</v>
          </cell>
        </row>
      </sheetData>
      <sheetData sheetId="380">
        <row r="1">
          <cell r="J1">
            <v>1.7453292519943295E-2</v>
          </cell>
        </row>
      </sheetData>
      <sheetData sheetId="381">
        <row r="1">
          <cell r="J1">
            <v>1.7453292519943295E-2</v>
          </cell>
        </row>
      </sheetData>
      <sheetData sheetId="382">
        <row r="1">
          <cell r="J1">
            <v>1.7453292519943295E-2</v>
          </cell>
        </row>
      </sheetData>
      <sheetData sheetId="383">
        <row r="1">
          <cell r="J1">
            <v>1.7453292519943295E-2</v>
          </cell>
        </row>
      </sheetData>
      <sheetData sheetId="384">
        <row r="1">
          <cell r="J1">
            <v>1.7453292519943295E-2</v>
          </cell>
        </row>
      </sheetData>
      <sheetData sheetId="385">
        <row r="1">
          <cell r="J1">
            <v>1.7453292519943295E-2</v>
          </cell>
        </row>
      </sheetData>
      <sheetData sheetId="386">
        <row r="1">
          <cell r="J1">
            <v>1.7453292519943295E-2</v>
          </cell>
        </row>
      </sheetData>
      <sheetData sheetId="387">
        <row r="1">
          <cell r="J1">
            <v>1.7453292519943295E-2</v>
          </cell>
        </row>
      </sheetData>
      <sheetData sheetId="388">
        <row r="1">
          <cell r="J1">
            <v>1.7453292519943295E-2</v>
          </cell>
        </row>
      </sheetData>
      <sheetData sheetId="389">
        <row r="1">
          <cell r="J1">
            <v>1.7453292519943295E-2</v>
          </cell>
        </row>
      </sheetData>
      <sheetData sheetId="390">
        <row r="1">
          <cell r="J1">
            <v>1.7453292519943295E-2</v>
          </cell>
        </row>
      </sheetData>
      <sheetData sheetId="391">
        <row r="1">
          <cell r="J1">
            <v>1.7453292519943295E-2</v>
          </cell>
        </row>
      </sheetData>
      <sheetData sheetId="392">
        <row r="1">
          <cell r="J1">
            <v>1.7453292519943295E-2</v>
          </cell>
        </row>
      </sheetData>
      <sheetData sheetId="393">
        <row r="1">
          <cell r="J1">
            <v>1.7453292519943295E-2</v>
          </cell>
        </row>
      </sheetData>
      <sheetData sheetId="394">
        <row r="1">
          <cell r="J1">
            <v>1.7453292519943295E-2</v>
          </cell>
        </row>
      </sheetData>
      <sheetData sheetId="395">
        <row r="1">
          <cell r="J1">
            <v>1.7453292519943295E-2</v>
          </cell>
        </row>
      </sheetData>
      <sheetData sheetId="396">
        <row r="1">
          <cell r="J1">
            <v>1.7453292519943295E-2</v>
          </cell>
        </row>
      </sheetData>
      <sheetData sheetId="397">
        <row r="1">
          <cell r="J1">
            <v>1.7453292519943295E-2</v>
          </cell>
        </row>
      </sheetData>
      <sheetData sheetId="398">
        <row r="1">
          <cell r="J1">
            <v>1.7453292519943295E-2</v>
          </cell>
        </row>
      </sheetData>
      <sheetData sheetId="399">
        <row r="1">
          <cell r="J1">
            <v>1.7453292519943295E-2</v>
          </cell>
        </row>
      </sheetData>
      <sheetData sheetId="400">
        <row r="1">
          <cell r="J1">
            <v>1.7453292519943295E-2</v>
          </cell>
        </row>
      </sheetData>
      <sheetData sheetId="401">
        <row r="1">
          <cell r="J1">
            <v>1.7453292519943295E-2</v>
          </cell>
        </row>
      </sheetData>
      <sheetData sheetId="402">
        <row r="1">
          <cell r="J1">
            <v>1.7453292519943295E-2</v>
          </cell>
        </row>
      </sheetData>
      <sheetData sheetId="403">
        <row r="1">
          <cell r="J1">
            <v>1.7453292519943295E-2</v>
          </cell>
        </row>
      </sheetData>
      <sheetData sheetId="404">
        <row r="1">
          <cell r="J1">
            <v>1.7453292519943295E-2</v>
          </cell>
        </row>
      </sheetData>
      <sheetData sheetId="405">
        <row r="1">
          <cell r="J1">
            <v>1.7453292519943295E-2</v>
          </cell>
        </row>
      </sheetData>
      <sheetData sheetId="406">
        <row r="1">
          <cell r="J1">
            <v>1.7453292519943295E-2</v>
          </cell>
        </row>
      </sheetData>
      <sheetData sheetId="407">
        <row r="1">
          <cell r="J1">
            <v>1.7453292519943295E-2</v>
          </cell>
        </row>
      </sheetData>
      <sheetData sheetId="408">
        <row r="1">
          <cell r="J1">
            <v>1.7453292519943295E-2</v>
          </cell>
        </row>
      </sheetData>
      <sheetData sheetId="409">
        <row r="1">
          <cell r="J1">
            <v>1.7453292519943295E-2</v>
          </cell>
        </row>
      </sheetData>
      <sheetData sheetId="410">
        <row r="1">
          <cell r="J1">
            <v>1.7453292519943295E-2</v>
          </cell>
        </row>
      </sheetData>
      <sheetData sheetId="411">
        <row r="1">
          <cell r="J1">
            <v>1.7453292519943295E-2</v>
          </cell>
        </row>
      </sheetData>
      <sheetData sheetId="412">
        <row r="1">
          <cell r="J1">
            <v>1.7453292519943295E-2</v>
          </cell>
        </row>
      </sheetData>
      <sheetData sheetId="413">
        <row r="1">
          <cell r="J1">
            <v>1.7453292519943295E-2</v>
          </cell>
        </row>
      </sheetData>
      <sheetData sheetId="414" refreshError="1"/>
      <sheetData sheetId="415" refreshError="1"/>
      <sheetData sheetId="416" refreshError="1"/>
      <sheetData sheetId="417"/>
      <sheetData sheetId="418"/>
      <sheetData sheetId="419"/>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ow r="1">
          <cell r="J1">
            <v>1.7453292519943295E-2</v>
          </cell>
        </row>
      </sheetData>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ow r="1">
          <cell r="J1">
            <v>1.7453292519943295E-2</v>
          </cell>
        </row>
      </sheetData>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ow r="1">
          <cell r="J1">
            <v>1.7453292519943295E-2</v>
          </cell>
        </row>
      </sheetData>
      <sheetData sheetId="1623">
        <row r="1">
          <cell r="J1">
            <v>1.7453292519943295E-2</v>
          </cell>
        </row>
      </sheetData>
      <sheetData sheetId="1624">
        <row r="1">
          <cell r="J1">
            <v>1.7453292519943295E-2</v>
          </cell>
        </row>
      </sheetData>
      <sheetData sheetId="1625">
        <row r="1">
          <cell r="J1">
            <v>1.7453292519943295E-2</v>
          </cell>
        </row>
      </sheetData>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ow r="1">
          <cell r="J1">
            <v>1.7453292519943295E-2</v>
          </cell>
        </row>
      </sheetData>
      <sheetData sheetId="1633">
        <row r="1">
          <cell r="J1">
            <v>1.7453292519943295E-2</v>
          </cell>
        </row>
      </sheetData>
      <sheetData sheetId="1634">
        <row r="1">
          <cell r="J1">
            <v>1.7453292519943295E-2</v>
          </cell>
        </row>
      </sheetData>
      <sheetData sheetId="1635">
        <row r="1">
          <cell r="J1">
            <v>1.7453292519943295E-2</v>
          </cell>
        </row>
      </sheetData>
      <sheetData sheetId="1636">
        <row r="1">
          <cell r="J1">
            <v>1.7453292519943295E-2</v>
          </cell>
        </row>
      </sheetData>
      <sheetData sheetId="1637">
        <row r="1">
          <cell r="J1">
            <v>1.7453292519943295E-2</v>
          </cell>
        </row>
      </sheetData>
      <sheetData sheetId="1638">
        <row r="1">
          <cell r="J1">
            <v>1.7453292519943295E-2</v>
          </cell>
        </row>
      </sheetData>
      <sheetData sheetId="1639" refreshError="1"/>
      <sheetData sheetId="1640" refreshError="1"/>
      <sheetData sheetId="1641">
        <row r="1">
          <cell r="J1">
            <v>1.7453292519943295E-2</v>
          </cell>
        </row>
      </sheetData>
      <sheetData sheetId="1642" refreshError="1"/>
      <sheetData sheetId="1643" refreshError="1"/>
      <sheetData sheetId="1644" refreshError="1"/>
      <sheetData sheetId="1645">
        <row r="1">
          <cell r="J1">
            <v>1.7453292519943295E-2</v>
          </cell>
        </row>
      </sheetData>
      <sheetData sheetId="1646" refreshError="1"/>
      <sheetData sheetId="1647" refreshError="1"/>
      <sheetData sheetId="1648">
        <row r="1">
          <cell r="J1">
            <v>1.7453292519943295E-2</v>
          </cell>
        </row>
      </sheetData>
      <sheetData sheetId="1649">
        <row r="1">
          <cell r="J1">
            <v>1.7453292519943295E-2</v>
          </cell>
        </row>
      </sheetData>
      <sheetData sheetId="1650">
        <row r="1">
          <cell r="J1">
            <v>1.7453292519943295E-2</v>
          </cell>
        </row>
      </sheetData>
      <sheetData sheetId="1651">
        <row r="1">
          <cell r="J1">
            <v>1.7453292519943295E-2</v>
          </cell>
        </row>
      </sheetData>
      <sheetData sheetId="1652">
        <row r="1">
          <cell r="J1">
            <v>1.7453292519943295E-2</v>
          </cell>
        </row>
      </sheetData>
      <sheetData sheetId="1653">
        <row r="1">
          <cell r="J1">
            <v>1.7453292519943295E-2</v>
          </cell>
        </row>
      </sheetData>
      <sheetData sheetId="1654">
        <row r="1">
          <cell r="J1">
            <v>1.7453292519943295E-2</v>
          </cell>
        </row>
      </sheetData>
      <sheetData sheetId="1655">
        <row r="1">
          <cell r="J1">
            <v>1.7453292519943295E-2</v>
          </cell>
        </row>
      </sheetData>
      <sheetData sheetId="1656">
        <row r="1">
          <cell r="J1">
            <v>1.7453292519943295E-2</v>
          </cell>
        </row>
      </sheetData>
      <sheetData sheetId="1657">
        <row r="1">
          <cell r="J1">
            <v>1.7453292519943295E-2</v>
          </cell>
        </row>
      </sheetData>
      <sheetData sheetId="1658">
        <row r="1">
          <cell r="J1">
            <v>1.7453292519943295E-2</v>
          </cell>
        </row>
      </sheetData>
      <sheetData sheetId="1659">
        <row r="1">
          <cell r="J1">
            <v>1.7453292519943295E-2</v>
          </cell>
        </row>
      </sheetData>
      <sheetData sheetId="1660">
        <row r="1">
          <cell r="J1">
            <v>1.7453292519943295E-2</v>
          </cell>
        </row>
      </sheetData>
      <sheetData sheetId="1661">
        <row r="1">
          <cell r="J1">
            <v>1.7453292519943295E-2</v>
          </cell>
        </row>
      </sheetData>
      <sheetData sheetId="1662">
        <row r="1">
          <cell r="J1">
            <v>1.7453292519943295E-2</v>
          </cell>
        </row>
      </sheetData>
      <sheetData sheetId="1663">
        <row r="1">
          <cell r="J1">
            <v>1.7453292519943295E-2</v>
          </cell>
        </row>
      </sheetData>
      <sheetData sheetId="1664">
        <row r="1">
          <cell r="J1">
            <v>1.7453292519943295E-2</v>
          </cell>
        </row>
      </sheetData>
      <sheetData sheetId="1665">
        <row r="1">
          <cell r="J1">
            <v>1.7453292519943295E-2</v>
          </cell>
        </row>
      </sheetData>
      <sheetData sheetId="1666">
        <row r="1">
          <cell r="J1">
            <v>1.7453292519943295E-2</v>
          </cell>
        </row>
      </sheetData>
      <sheetData sheetId="1667">
        <row r="1">
          <cell r="J1">
            <v>1.7453292519943295E-2</v>
          </cell>
        </row>
      </sheetData>
      <sheetData sheetId="1668">
        <row r="1">
          <cell r="J1">
            <v>1.7453292519943295E-2</v>
          </cell>
        </row>
      </sheetData>
      <sheetData sheetId="1669">
        <row r="1">
          <cell r="J1">
            <v>1.7453292519943295E-2</v>
          </cell>
        </row>
      </sheetData>
      <sheetData sheetId="1670">
        <row r="1">
          <cell r="J1">
            <v>1.7453292519943295E-2</v>
          </cell>
        </row>
      </sheetData>
      <sheetData sheetId="1671">
        <row r="1">
          <cell r="J1">
            <v>1.7453292519943295E-2</v>
          </cell>
        </row>
      </sheetData>
      <sheetData sheetId="1672">
        <row r="1">
          <cell r="J1">
            <v>1.7453292519943295E-2</v>
          </cell>
        </row>
      </sheetData>
      <sheetData sheetId="1673">
        <row r="1">
          <cell r="J1">
            <v>1.7453292519943295E-2</v>
          </cell>
        </row>
      </sheetData>
      <sheetData sheetId="1674">
        <row r="1">
          <cell r="J1">
            <v>1.7453292519943295E-2</v>
          </cell>
        </row>
      </sheetData>
      <sheetData sheetId="1675">
        <row r="1">
          <cell r="J1">
            <v>1.7453292519943295E-2</v>
          </cell>
        </row>
      </sheetData>
      <sheetData sheetId="1676">
        <row r="1">
          <cell r="J1">
            <v>1.7453292519943295E-2</v>
          </cell>
        </row>
      </sheetData>
      <sheetData sheetId="1677">
        <row r="1">
          <cell r="J1">
            <v>1.7453292519943295E-2</v>
          </cell>
        </row>
      </sheetData>
      <sheetData sheetId="1678">
        <row r="1">
          <cell r="J1">
            <v>1.7453292519943295E-2</v>
          </cell>
        </row>
      </sheetData>
      <sheetData sheetId="1679">
        <row r="1">
          <cell r="J1">
            <v>1.7453292519943295E-2</v>
          </cell>
        </row>
      </sheetData>
      <sheetData sheetId="1680">
        <row r="1">
          <cell r="J1">
            <v>1.7453292519943295E-2</v>
          </cell>
        </row>
      </sheetData>
      <sheetData sheetId="1681">
        <row r="1">
          <cell r="J1">
            <v>1.7453292519943295E-2</v>
          </cell>
        </row>
      </sheetData>
      <sheetData sheetId="1682">
        <row r="1">
          <cell r="J1">
            <v>1.7453292519943295E-2</v>
          </cell>
        </row>
      </sheetData>
      <sheetData sheetId="1683">
        <row r="1">
          <cell r="J1">
            <v>1.7453292519943295E-2</v>
          </cell>
        </row>
      </sheetData>
      <sheetData sheetId="1684">
        <row r="1">
          <cell r="J1">
            <v>1.7453292519943295E-2</v>
          </cell>
        </row>
      </sheetData>
      <sheetData sheetId="1685">
        <row r="1">
          <cell r="J1">
            <v>1.7453292519943295E-2</v>
          </cell>
        </row>
      </sheetData>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ow r="1">
          <cell r="J1">
            <v>1.7453292519943295E-2</v>
          </cell>
        </row>
      </sheetData>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ow r="1">
          <cell r="J1">
            <v>1.7453292519943295E-2</v>
          </cell>
        </row>
      </sheetData>
      <sheetData sheetId="1717">
        <row r="1">
          <cell r="J1">
            <v>1.7453292519943295E-2</v>
          </cell>
        </row>
      </sheetData>
      <sheetData sheetId="1718">
        <row r="1">
          <cell r="J1">
            <v>1.7453292519943295E-2</v>
          </cell>
        </row>
      </sheetData>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ow r="1">
          <cell r="J1">
            <v>1.7453292519943295E-2</v>
          </cell>
        </row>
      </sheetData>
      <sheetData sheetId="1726">
        <row r="1">
          <cell r="J1">
            <v>1.7453292519943295E-2</v>
          </cell>
        </row>
      </sheetData>
      <sheetData sheetId="1727">
        <row r="1">
          <cell r="J1">
            <v>1.7453292519943295E-2</v>
          </cell>
        </row>
      </sheetData>
      <sheetData sheetId="1728">
        <row r="1">
          <cell r="J1">
            <v>1.7453292519943295E-2</v>
          </cell>
        </row>
      </sheetData>
      <sheetData sheetId="1729">
        <row r="1">
          <cell r="J1">
            <v>1.7453292519943295E-2</v>
          </cell>
        </row>
      </sheetData>
      <sheetData sheetId="1730">
        <row r="1">
          <cell r="J1">
            <v>1.7453292519943295E-2</v>
          </cell>
        </row>
      </sheetData>
      <sheetData sheetId="1731">
        <row r="1">
          <cell r="J1">
            <v>1.7453292519943295E-2</v>
          </cell>
        </row>
      </sheetData>
      <sheetData sheetId="1732">
        <row r="1">
          <cell r="J1">
            <v>1.7453292519943295E-2</v>
          </cell>
        </row>
      </sheetData>
      <sheetData sheetId="1733">
        <row r="1">
          <cell r="J1">
            <v>1.7453292519943295E-2</v>
          </cell>
        </row>
      </sheetData>
      <sheetData sheetId="1734">
        <row r="1">
          <cell r="J1">
            <v>1.7453292519943295E-2</v>
          </cell>
        </row>
      </sheetData>
      <sheetData sheetId="1735">
        <row r="1">
          <cell r="J1">
            <v>1.7453292519943295E-2</v>
          </cell>
        </row>
      </sheetData>
      <sheetData sheetId="1736">
        <row r="1">
          <cell r="J1">
            <v>1.7453292519943295E-2</v>
          </cell>
        </row>
      </sheetData>
      <sheetData sheetId="1737">
        <row r="1">
          <cell r="J1">
            <v>1.7453292519943295E-2</v>
          </cell>
        </row>
      </sheetData>
      <sheetData sheetId="1738">
        <row r="1">
          <cell r="J1">
            <v>1.7453292519943295E-2</v>
          </cell>
        </row>
      </sheetData>
      <sheetData sheetId="1739">
        <row r="1">
          <cell r="J1">
            <v>1.7453292519943295E-2</v>
          </cell>
        </row>
      </sheetData>
      <sheetData sheetId="1740">
        <row r="1">
          <cell r="J1">
            <v>1.7453292519943295E-2</v>
          </cell>
        </row>
      </sheetData>
      <sheetData sheetId="1741">
        <row r="1">
          <cell r="J1">
            <v>1.7453292519943295E-2</v>
          </cell>
        </row>
      </sheetData>
      <sheetData sheetId="1742">
        <row r="1">
          <cell r="J1">
            <v>1.7453292519943295E-2</v>
          </cell>
        </row>
      </sheetData>
      <sheetData sheetId="1743">
        <row r="1">
          <cell r="J1">
            <v>1.7453292519943295E-2</v>
          </cell>
        </row>
      </sheetData>
      <sheetData sheetId="1744">
        <row r="1">
          <cell r="J1">
            <v>1.7453292519943295E-2</v>
          </cell>
        </row>
      </sheetData>
      <sheetData sheetId="1745">
        <row r="1">
          <cell r="J1">
            <v>1.7453292519943295E-2</v>
          </cell>
        </row>
      </sheetData>
      <sheetData sheetId="1746">
        <row r="1">
          <cell r="J1">
            <v>1.7453292519943295E-2</v>
          </cell>
        </row>
      </sheetData>
      <sheetData sheetId="1747">
        <row r="1">
          <cell r="J1">
            <v>1.7453292519943295E-2</v>
          </cell>
        </row>
      </sheetData>
      <sheetData sheetId="1748">
        <row r="1">
          <cell r="J1">
            <v>1.7453292519943295E-2</v>
          </cell>
        </row>
      </sheetData>
      <sheetData sheetId="1749">
        <row r="1">
          <cell r="J1">
            <v>1.7453292519943295E-2</v>
          </cell>
        </row>
      </sheetData>
      <sheetData sheetId="1750">
        <row r="1">
          <cell r="J1">
            <v>1.7453292519943295E-2</v>
          </cell>
        </row>
      </sheetData>
      <sheetData sheetId="1751">
        <row r="1">
          <cell r="J1">
            <v>1.7453292519943295E-2</v>
          </cell>
        </row>
      </sheetData>
      <sheetData sheetId="1752">
        <row r="1">
          <cell r="J1">
            <v>1.7453292519943295E-2</v>
          </cell>
        </row>
      </sheetData>
      <sheetData sheetId="1753">
        <row r="1">
          <cell r="J1">
            <v>1.7453292519943295E-2</v>
          </cell>
        </row>
      </sheetData>
      <sheetData sheetId="1754">
        <row r="1">
          <cell r="J1">
            <v>1.7453292519943295E-2</v>
          </cell>
        </row>
      </sheetData>
      <sheetData sheetId="1755">
        <row r="1">
          <cell r="J1">
            <v>1.7453292519943295E-2</v>
          </cell>
        </row>
      </sheetData>
      <sheetData sheetId="1756">
        <row r="1">
          <cell r="J1">
            <v>1.7453292519943295E-2</v>
          </cell>
        </row>
      </sheetData>
      <sheetData sheetId="1757">
        <row r="1">
          <cell r="J1">
            <v>1.7453292519943295E-2</v>
          </cell>
        </row>
      </sheetData>
      <sheetData sheetId="1758">
        <row r="1">
          <cell r="J1">
            <v>1.7453292519943295E-2</v>
          </cell>
        </row>
      </sheetData>
      <sheetData sheetId="1759">
        <row r="1">
          <cell r="J1">
            <v>1.7453292519943295E-2</v>
          </cell>
        </row>
      </sheetData>
      <sheetData sheetId="1760">
        <row r="1">
          <cell r="J1">
            <v>1.7453292519943295E-2</v>
          </cell>
        </row>
      </sheetData>
      <sheetData sheetId="1761">
        <row r="1">
          <cell r="J1">
            <v>1.7453292519943295E-2</v>
          </cell>
        </row>
      </sheetData>
      <sheetData sheetId="1762">
        <row r="1">
          <cell r="J1">
            <v>1.7453292519943295E-2</v>
          </cell>
        </row>
      </sheetData>
      <sheetData sheetId="1763">
        <row r="1">
          <cell r="J1">
            <v>1.7453292519943295E-2</v>
          </cell>
        </row>
      </sheetData>
      <sheetData sheetId="1764">
        <row r="1">
          <cell r="J1">
            <v>1.7453292519943295E-2</v>
          </cell>
        </row>
      </sheetData>
      <sheetData sheetId="1765">
        <row r="1">
          <cell r="J1">
            <v>1.7453292519943295E-2</v>
          </cell>
        </row>
      </sheetData>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ow r="1">
          <cell r="J1">
            <v>1.7453292519943295E-2</v>
          </cell>
        </row>
      </sheetData>
      <sheetData sheetId="1781">
        <row r="1">
          <cell r="J1">
            <v>1.7453292519943295E-2</v>
          </cell>
        </row>
      </sheetData>
      <sheetData sheetId="1782">
        <row r="1">
          <cell r="J1">
            <v>1.7453292519943295E-2</v>
          </cell>
        </row>
      </sheetData>
      <sheetData sheetId="1783">
        <row r="1">
          <cell r="J1">
            <v>1.7453292519943295E-2</v>
          </cell>
        </row>
      </sheetData>
      <sheetData sheetId="1784">
        <row r="1">
          <cell r="J1">
            <v>1.7453292519943295E-2</v>
          </cell>
        </row>
      </sheetData>
      <sheetData sheetId="1785">
        <row r="1">
          <cell r="J1">
            <v>1.7453292519943295E-2</v>
          </cell>
        </row>
      </sheetData>
      <sheetData sheetId="1786">
        <row r="1">
          <cell r="J1">
            <v>1.7453292519943295E-2</v>
          </cell>
        </row>
      </sheetData>
      <sheetData sheetId="1787">
        <row r="1">
          <cell r="J1">
            <v>1.7453292519943295E-2</v>
          </cell>
        </row>
      </sheetData>
      <sheetData sheetId="1788">
        <row r="1">
          <cell r="J1">
            <v>1.7453292519943295E-2</v>
          </cell>
        </row>
      </sheetData>
      <sheetData sheetId="1789">
        <row r="1">
          <cell r="J1">
            <v>1.7453292519943295E-2</v>
          </cell>
        </row>
      </sheetData>
      <sheetData sheetId="1790">
        <row r="1">
          <cell r="J1">
            <v>1.7453292519943295E-2</v>
          </cell>
        </row>
      </sheetData>
      <sheetData sheetId="1791">
        <row r="1">
          <cell r="J1">
            <v>1.7453292519943295E-2</v>
          </cell>
        </row>
      </sheetData>
      <sheetData sheetId="1792">
        <row r="1">
          <cell r="J1">
            <v>1.7453292519943295E-2</v>
          </cell>
        </row>
      </sheetData>
      <sheetData sheetId="1793">
        <row r="1">
          <cell r="J1">
            <v>1.7453292519943295E-2</v>
          </cell>
        </row>
      </sheetData>
      <sheetData sheetId="1794">
        <row r="1">
          <cell r="J1">
            <v>1.7453292519943295E-2</v>
          </cell>
        </row>
      </sheetData>
      <sheetData sheetId="1795">
        <row r="1">
          <cell r="J1">
            <v>1.7453292519943295E-2</v>
          </cell>
        </row>
      </sheetData>
      <sheetData sheetId="1796">
        <row r="1">
          <cell r="J1">
            <v>1.7453292519943295E-2</v>
          </cell>
        </row>
      </sheetData>
      <sheetData sheetId="1797">
        <row r="1">
          <cell r="J1">
            <v>1.7453292519943295E-2</v>
          </cell>
        </row>
      </sheetData>
      <sheetData sheetId="1798">
        <row r="1">
          <cell r="J1">
            <v>1.7453292519943295E-2</v>
          </cell>
        </row>
      </sheetData>
      <sheetData sheetId="1799">
        <row r="1">
          <cell r="J1">
            <v>1.7453292519943295E-2</v>
          </cell>
        </row>
      </sheetData>
      <sheetData sheetId="1800">
        <row r="1">
          <cell r="J1">
            <v>1.7453292519943295E-2</v>
          </cell>
        </row>
      </sheetData>
      <sheetData sheetId="1801">
        <row r="1">
          <cell r="J1">
            <v>1.7453292519943295E-2</v>
          </cell>
        </row>
      </sheetData>
      <sheetData sheetId="1802">
        <row r="1">
          <cell r="J1">
            <v>1.7453292519943295E-2</v>
          </cell>
        </row>
      </sheetData>
      <sheetData sheetId="1803">
        <row r="1">
          <cell r="J1">
            <v>1.7453292519943295E-2</v>
          </cell>
        </row>
      </sheetData>
      <sheetData sheetId="1804">
        <row r="1">
          <cell r="J1">
            <v>1.7453292519943295E-2</v>
          </cell>
        </row>
      </sheetData>
      <sheetData sheetId="1805">
        <row r="1">
          <cell r="J1">
            <v>1.7453292519943295E-2</v>
          </cell>
        </row>
      </sheetData>
      <sheetData sheetId="1806">
        <row r="1">
          <cell r="J1">
            <v>1.7453292519943295E-2</v>
          </cell>
        </row>
      </sheetData>
      <sheetData sheetId="1807">
        <row r="1">
          <cell r="J1">
            <v>1.7453292519943295E-2</v>
          </cell>
        </row>
      </sheetData>
      <sheetData sheetId="1808">
        <row r="1">
          <cell r="J1">
            <v>1.7453292519943295E-2</v>
          </cell>
        </row>
      </sheetData>
      <sheetData sheetId="1809">
        <row r="1">
          <cell r="J1">
            <v>1.7453292519943295E-2</v>
          </cell>
        </row>
      </sheetData>
      <sheetData sheetId="1810">
        <row r="1">
          <cell r="J1">
            <v>1.7453292519943295E-2</v>
          </cell>
        </row>
      </sheetData>
      <sheetData sheetId="1811">
        <row r="1">
          <cell r="J1">
            <v>1.7453292519943295E-2</v>
          </cell>
        </row>
      </sheetData>
      <sheetData sheetId="1812">
        <row r="1">
          <cell r="J1">
            <v>1.7453292519943295E-2</v>
          </cell>
        </row>
      </sheetData>
      <sheetData sheetId="1813">
        <row r="1">
          <cell r="J1">
            <v>1.7453292519943295E-2</v>
          </cell>
        </row>
      </sheetData>
      <sheetData sheetId="1814">
        <row r="1">
          <cell r="J1">
            <v>1.7453292519943295E-2</v>
          </cell>
        </row>
      </sheetData>
      <sheetData sheetId="1815">
        <row r="1">
          <cell r="J1">
            <v>1.7453292519943295E-2</v>
          </cell>
        </row>
      </sheetData>
      <sheetData sheetId="1816">
        <row r="1">
          <cell r="J1">
            <v>1.7453292519943295E-2</v>
          </cell>
        </row>
      </sheetData>
      <sheetData sheetId="1817">
        <row r="1">
          <cell r="J1">
            <v>1.7453292519943295E-2</v>
          </cell>
        </row>
      </sheetData>
      <sheetData sheetId="1818">
        <row r="1">
          <cell r="J1">
            <v>1.7453292519943295E-2</v>
          </cell>
        </row>
      </sheetData>
      <sheetData sheetId="1819">
        <row r="1">
          <cell r="J1">
            <v>1.7453292519943295E-2</v>
          </cell>
        </row>
      </sheetData>
      <sheetData sheetId="1820">
        <row r="1">
          <cell r="J1">
            <v>1.7453292519943295E-2</v>
          </cell>
        </row>
      </sheetData>
      <sheetData sheetId="1821">
        <row r="1">
          <cell r="J1">
            <v>1.7453292519943295E-2</v>
          </cell>
        </row>
      </sheetData>
      <sheetData sheetId="1822">
        <row r="1">
          <cell r="J1">
            <v>1.7453292519943295E-2</v>
          </cell>
        </row>
      </sheetData>
      <sheetData sheetId="1823">
        <row r="1">
          <cell r="J1">
            <v>1.7453292519943295E-2</v>
          </cell>
        </row>
      </sheetData>
      <sheetData sheetId="1824">
        <row r="1">
          <cell r="J1">
            <v>1.7453292519943295E-2</v>
          </cell>
        </row>
      </sheetData>
      <sheetData sheetId="1825">
        <row r="1">
          <cell r="J1">
            <v>1.7453292519943295E-2</v>
          </cell>
        </row>
      </sheetData>
      <sheetData sheetId="1826">
        <row r="1">
          <cell r="J1">
            <v>1.7453292519943295E-2</v>
          </cell>
        </row>
      </sheetData>
      <sheetData sheetId="1827">
        <row r="1">
          <cell r="J1">
            <v>1.7453292519943295E-2</v>
          </cell>
        </row>
      </sheetData>
      <sheetData sheetId="1828">
        <row r="1">
          <cell r="J1">
            <v>1.7453292519943295E-2</v>
          </cell>
        </row>
      </sheetData>
      <sheetData sheetId="1829">
        <row r="1">
          <cell r="J1">
            <v>1.7453292519943295E-2</v>
          </cell>
        </row>
      </sheetData>
      <sheetData sheetId="1830">
        <row r="1">
          <cell r="J1">
            <v>1.7453292519943295E-2</v>
          </cell>
        </row>
      </sheetData>
      <sheetData sheetId="1831">
        <row r="1">
          <cell r="J1">
            <v>1.7453292519943295E-2</v>
          </cell>
        </row>
      </sheetData>
      <sheetData sheetId="1832">
        <row r="1">
          <cell r="J1">
            <v>1.7453292519943295E-2</v>
          </cell>
        </row>
      </sheetData>
      <sheetData sheetId="1833">
        <row r="1">
          <cell r="J1">
            <v>1.7453292519943295E-2</v>
          </cell>
        </row>
      </sheetData>
      <sheetData sheetId="1834">
        <row r="1">
          <cell r="J1">
            <v>1.7453292519943295E-2</v>
          </cell>
        </row>
      </sheetData>
      <sheetData sheetId="1835">
        <row r="1">
          <cell r="J1">
            <v>1.7453292519943295E-2</v>
          </cell>
        </row>
      </sheetData>
      <sheetData sheetId="1836">
        <row r="1">
          <cell r="J1">
            <v>1.7453292519943295E-2</v>
          </cell>
        </row>
      </sheetData>
      <sheetData sheetId="1837">
        <row r="1">
          <cell r="J1">
            <v>1.7453292519943295E-2</v>
          </cell>
        </row>
      </sheetData>
      <sheetData sheetId="1838">
        <row r="1">
          <cell r="J1">
            <v>1.7453292519943295E-2</v>
          </cell>
        </row>
      </sheetData>
      <sheetData sheetId="1839">
        <row r="1">
          <cell r="J1">
            <v>1.7453292519943295E-2</v>
          </cell>
        </row>
      </sheetData>
      <sheetData sheetId="1840">
        <row r="1">
          <cell r="J1">
            <v>1.7453292519943295E-2</v>
          </cell>
        </row>
      </sheetData>
      <sheetData sheetId="1841">
        <row r="1">
          <cell r="J1">
            <v>1.7453292519943295E-2</v>
          </cell>
        </row>
      </sheetData>
      <sheetData sheetId="1842">
        <row r="1">
          <cell r="J1">
            <v>1.7453292519943295E-2</v>
          </cell>
        </row>
      </sheetData>
      <sheetData sheetId="1843">
        <row r="1">
          <cell r="J1">
            <v>1.7453292519943295E-2</v>
          </cell>
        </row>
      </sheetData>
      <sheetData sheetId="1844">
        <row r="1">
          <cell r="J1">
            <v>1.7453292519943295E-2</v>
          </cell>
        </row>
      </sheetData>
      <sheetData sheetId="1845">
        <row r="1">
          <cell r="J1">
            <v>1.7453292519943295E-2</v>
          </cell>
        </row>
      </sheetData>
      <sheetData sheetId="1846">
        <row r="1">
          <cell r="J1">
            <v>1.7453292519943295E-2</v>
          </cell>
        </row>
      </sheetData>
      <sheetData sheetId="1847">
        <row r="1">
          <cell r="J1">
            <v>1.7453292519943295E-2</v>
          </cell>
        </row>
      </sheetData>
      <sheetData sheetId="1848">
        <row r="1">
          <cell r="J1">
            <v>1.7453292519943295E-2</v>
          </cell>
        </row>
      </sheetData>
      <sheetData sheetId="1849">
        <row r="1">
          <cell r="J1">
            <v>1.7453292519943295E-2</v>
          </cell>
        </row>
      </sheetData>
      <sheetData sheetId="1850">
        <row r="1">
          <cell r="J1">
            <v>1.7453292519943295E-2</v>
          </cell>
        </row>
      </sheetData>
      <sheetData sheetId="1851">
        <row r="1">
          <cell r="J1">
            <v>1.7453292519943295E-2</v>
          </cell>
        </row>
      </sheetData>
      <sheetData sheetId="1852">
        <row r="1">
          <cell r="J1">
            <v>1.7453292519943295E-2</v>
          </cell>
        </row>
      </sheetData>
      <sheetData sheetId="1853">
        <row r="1">
          <cell r="J1">
            <v>1.7453292519943295E-2</v>
          </cell>
        </row>
      </sheetData>
      <sheetData sheetId="1854">
        <row r="1">
          <cell r="J1">
            <v>1.7453292519943295E-2</v>
          </cell>
        </row>
      </sheetData>
      <sheetData sheetId="1855">
        <row r="1">
          <cell r="J1">
            <v>1.7453292519943295E-2</v>
          </cell>
        </row>
      </sheetData>
      <sheetData sheetId="1856">
        <row r="1">
          <cell r="J1">
            <v>1.7453292519943295E-2</v>
          </cell>
        </row>
      </sheetData>
      <sheetData sheetId="1857">
        <row r="1">
          <cell r="J1">
            <v>1.7453292519943295E-2</v>
          </cell>
        </row>
      </sheetData>
      <sheetData sheetId="1858">
        <row r="1">
          <cell r="J1">
            <v>1.7453292519943295E-2</v>
          </cell>
        </row>
      </sheetData>
      <sheetData sheetId="1859">
        <row r="1">
          <cell r="J1">
            <v>1.7453292519943295E-2</v>
          </cell>
        </row>
      </sheetData>
      <sheetData sheetId="1860">
        <row r="1">
          <cell r="J1">
            <v>1.7453292519943295E-2</v>
          </cell>
        </row>
      </sheetData>
      <sheetData sheetId="1861">
        <row r="1">
          <cell r="J1">
            <v>1.7453292519943295E-2</v>
          </cell>
        </row>
      </sheetData>
      <sheetData sheetId="1862">
        <row r="1">
          <cell r="J1">
            <v>1.7453292519943295E-2</v>
          </cell>
        </row>
      </sheetData>
      <sheetData sheetId="1863">
        <row r="1">
          <cell r="J1">
            <v>1.7453292519943295E-2</v>
          </cell>
        </row>
      </sheetData>
      <sheetData sheetId="1864">
        <row r="1">
          <cell r="J1">
            <v>1.7453292519943295E-2</v>
          </cell>
        </row>
      </sheetData>
      <sheetData sheetId="1865">
        <row r="1">
          <cell r="J1">
            <v>1.7453292519943295E-2</v>
          </cell>
        </row>
      </sheetData>
      <sheetData sheetId="1866">
        <row r="1">
          <cell r="J1">
            <v>1.7453292519943295E-2</v>
          </cell>
        </row>
      </sheetData>
      <sheetData sheetId="1867">
        <row r="1">
          <cell r="J1">
            <v>1.7453292519943295E-2</v>
          </cell>
        </row>
      </sheetData>
      <sheetData sheetId="1868">
        <row r="1">
          <cell r="J1">
            <v>1.7453292519943295E-2</v>
          </cell>
        </row>
      </sheetData>
      <sheetData sheetId="1869">
        <row r="1">
          <cell r="J1">
            <v>1.7453292519943295E-2</v>
          </cell>
        </row>
      </sheetData>
      <sheetData sheetId="1870">
        <row r="1">
          <cell r="J1">
            <v>1.7453292519943295E-2</v>
          </cell>
        </row>
      </sheetData>
      <sheetData sheetId="1871">
        <row r="1">
          <cell r="J1">
            <v>1.7453292519943295E-2</v>
          </cell>
        </row>
      </sheetData>
      <sheetData sheetId="1872">
        <row r="1">
          <cell r="J1">
            <v>1.7453292519943295E-2</v>
          </cell>
        </row>
      </sheetData>
      <sheetData sheetId="1873">
        <row r="1">
          <cell r="J1">
            <v>1.7453292519943295E-2</v>
          </cell>
        </row>
      </sheetData>
      <sheetData sheetId="1874">
        <row r="1">
          <cell r="J1">
            <v>1.7453292519943295E-2</v>
          </cell>
        </row>
      </sheetData>
      <sheetData sheetId="1875">
        <row r="1">
          <cell r="J1">
            <v>1.7453292519943295E-2</v>
          </cell>
        </row>
      </sheetData>
      <sheetData sheetId="1876">
        <row r="1">
          <cell r="J1">
            <v>1.7453292519943295E-2</v>
          </cell>
        </row>
      </sheetData>
      <sheetData sheetId="1877">
        <row r="1">
          <cell r="J1">
            <v>1.7453292519943295E-2</v>
          </cell>
        </row>
      </sheetData>
      <sheetData sheetId="1878">
        <row r="1">
          <cell r="J1">
            <v>1.7453292519943295E-2</v>
          </cell>
        </row>
      </sheetData>
      <sheetData sheetId="1879">
        <row r="1">
          <cell r="J1">
            <v>1.7453292519943295E-2</v>
          </cell>
        </row>
      </sheetData>
      <sheetData sheetId="1880">
        <row r="1">
          <cell r="J1">
            <v>1.7453292519943295E-2</v>
          </cell>
        </row>
      </sheetData>
      <sheetData sheetId="1881">
        <row r="1">
          <cell r="J1">
            <v>1.7453292519943295E-2</v>
          </cell>
        </row>
      </sheetData>
      <sheetData sheetId="1882">
        <row r="1">
          <cell r="J1">
            <v>1.7453292519943295E-2</v>
          </cell>
        </row>
      </sheetData>
      <sheetData sheetId="1883">
        <row r="1">
          <cell r="J1">
            <v>1.7453292519943295E-2</v>
          </cell>
        </row>
      </sheetData>
      <sheetData sheetId="1884">
        <row r="1">
          <cell r="J1">
            <v>1.7453292519943295E-2</v>
          </cell>
        </row>
      </sheetData>
      <sheetData sheetId="1885">
        <row r="1">
          <cell r="J1">
            <v>1.7453292519943295E-2</v>
          </cell>
        </row>
      </sheetData>
      <sheetData sheetId="1886">
        <row r="1">
          <cell r="J1">
            <v>1.7453292519943295E-2</v>
          </cell>
        </row>
      </sheetData>
      <sheetData sheetId="1887">
        <row r="1">
          <cell r="J1">
            <v>1.7453292519943295E-2</v>
          </cell>
        </row>
      </sheetData>
      <sheetData sheetId="1888">
        <row r="1">
          <cell r="J1">
            <v>1.7453292519943295E-2</v>
          </cell>
        </row>
      </sheetData>
      <sheetData sheetId="1889">
        <row r="1">
          <cell r="J1">
            <v>1.7453292519943295E-2</v>
          </cell>
        </row>
      </sheetData>
      <sheetData sheetId="1890">
        <row r="1">
          <cell r="J1">
            <v>1.7453292519943295E-2</v>
          </cell>
        </row>
      </sheetData>
      <sheetData sheetId="1891">
        <row r="1">
          <cell r="J1">
            <v>1.7453292519943295E-2</v>
          </cell>
        </row>
      </sheetData>
      <sheetData sheetId="1892">
        <row r="1">
          <cell r="J1">
            <v>1.7453292519943295E-2</v>
          </cell>
        </row>
      </sheetData>
      <sheetData sheetId="1893">
        <row r="1">
          <cell r="J1">
            <v>1.7453292519943295E-2</v>
          </cell>
        </row>
      </sheetData>
      <sheetData sheetId="1894">
        <row r="1">
          <cell r="J1">
            <v>1.7453292519943295E-2</v>
          </cell>
        </row>
      </sheetData>
      <sheetData sheetId="1895">
        <row r="1">
          <cell r="J1">
            <v>1.7453292519943295E-2</v>
          </cell>
        </row>
      </sheetData>
      <sheetData sheetId="1896">
        <row r="1">
          <cell r="J1">
            <v>1.7453292519943295E-2</v>
          </cell>
        </row>
      </sheetData>
      <sheetData sheetId="1897">
        <row r="1">
          <cell r="J1">
            <v>1.7453292519943295E-2</v>
          </cell>
        </row>
      </sheetData>
      <sheetData sheetId="1898">
        <row r="1">
          <cell r="J1">
            <v>1.7453292519943295E-2</v>
          </cell>
        </row>
      </sheetData>
      <sheetData sheetId="1899">
        <row r="1">
          <cell r="J1">
            <v>1.7453292519943295E-2</v>
          </cell>
        </row>
      </sheetData>
      <sheetData sheetId="1900">
        <row r="1">
          <cell r="J1">
            <v>1.7453292519943295E-2</v>
          </cell>
        </row>
      </sheetData>
      <sheetData sheetId="1901">
        <row r="1">
          <cell r="J1">
            <v>1.7453292519943295E-2</v>
          </cell>
        </row>
      </sheetData>
      <sheetData sheetId="1902">
        <row r="1">
          <cell r="J1">
            <v>1.7453292519943295E-2</v>
          </cell>
        </row>
      </sheetData>
      <sheetData sheetId="1903">
        <row r="1">
          <cell r="J1">
            <v>1.7453292519943295E-2</v>
          </cell>
        </row>
      </sheetData>
      <sheetData sheetId="1904">
        <row r="1">
          <cell r="J1">
            <v>1.7453292519943295E-2</v>
          </cell>
        </row>
      </sheetData>
      <sheetData sheetId="1905">
        <row r="1">
          <cell r="J1">
            <v>1.7453292519943295E-2</v>
          </cell>
        </row>
      </sheetData>
      <sheetData sheetId="1906">
        <row r="1">
          <cell r="J1">
            <v>1.7453292519943295E-2</v>
          </cell>
        </row>
      </sheetData>
      <sheetData sheetId="1907">
        <row r="1">
          <cell r="J1">
            <v>1.7453292519943295E-2</v>
          </cell>
        </row>
      </sheetData>
      <sheetData sheetId="1908">
        <row r="1">
          <cell r="J1">
            <v>1.7453292519943295E-2</v>
          </cell>
        </row>
      </sheetData>
      <sheetData sheetId="1909">
        <row r="1">
          <cell r="J1">
            <v>1.7453292519943295E-2</v>
          </cell>
        </row>
      </sheetData>
      <sheetData sheetId="1910">
        <row r="1">
          <cell r="J1">
            <v>1.7453292519943295E-2</v>
          </cell>
        </row>
      </sheetData>
      <sheetData sheetId="1911">
        <row r="1">
          <cell r="J1">
            <v>1.7453292519943295E-2</v>
          </cell>
        </row>
      </sheetData>
      <sheetData sheetId="1912">
        <row r="1">
          <cell r="J1">
            <v>1.7453292519943295E-2</v>
          </cell>
        </row>
      </sheetData>
      <sheetData sheetId="1913">
        <row r="1">
          <cell r="J1">
            <v>1.7453292519943295E-2</v>
          </cell>
        </row>
      </sheetData>
      <sheetData sheetId="1914">
        <row r="1">
          <cell r="J1">
            <v>1.7453292519943295E-2</v>
          </cell>
        </row>
      </sheetData>
      <sheetData sheetId="1915">
        <row r="1">
          <cell r="J1">
            <v>1.7453292519943295E-2</v>
          </cell>
        </row>
      </sheetData>
      <sheetData sheetId="1916">
        <row r="1">
          <cell r="J1">
            <v>1.7453292519943295E-2</v>
          </cell>
        </row>
      </sheetData>
      <sheetData sheetId="1917">
        <row r="1">
          <cell r="J1">
            <v>1.7453292519943295E-2</v>
          </cell>
        </row>
      </sheetData>
      <sheetData sheetId="1918">
        <row r="1">
          <cell r="J1">
            <v>1.7453292519943295E-2</v>
          </cell>
        </row>
      </sheetData>
      <sheetData sheetId="1919">
        <row r="1">
          <cell r="J1">
            <v>1.7453292519943295E-2</v>
          </cell>
        </row>
      </sheetData>
      <sheetData sheetId="1920">
        <row r="1">
          <cell r="J1">
            <v>1.7453292519943295E-2</v>
          </cell>
        </row>
      </sheetData>
      <sheetData sheetId="1921">
        <row r="1">
          <cell r="J1">
            <v>1.7453292519943295E-2</v>
          </cell>
        </row>
      </sheetData>
      <sheetData sheetId="1922">
        <row r="1">
          <cell r="J1">
            <v>1.7453292519943295E-2</v>
          </cell>
        </row>
      </sheetData>
      <sheetData sheetId="1923">
        <row r="1">
          <cell r="J1">
            <v>1.7453292519943295E-2</v>
          </cell>
        </row>
      </sheetData>
      <sheetData sheetId="1924">
        <row r="1">
          <cell r="J1">
            <v>1.7453292519943295E-2</v>
          </cell>
        </row>
      </sheetData>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ow r="1">
          <cell r="J1">
            <v>1.7453292519943295E-2</v>
          </cell>
        </row>
      </sheetData>
      <sheetData sheetId="2041">
        <row r="1">
          <cell r="J1">
            <v>1.7453292519943295E-2</v>
          </cell>
        </row>
      </sheetData>
      <sheetData sheetId="2042">
        <row r="1">
          <cell r="J1">
            <v>1.7453292519943295E-2</v>
          </cell>
        </row>
      </sheetData>
      <sheetData sheetId="2043">
        <row r="1">
          <cell r="J1">
            <v>1.7453292519943295E-2</v>
          </cell>
        </row>
      </sheetData>
      <sheetData sheetId="2044">
        <row r="1">
          <cell r="J1">
            <v>1.7453292519943295E-2</v>
          </cell>
        </row>
      </sheetData>
      <sheetData sheetId="2045">
        <row r="1">
          <cell r="J1">
            <v>1.7453292519943295E-2</v>
          </cell>
        </row>
      </sheetData>
      <sheetData sheetId="2046">
        <row r="1">
          <cell r="J1">
            <v>1.7453292519943295E-2</v>
          </cell>
        </row>
      </sheetData>
      <sheetData sheetId="2047">
        <row r="1">
          <cell r="J1">
            <v>1.7453292519943295E-2</v>
          </cell>
        </row>
      </sheetData>
      <sheetData sheetId="2048">
        <row r="1">
          <cell r="J1">
            <v>1.7453292519943295E-2</v>
          </cell>
        </row>
      </sheetData>
      <sheetData sheetId="2049">
        <row r="1">
          <cell r="J1">
            <v>1.7453292519943295E-2</v>
          </cell>
        </row>
      </sheetData>
      <sheetData sheetId="2050">
        <row r="1">
          <cell r="J1">
            <v>1.7453292519943295E-2</v>
          </cell>
        </row>
      </sheetData>
      <sheetData sheetId="2051">
        <row r="1">
          <cell r="J1">
            <v>1.7453292519943295E-2</v>
          </cell>
        </row>
      </sheetData>
      <sheetData sheetId="2052">
        <row r="1">
          <cell r="J1">
            <v>1.7453292519943295E-2</v>
          </cell>
        </row>
      </sheetData>
      <sheetData sheetId="2053">
        <row r="1">
          <cell r="J1">
            <v>1.7453292519943295E-2</v>
          </cell>
        </row>
      </sheetData>
      <sheetData sheetId="2054">
        <row r="1">
          <cell r="J1">
            <v>1.7453292519943295E-2</v>
          </cell>
        </row>
      </sheetData>
      <sheetData sheetId="2055">
        <row r="1">
          <cell r="J1">
            <v>1.7453292519943295E-2</v>
          </cell>
        </row>
      </sheetData>
      <sheetData sheetId="2056">
        <row r="1">
          <cell r="J1">
            <v>1.7453292519943295E-2</v>
          </cell>
        </row>
      </sheetData>
      <sheetData sheetId="2057">
        <row r="1">
          <cell r="J1">
            <v>1.7453292519943295E-2</v>
          </cell>
        </row>
      </sheetData>
      <sheetData sheetId="2058">
        <row r="1">
          <cell r="J1">
            <v>1.7453292519943295E-2</v>
          </cell>
        </row>
      </sheetData>
      <sheetData sheetId="2059">
        <row r="1">
          <cell r="J1">
            <v>1.7453292519943295E-2</v>
          </cell>
        </row>
      </sheetData>
      <sheetData sheetId="2060">
        <row r="1">
          <cell r="J1">
            <v>1.7453292519943295E-2</v>
          </cell>
        </row>
      </sheetData>
      <sheetData sheetId="2061">
        <row r="1">
          <cell r="J1">
            <v>1.7453292519943295E-2</v>
          </cell>
        </row>
      </sheetData>
      <sheetData sheetId="2062">
        <row r="1">
          <cell r="J1">
            <v>1.7453292519943295E-2</v>
          </cell>
        </row>
      </sheetData>
      <sheetData sheetId="2063">
        <row r="1">
          <cell r="J1">
            <v>1.7453292519943295E-2</v>
          </cell>
        </row>
      </sheetData>
      <sheetData sheetId="2064">
        <row r="1">
          <cell r="J1">
            <v>1.7453292519943295E-2</v>
          </cell>
        </row>
      </sheetData>
      <sheetData sheetId="2065">
        <row r="1">
          <cell r="J1">
            <v>1.7453292519943295E-2</v>
          </cell>
        </row>
      </sheetData>
      <sheetData sheetId="2066">
        <row r="1">
          <cell r="J1">
            <v>1.7453292519943295E-2</v>
          </cell>
        </row>
      </sheetData>
      <sheetData sheetId="2067">
        <row r="1">
          <cell r="J1">
            <v>1.7453292519943295E-2</v>
          </cell>
        </row>
      </sheetData>
      <sheetData sheetId="2068">
        <row r="1">
          <cell r="J1">
            <v>1.7453292519943295E-2</v>
          </cell>
        </row>
      </sheetData>
      <sheetData sheetId="2069">
        <row r="1">
          <cell r="J1">
            <v>1.7453292519943295E-2</v>
          </cell>
        </row>
      </sheetData>
      <sheetData sheetId="2070">
        <row r="1">
          <cell r="J1">
            <v>1.7453292519943295E-2</v>
          </cell>
        </row>
      </sheetData>
      <sheetData sheetId="2071">
        <row r="1">
          <cell r="J1">
            <v>1.7453292519943295E-2</v>
          </cell>
        </row>
      </sheetData>
      <sheetData sheetId="2072">
        <row r="1">
          <cell r="J1">
            <v>1.7453292519943295E-2</v>
          </cell>
        </row>
      </sheetData>
      <sheetData sheetId="2073">
        <row r="1">
          <cell r="J1">
            <v>1.7453292519943295E-2</v>
          </cell>
        </row>
      </sheetData>
      <sheetData sheetId="2074">
        <row r="1">
          <cell r="J1">
            <v>1.7453292519943295E-2</v>
          </cell>
        </row>
      </sheetData>
      <sheetData sheetId="2075">
        <row r="1">
          <cell r="J1">
            <v>1.7453292519943295E-2</v>
          </cell>
        </row>
      </sheetData>
      <sheetData sheetId="2076">
        <row r="1">
          <cell r="J1">
            <v>1.7453292519943295E-2</v>
          </cell>
        </row>
      </sheetData>
      <sheetData sheetId="2077">
        <row r="1">
          <cell r="J1">
            <v>1.7453292519943295E-2</v>
          </cell>
        </row>
      </sheetData>
      <sheetData sheetId="2078">
        <row r="1">
          <cell r="J1">
            <v>1.7453292519943295E-2</v>
          </cell>
        </row>
      </sheetData>
      <sheetData sheetId="2079">
        <row r="1">
          <cell r="J1">
            <v>1.7453292519943295E-2</v>
          </cell>
        </row>
      </sheetData>
      <sheetData sheetId="2080">
        <row r="1">
          <cell r="J1">
            <v>1.7453292519943295E-2</v>
          </cell>
        </row>
      </sheetData>
      <sheetData sheetId="2081">
        <row r="1">
          <cell r="J1">
            <v>1.7453292519943295E-2</v>
          </cell>
        </row>
      </sheetData>
      <sheetData sheetId="2082">
        <row r="1">
          <cell r="J1">
            <v>1.7453292519943295E-2</v>
          </cell>
        </row>
      </sheetData>
      <sheetData sheetId="2083">
        <row r="1">
          <cell r="J1">
            <v>1.7453292519943295E-2</v>
          </cell>
        </row>
      </sheetData>
      <sheetData sheetId="2084">
        <row r="1">
          <cell r="J1">
            <v>1.7453292519943295E-2</v>
          </cell>
        </row>
      </sheetData>
      <sheetData sheetId="2085">
        <row r="1">
          <cell r="J1">
            <v>1.7453292519943295E-2</v>
          </cell>
        </row>
      </sheetData>
      <sheetData sheetId="2086">
        <row r="1">
          <cell r="J1">
            <v>1.7453292519943295E-2</v>
          </cell>
        </row>
      </sheetData>
      <sheetData sheetId="2087">
        <row r="1">
          <cell r="J1">
            <v>1.7453292519943295E-2</v>
          </cell>
        </row>
      </sheetData>
      <sheetData sheetId="2088">
        <row r="1">
          <cell r="J1">
            <v>1.7453292519943295E-2</v>
          </cell>
        </row>
      </sheetData>
      <sheetData sheetId="2089">
        <row r="1">
          <cell r="J1">
            <v>1.7453292519943295E-2</v>
          </cell>
        </row>
      </sheetData>
      <sheetData sheetId="2090">
        <row r="1">
          <cell r="J1">
            <v>1.7453292519943295E-2</v>
          </cell>
        </row>
      </sheetData>
      <sheetData sheetId="2091">
        <row r="1">
          <cell r="J1">
            <v>1.7453292519943295E-2</v>
          </cell>
        </row>
      </sheetData>
      <sheetData sheetId="2092">
        <row r="1">
          <cell r="J1">
            <v>1.7453292519943295E-2</v>
          </cell>
        </row>
      </sheetData>
      <sheetData sheetId="2093">
        <row r="1">
          <cell r="J1">
            <v>1.7453292519943295E-2</v>
          </cell>
        </row>
      </sheetData>
      <sheetData sheetId="2094">
        <row r="1">
          <cell r="J1">
            <v>1.7453292519943295E-2</v>
          </cell>
        </row>
      </sheetData>
      <sheetData sheetId="2095">
        <row r="1">
          <cell r="J1">
            <v>1.7453292519943295E-2</v>
          </cell>
        </row>
      </sheetData>
      <sheetData sheetId="2096">
        <row r="1">
          <cell r="J1">
            <v>1.7453292519943295E-2</v>
          </cell>
        </row>
      </sheetData>
      <sheetData sheetId="2097">
        <row r="1">
          <cell r="J1">
            <v>1.7453292519943295E-2</v>
          </cell>
        </row>
      </sheetData>
      <sheetData sheetId="2098">
        <row r="1">
          <cell r="J1">
            <v>1.7453292519943295E-2</v>
          </cell>
        </row>
      </sheetData>
      <sheetData sheetId="2099">
        <row r="1">
          <cell r="J1">
            <v>1.7453292519943295E-2</v>
          </cell>
        </row>
      </sheetData>
      <sheetData sheetId="2100">
        <row r="1">
          <cell r="J1">
            <v>1.7453292519943295E-2</v>
          </cell>
        </row>
      </sheetData>
      <sheetData sheetId="2101">
        <row r="1">
          <cell r="J1">
            <v>1.7453292519943295E-2</v>
          </cell>
        </row>
      </sheetData>
      <sheetData sheetId="2102">
        <row r="1">
          <cell r="J1">
            <v>1.7453292519943295E-2</v>
          </cell>
        </row>
      </sheetData>
      <sheetData sheetId="2103">
        <row r="1">
          <cell r="J1">
            <v>1.7453292519943295E-2</v>
          </cell>
        </row>
      </sheetData>
      <sheetData sheetId="2104">
        <row r="1">
          <cell r="J1">
            <v>1.7453292519943295E-2</v>
          </cell>
        </row>
      </sheetData>
      <sheetData sheetId="2105">
        <row r="1">
          <cell r="J1">
            <v>1.7453292519943295E-2</v>
          </cell>
        </row>
      </sheetData>
      <sheetData sheetId="2106">
        <row r="1">
          <cell r="J1">
            <v>1.7453292519943295E-2</v>
          </cell>
        </row>
      </sheetData>
      <sheetData sheetId="2107">
        <row r="1">
          <cell r="J1">
            <v>1.7453292519943295E-2</v>
          </cell>
        </row>
      </sheetData>
      <sheetData sheetId="2108">
        <row r="1">
          <cell r="J1">
            <v>1.7453292519943295E-2</v>
          </cell>
        </row>
      </sheetData>
      <sheetData sheetId="2109">
        <row r="1">
          <cell r="J1">
            <v>1.7453292519943295E-2</v>
          </cell>
        </row>
      </sheetData>
      <sheetData sheetId="2110">
        <row r="1">
          <cell r="J1">
            <v>1.7453292519943295E-2</v>
          </cell>
        </row>
      </sheetData>
      <sheetData sheetId="2111">
        <row r="1">
          <cell r="J1">
            <v>1.7453292519943295E-2</v>
          </cell>
        </row>
      </sheetData>
      <sheetData sheetId="2112">
        <row r="1">
          <cell r="J1">
            <v>1.7453292519943295E-2</v>
          </cell>
        </row>
      </sheetData>
      <sheetData sheetId="2113">
        <row r="1">
          <cell r="J1">
            <v>1.7453292519943295E-2</v>
          </cell>
        </row>
      </sheetData>
      <sheetData sheetId="2114">
        <row r="1">
          <cell r="J1">
            <v>1.7453292519943295E-2</v>
          </cell>
        </row>
      </sheetData>
      <sheetData sheetId="2115">
        <row r="1">
          <cell r="J1">
            <v>1.7453292519943295E-2</v>
          </cell>
        </row>
      </sheetData>
      <sheetData sheetId="2116">
        <row r="1">
          <cell r="J1">
            <v>1.7453292519943295E-2</v>
          </cell>
        </row>
      </sheetData>
      <sheetData sheetId="2117">
        <row r="1">
          <cell r="J1">
            <v>1.7453292519943295E-2</v>
          </cell>
        </row>
      </sheetData>
      <sheetData sheetId="2118">
        <row r="1">
          <cell r="J1">
            <v>1.7453292519943295E-2</v>
          </cell>
        </row>
      </sheetData>
      <sheetData sheetId="2119">
        <row r="1">
          <cell r="J1">
            <v>1.7453292519943295E-2</v>
          </cell>
        </row>
      </sheetData>
      <sheetData sheetId="2120">
        <row r="1">
          <cell r="J1">
            <v>1.7453292519943295E-2</v>
          </cell>
        </row>
      </sheetData>
      <sheetData sheetId="2121">
        <row r="1">
          <cell r="J1">
            <v>1.7453292519943295E-2</v>
          </cell>
        </row>
      </sheetData>
      <sheetData sheetId="2122">
        <row r="1">
          <cell r="J1">
            <v>1.7453292519943295E-2</v>
          </cell>
        </row>
      </sheetData>
      <sheetData sheetId="2123">
        <row r="1">
          <cell r="J1">
            <v>1.7453292519943295E-2</v>
          </cell>
        </row>
      </sheetData>
      <sheetData sheetId="2124">
        <row r="1">
          <cell r="J1">
            <v>1.7453292519943295E-2</v>
          </cell>
        </row>
      </sheetData>
      <sheetData sheetId="2125">
        <row r="1">
          <cell r="J1">
            <v>1.7453292519943295E-2</v>
          </cell>
        </row>
      </sheetData>
      <sheetData sheetId="2126">
        <row r="1">
          <cell r="J1">
            <v>1.7453292519943295E-2</v>
          </cell>
        </row>
      </sheetData>
      <sheetData sheetId="2127">
        <row r="1">
          <cell r="J1">
            <v>1.7453292519943295E-2</v>
          </cell>
        </row>
      </sheetData>
      <sheetData sheetId="2128">
        <row r="1">
          <cell r="J1">
            <v>1.7453292519943295E-2</v>
          </cell>
        </row>
      </sheetData>
      <sheetData sheetId="2129">
        <row r="1">
          <cell r="J1">
            <v>1.7453292519943295E-2</v>
          </cell>
        </row>
      </sheetData>
      <sheetData sheetId="2130">
        <row r="1">
          <cell r="J1">
            <v>1.7453292519943295E-2</v>
          </cell>
        </row>
      </sheetData>
      <sheetData sheetId="2131">
        <row r="1">
          <cell r="J1">
            <v>1.7453292519943295E-2</v>
          </cell>
        </row>
      </sheetData>
      <sheetData sheetId="2132">
        <row r="1">
          <cell r="J1">
            <v>1.7453292519943295E-2</v>
          </cell>
        </row>
      </sheetData>
      <sheetData sheetId="2133">
        <row r="1">
          <cell r="J1">
            <v>1.7453292519943295E-2</v>
          </cell>
        </row>
      </sheetData>
      <sheetData sheetId="2134">
        <row r="1">
          <cell r="J1">
            <v>1.7453292519943295E-2</v>
          </cell>
        </row>
      </sheetData>
      <sheetData sheetId="2135">
        <row r="1">
          <cell r="J1">
            <v>1.7453292519943295E-2</v>
          </cell>
        </row>
      </sheetData>
      <sheetData sheetId="2136">
        <row r="1">
          <cell r="J1">
            <v>1.7453292519943295E-2</v>
          </cell>
        </row>
      </sheetData>
      <sheetData sheetId="2137">
        <row r="1">
          <cell r="J1">
            <v>1.7453292519943295E-2</v>
          </cell>
        </row>
      </sheetData>
      <sheetData sheetId="2138">
        <row r="1">
          <cell r="J1">
            <v>1.7453292519943295E-2</v>
          </cell>
        </row>
      </sheetData>
      <sheetData sheetId="2139">
        <row r="1">
          <cell r="J1">
            <v>1.7453292519943295E-2</v>
          </cell>
        </row>
      </sheetData>
      <sheetData sheetId="2140">
        <row r="1">
          <cell r="J1">
            <v>1.7453292519943295E-2</v>
          </cell>
        </row>
      </sheetData>
      <sheetData sheetId="2141">
        <row r="1">
          <cell r="J1">
            <v>1.7453292519943295E-2</v>
          </cell>
        </row>
      </sheetData>
      <sheetData sheetId="2142">
        <row r="1">
          <cell r="J1">
            <v>1.7453292519943295E-2</v>
          </cell>
        </row>
      </sheetData>
      <sheetData sheetId="2143">
        <row r="1">
          <cell r="J1">
            <v>1.7453292519943295E-2</v>
          </cell>
        </row>
      </sheetData>
      <sheetData sheetId="2144">
        <row r="1">
          <cell r="J1">
            <v>1.7453292519943295E-2</v>
          </cell>
        </row>
      </sheetData>
      <sheetData sheetId="2145">
        <row r="1">
          <cell r="J1">
            <v>1.7453292519943295E-2</v>
          </cell>
        </row>
      </sheetData>
      <sheetData sheetId="2146">
        <row r="1">
          <cell r="J1">
            <v>1.7453292519943295E-2</v>
          </cell>
        </row>
      </sheetData>
      <sheetData sheetId="2147">
        <row r="1">
          <cell r="J1">
            <v>1.7453292519943295E-2</v>
          </cell>
        </row>
      </sheetData>
      <sheetData sheetId="2148">
        <row r="1">
          <cell r="J1">
            <v>1.7453292519943295E-2</v>
          </cell>
        </row>
      </sheetData>
      <sheetData sheetId="2149">
        <row r="1">
          <cell r="J1">
            <v>1.7453292519943295E-2</v>
          </cell>
        </row>
      </sheetData>
      <sheetData sheetId="2150">
        <row r="1">
          <cell r="J1">
            <v>1.7453292519943295E-2</v>
          </cell>
        </row>
      </sheetData>
      <sheetData sheetId="2151">
        <row r="1">
          <cell r="J1">
            <v>1.7453292519943295E-2</v>
          </cell>
        </row>
      </sheetData>
      <sheetData sheetId="2152">
        <row r="1">
          <cell r="J1">
            <v>1.7453292519943295E-2</v>
          </cell>
        </row>
      </sheetData>
      <sheetData sheetId="2153">
        <row r="1">
          <cell r="J1">
            <v>1.7453292519943295E-2</v>
          </cell>
        </row>
      </sheetData>
      <sheetData sheetId="2154">
        <row r="1">
          <cell r="J1">
            <v>1.7453292519943295E-2</v>
          </cell>
        </row>
      </sheetData>
      <sheetData sheetId="2155">
        <row r="1">
          <cell r="J1">
            <v>1.7453292519943295E-2</v>
          </cell>
        </row>
      </sheetData>
      <sheetData sheetId="2156">
        <row r="1">
          <cell r="J1">
            <v>1.7453292519943295E-2</v>
          </cell>
        </row>
      </sheetData>
      <sheetData sheetId="2157">
        <row r="1">
          <cell r="J1">
            <v>1.7453292519943295E-2</v>
          </cell>
        </row>
      </sheetData>
      <sheetData sheetId="2158">
        <row r="1">
          <cell r="J1">
            <v>1.7453292519943295E-2</v>
          </cell>
        </row>
      </sheetData>
      <sheetData sheetId="2159">
        <row r="1">
          <cell r="J1">
            <v>1.7453292519943295E-2</v>
          </cell>
        </row>
      </sheetData>
      <sheetData sheetId="2160">
        <row r="1">
          <cell r="J1">
            <v>1.7453292519943295E-2</v>
          </cell>
        </row>
      </sheetData>
      <sheetData sheetId="2161">
        <row r="1">
          <cell r="J1">
            <v>1.7453292519943295E-2</v>
          </cell>
        </row>
      </sheetData>
      <sheetData sheetId="2162">
        <row r="1">
          <cell r="J1">
            <v>1.7453292519943295E-2</v>
          </cell>
        </row>
      </sheetData>
      <sheetData sheetId="2163">
        <row r="1">
          <cell r="J1">
            <v>1.7453292519943295E-2</v>
          </cell>
        </row>
      </sheetData>
      <sheetData sheetId="2164">
        <row r="1">
          <cell r="J1">
            <v>1.7453292519943295E-2</v>
          </cell>
        </row>
      </sheetData>
      <sheetData sheetId="2165">
        <row r="1">
          <cell r="J1">
            <v>1.7453292519943295E-2</v>
          </cell>
        </row>
      </sheetData>
      <sheetData sheetId="2166">
        <row r="1">
          <cell r="J1">
            <v>1.7453292519943295E-2</v>
          </cell>
        </row>
      </sheetData>
      <sheetData sheetId="2167">
        <row r="1">
          <cell r="J1">
            <v>1.7453292519943295E-2</v>
          </cell>
        </row>
      </sheetData>
      <sheetData sheetId="2168">
        <row r="1">
          <cell r="J1">
            <v>1.7453292519943295E-2</v>
          </cell>
        </row>
      </sheetData>
      <sheetData sheetId="2169">
        <row r="1">
          <cell r="J1">
            <v>1.7453292519943295E-2</v>
          </cell>
        </row>
      </sheetData>
      <sheetData sheetId="2170">
        <row r="1">
          <cell r="J1">
            <v>1.7453292519943295E-2</v>
          </cell>
        </row>
      </sheetData>
      <sheetData sheetId="2171">
        <row r="1">
          <cell r="J1">
            <v>1.7453292519943295E-2</v>
          </cell>
        </row>
      </sheetData>
      <sheetData sheetId="2172">
        <row r="1">
          <cell r="J1">
            <v>1.7453292519943295E-2</v>
          </cell>
        </row>
      </sheetData>
      <sheetData sheetId="2173">
        <row r="1">
          <cell r="J1">
            <v>1.7453292519943295E-2</v>
          </cell>
        </row>
      </sheetData>
      <sheetData sheetId="2174">
        <row r="1">
          <cell r="J1">
            <v>1.7453292519943295E-2</v>
          </cell>
        </row>
      </sheetData>
      <sheetData sheetId="2175">
        <row r="1">
          <cell r="J1">
            <v>1.7453292519943295E-2</v>
          </cell>
        </row>
      </sheetData>
      <sheetData sheetId="2176">
        <row r="1">
          <cell r="J1">
            <v>1.7453292519943295E-2</v>
          </cell>
        </row>
      </sheetData>
      <sheetData sheetId="2177">
        <row r="1">
          <cell r="J1">
            <v>1.7453292519943295E-2</v>
          </cell>
        </row>
      </sheetData>
      <sheetData sheetId="2178">
        <row r="1">
          <cell r="J1">
            <v>1.7453292519943295E-2</v>
          </cell>
        </row>
      </sheetData>
      <sheetData sheetId="2179">
        <row r="1">
          <cell r="J1">
            <v>1.7453292519943295E-2</v>
          </cell>
        </row>
      </sheetData>
      <sheetData sheetId="2180">
        <row r="1">
          <cell r="J1">
            <v>1.7453292519943295E-2</v>
          </cell>
        </row>
      </sheetData>
      <sheetData sheetId="2181">
        <row r="1">
          <cell r="J1">
            <v>1.7453292519943295E-2</v>
          </cell>
        </row>
      </sheetData>
      <sheetData sheetId="2182">
        <row r="1">
          <cell r="J1">
            <v>1.7453292519943295E-2</v>
          </cell>
        </row>
      </sheetData>
      <sheetData sheetId="2183">
        <row r="1">
          <cell r="J1">
            <v>1.7453292519943295E-2</v>
          </cell>
        </row>
      </sheetData>
      <sheetData sheetId="2184">
        <row r="1">
          <cell r="J1">
            <v>1.7453292519943295E-2</v>
          </cell>
        </row>
      </sheetData>
      <sheetData sheetId="2185">
        <row r="1">
          <cell r="J1">
            <v>1.7453292519943295E-2</v>
          </cell>
        </row>
      </sheetData>
      <sheetData sheetId="2186">
        <row r="1">
          <cell r="J1">
            <v>1.7453292519943295E-2</v>
          </cell>
        </row>
      </sheetData>
      <sheetData sheetId="2187">
        <row r="1">
          <cell r="J1">
            <v>1.7453292519943295E-2</v>
          </cell>
        </row>
      </sheetData>
      <sheetData sheetId="2188">
        <row r="1">
          <cell r="J1">
            <v>1.7453292519943295E-2</v>
          </cell>
        </row>
      </sheetData>
      <sheetData sheetId="2189">
        <row r="1">
          <cell r="J1">
            <v>1.7453292519943295E-2</v>
          </cell>
        </row>
      </sheetData>
      <sheetData sheetId="2190">
        <row r="1">
          <cell r="J1">
            <v>1.7453292519943295E-2</v>
          </cell>
        </row>
      </sheetData>
      <sheetData sheetId="2191">
        <row r="1">
          <cell r="J1">
            <v>1.7453292519943295E-2</v>
          </cell>
        </row>
      </sheetData>
      <sheetData sheetId="2192">
        <row r="1">
          <cell r="J1">
            <v>1.7453292519943295E-2</v>
          </cell>
        </row>
      </sheetData>
      <sheetData sheetId="2193">
        <row r="1">
          <cell r="J1">
            <v>1.7453292519943295E-2</v>
          </cell>
        </row>
      </sheetData>
      <sheetData sheetId="2194">
        <row r="1">
          <cell r="J1">
            <v>1.7453292519943295E-2</v>
          </cell>
        </row>
      </sheetData>
      <sheetData sheetId="2195">
        <row r="1">
          <cell r="J1">
            <v>1.7453292519943295E-2</v>
          </cell>
        </row>
      </sheetData>
      <sheetData sheetId="2196">
        <row r="1">
          <cell r="J1">
            <v>1.7453292519943295E-2</v>
          </cell>
        </row>
      </sheetData>
      <sheetData sheetId="2197">
        <row r="1">
          <cell r="J1">
            <v>1.7453292519943295E-2</v>
          </cell>
        </row>
      </sheetData>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ow r="1">
          <cell r="J1">
            <v>1.7453292519943295E-2</v>
          </cell>
        </row>
      </sheetData>
      <sheetData sheetId="2208">
        <row r="1">
          <cell r="J1">
            <v>1.7453292519943295E-2</v>
          </cell>
        </row>
      </sheetData>
      <sheetData sheetId="2209">
        <row r="1">
          <cell r="J1">
            <v>1.7453292519943295E-2</v>
          </cell>
        </row>
      </sheetData>
      <sheetData sheetId="2210">
        <row r="1">
          <cell r="J1">
            <v>1.7453292519943295E-2</v>
          </cell>
        </row>
      </sheetData>
      <sheetData sheetId="2211">
        <row r="1">
          <cell r="J1">
            <v>1.7453292519943295E-2</v>
          </cell>
        </row>
      </sheetData>
      <sheetData sheetId="2212">
        <row r="1">
          <cell r="J1">
            <v>1.7453292519943295E-2</v>
          </cell>
        </row>
      </sheetData>
      <sheetData sheetId="2213">
        <row r="1">
          <cell r="J1">
            <v>1.7453292519943295E-2</v>
          </cell>
        </row>
      </sheetData>
      <sheetData sheetId="2214">
        <row r="1">
          <cell r="J1">
            <v>1.7453292519943295E-2</v>
          </cell>
        </row>
      </sheetData>
      <sheetData sheetId="2215">
        <row r="1">
          <cell r="J1">
            <v>1.7453292519943295E-2</v>
          </cell>
        </row>
      </sheetData>
      <sheetData sheetId="2216">
        <row r="1">
          <cell r="J1">
            <v>1.7453292519943295E-2</v>
          </cell>
        </row>
      </sheetData>
      <sheetData sheetId="2217">
        <row r="1">
          <cell r="J1">
            <v>1.7453292519943295E-2</v>
          </cell>
        </row>
      </sheetData>
      <sheetData sheetId="2218">
        <row r="1">
          <cell r="J1">
            <v>1.7453292519943295E-2</v>
          </cell>
        </row>
      </sheetData>
      <sheetData sheetId="2219">
        <row r="1">
          <cell r="J1">
            <v>1.7453292519943295E-2</v>
          </cell>
        </row>
      </sheetData>
      <sheetData sheetId="2220">
        <row r="1">
          <cell r="J1">
            <v>1.7453292519943295E-2</v>
          </cell>
        </row>
      </sheetData>
      <sheetData sheetId="2221">
        <row r="1">
          <cell r="J1">
            <v>1.7453292519943295E-2</v>
          </cell>
        </row>
      </sheetData>
      <sheetData sheetId="2222">
        <row r="1">
          <cell r="J1">
            <v>1.7453292519943295E-2</v>
          </cell>
        </row>
      </sheetData>
      <sheetData sheetId="2223">
        <row r="1">
          <cell r="J1">
            <v>1.7453292519943295E-2</v>
          </cell>
        </row>
      </sheetData>
      <sheetData sheetId="2224">
        <row r="1">
          <cell r="J1">
            <v>1.7453292519943295E-2</v>
          </cell>
        </row>
      </sheetData>
      <sheetData sheetId="2225">
        <row r="1">
          <cell r="J1">
            <v>1.7453292519943295E-2</v>
          </cell>
        </row>
      </sheetData>
      <sheetData sheetId="2226">
        <row r="1">
          <cell r="J1">
            <v>1.7453292519943295E-2</v>
          </cell>
        </row>
      </sheetData>
      <sheetData sheetId="2227">
        <row r="1">
          <cell r="J1">
            <v>1.7453292519943295E-2</v>
          </cell>
        </row>
      </sheetData>
      <sheetData sheetId="2228">
        <row r="1">
          <cell r="J1">
            <v>1.7453292519943295E-2</v>
          </cell>
        </row>
      </sheetData>
      <sheetData sheetId="2229">
        <row r="1">
          <cell r="J1">
            <v>1.7453292519943295E-2</v>
          </cell>
        </row>
      </sheetData>
      <sheetData sheetId="2230">
        <row r="1">
          <cell r="J1">
            <v>1.7453292519943295E-2</v>
          </cell>
        </row>
      </sheetData>
      <sheetData sheetId="2231">
        <row r="1">
          <cell r="J1">
            <v>1.7453292519943295E-2</v>
          </cell>
        </row>
      </sheetData>
      <sheetData sheetId="2232">
        <row r="1">
          <cell r="J1">
            <v>1.7453292519943295E-2</v>
          </cell>
        </row>
      </sheetData>
      <sheetData sheetId="2233">
        <row r="1">
          <cell r="J1">
            <v>1.7453292519943295E-2</v>
          </cell>
        </row>
      </sheetData>
      <sheetData sheetId="2234">
        <row r="1">
          <cell r="J1">
            <v>1.7453292519943295E-2</v>
          </cell>
        </row>
      </sheetData>
      <sheetData sheetId="2235">
        <row r="1">
          <cell r="J1">
            <v>1.7453292519943295E-2</v>
          </cell>
        </row>
      </sheetData>
      <sheetData sheetId="2236">
        <row r="1">
          <cell r="J1">
            <v>1.7453292519943295E-2</v>
          </cell>
        </row>
      </sheetData>
      <sheetData sheetId="2237">
        <row r="1">
          <cell r="J1">
            <v>1.7453292519943295E-2</v>
          </cell>
        </row>
      </sheetData>
      <sheetData sheetId="2238">
        <row r="1">
          <cell r="J1">
            <v>1.7453292519943295E-2</v>
          </cell>
        </row>
      </sheetData>
      <sheetData sheetId="2239">
        <row r="1">
          <cell r="J1">
            <v>1.7453292519943295E-2</v>
          </cell>
        </row>
      </sheetData>
      <sheetData sheetId="2240">
        <row r="1">
          <cell r="J1">
            <v>1.7453292519943295E-2</v>
          </cell>
        </row>
      </sheetData>
      <sheetData sheetId="2241">
        <row r="1">
          <cell r="J1">
            <v>1.7453292519943295E-2</v>
          </cell>
        </row>
      </sheetData>
      <sheetData sheetId="2242">
        <row r="1">
          <cell r="J1">
            <v>1.7453292519943295E-2</v>
          </cell>
        </row>
      </sheetData>
      <sheetData sheetId="2243">
        <row r="1">
          <cell r="J1">
            <v>1.7453292519943295E-2</v>
          </cell>
        </row>
      </sheetData>
      <sheetData sheetId="2244">
        <row r="1">
          <cell r="J1">
            <v>1.7453292519943295E-2</v>
          </cell>
        </row>
      </sheetData>
      <sheetData sheetId="2245">
        <row r="1">
          <cell r="J1">
            <v>1.7453292519943295E-2</v>
          </cell>
        </row>
      </sheetData>
      <sheetData sheetId="2246">
        <row r="1">
          <cell r="J1">
            <v>1.7453292519943295E-2</v>
          </cell>
        </row>
      </sheetData>
      <sheetData sheetId="2247">
        <row r="1">
          <cell r="J1">
            <v>1.7453292519943295E-2</v>
          </cell>
        </row>
      </sheetData>
      <sheetData sheetId="2248">
        <row r="1">
          <cell r="J1">
            <v>1.7453292519943295E-2</v>
          </cell>
        </row>
      </sheetData>
      <sheetData sheetId="2249">
        <row r="1">
          <cell r="J1">
            <v>1.7453292519943295E-2</v>
          </cell>
        </row>
      </sheetData>
      <sheetData sheetId="2250">
        <row r="1">
          <cell r="J1">
            <v>1.7453292519943295E-2</v>
          </cell>
        </row>
      </sheetData>
      <sheetData sheetId="2251">
        <row r="1">
          <cell r="J1">
            <v>1.7453292519943295E-2</v>
          </cell>
        </row>
      </sheetData>
      <sheetData sheetId="2252">
        <row r="1">
          <cell r="J1">
            <v>1.7453292519943295E-2</v>
          </cell>
        </row>
      </sheetData>
      <sheetData sheetId="2253">
        <row r="1">
          <cell r="J1">
            <v>1.7453292519943295E-2</v>
          </cell>
        </row>
      </sheetData>
      <sheetData sheetId="2254">
        <row r="1">
          <cell r="J1">
            <v>1.7453292519943295E-2</v>
          </cell>
        </row>
      </sheetData>
      <sheetData sheetId="2255">
        <row r="1">
          <cell r="J1">
            <v>1.7453292519943295E-2</v>
          </cell>
        </row>
      </sheetData>
      <sheetData sheetId="2256">
        <row r="1">
          <cell r="J1">
            <v>1.7453292519943295E-2</v>
          </cell>
        </row>
      </sheetData>
      <sheetData sheetId="2257">
        <row r="1">
          <cell r="J1">
            <v>1.7453292519943295E-2</v>
          </cell>
        </row>
      </sheetData>
      <sheetData sheetId="2258">
        <row r="1">
          <cell r="J1">
            <v>1.7453292519943295E-2</v>
          </cell>
        </row>
      </sheetData>
      <sheetData sheetId="2259">
        <row r="1">
          <cell r="J1">
            <v>1.7453292519943295E-2</v>
          </cell>
        </row>
      </sheetData>
      <sheetData sheetId="2260">
        <row r="1">
          <cell r="J1">
            <v>1.7453292519943295E-2</v>
          </cell>
        </row>
      </sheetData>
      <sheetData sheetId="2261">
        <row r="1">
          <cell r="J1">
            <v>1.7453292519943295E-2</v>
          </cell>
        </row>
      </sheetData>
      <sheetData sheetId="2262">
        <row r="1">
          <cell r="J1">
            <v>1.7453292519943295E-2</v>
          </cell>
        </row>
      </sheetData>
      <sheetData sheetId="2263">
        <row r="1">
          <cell r="J1">
            <v>1.7453292519943295E-2</v>
          </cell>
        </row>
      </sheetData>
      <sheetData sheetId="2264">
        <row r="1">
          <cell r="J1">
            <v>1.7453292519943295E-2</v>
          </cell>
        </row>
      </sheetData>
      <sheetData sheetId="2265">
        <row r="1">
          <cell r="J1">
            <v>1.7453292519943295E-2</v>
          </cell>
        </row>
      </sheetData>
      <sheetData sheetId="2266">
        <row r="1">
          <cell r="J1">
            <v>1.7453292519943295E-2</v>
          </cell>
        </row>
      </sheetData>
      <sheetData sheetId="2267">
        <row r="1">
          <cell r="J1">
            <v>1.7453292519943295E-2</v>
          </cell>
        </row>
      </sheetData>
      <sheetData sheetId="2268">
        <row r="1">
          <cell r="J1">
            <v>1.7453292519943295E-2</v>
          </cell>
        </row>
      </sheetData>
      <sheetData sheetId="2269">
        <row r="1">
          <cell r="J1">
            <v>1.7453292519943295E-2</v>
          </cell>
        </row>
      </sheetData>
      <sheetData sheetId="2270">
        <row r="1">
          <cell r="J1">
            <v>1.7453292519943295E-2</v>
          </cell>
        </row>
      </sheetData>
      <sheetData sheetId="2271">
        <row r="1">
          <cell r="J1">
            <v>1.7453292519943295E-2</v>
          </cell>
        </row>
      </sheetData>
      <sheetData sheetId="2272">
        <row r="1">
          <cell r="J1">
            <v>1.7453292519943295E-2</v>
          </cell>
        </row>
      </sheetData>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ow r="1">
          <cell r="J1">
            <v>1.7453292519943295E-2</v>
          </cell>
        </row>
      </sheetData>
      <sheetData sheetId="2280">
        <row r="1">
          <cell r="J1">
            <v>1.7453292519943295E-2</v>
          </cell>
        </row>
      </sheetData>
      <sheetData sheetId="2281">
        <row r="1">
          <cell r="J1">
            <v>1.7453292519943295E-2</v>
          </cell>
        </row>
      </sheetData>
      <sheetData sheetId="2282">
        <row r="1">
          <cell r="J1">
            <v>1.7453292519943295E-2</v>
          </cell>
        </row>
      </sheetData>
      <sheetData sheetId="2283">
        <row r="1">
          <cell r="J1">
            <v>1.7453292519943295E-2</v>
          </cell>
        </row>
      </sheetData>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ow r="1">
          <cell r="J1">
            <v>1.7453292519943295E-2</v>
          </cell>
        </row>
      </sheetData>
      <sheetData sheetId="2289">
        <row r="1">
          <cell r="J1">
            <v>1.7453292519943295E-2</v>
          </cell>
        </row>
      </sheetData>
      <sheetData sheetId="2290">
        <row r="1">
          <cell r="J1">
            <v>1.7453292519943295E-2</v>
          </cell>
        </row>
      </sheetData>
      <sheetData sheetId="2291">
        <row r="1">
          <cell r="J1">
            <v>1.7453292519943295E-2</v>
          </cell>
        </row>
      </sheetData>
      <sheetData sheetId="2292">
        <row r="1">
          <cell r="J1">
            <v>1.7453292519943295E-2</v>
          </cell>
        </row>
      </sheetData>
      <sheetData sheetId="2293">
        <row r="1">
          <cell r="J1">
            <v>1.7453292519943295E-2</v>
          </cell>
        </row>
      </sheetData>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ow r="1">
          <cell r="J1">
            <v>1.7453292519943295E-2</v>
          </cell>
        </row>
      </sheetData>
      <sheetData sheetId="2303">
        <row r="1">
          <cell r="J1">
            <v>1.7453292519943295E-2</v>
          </cell>
        </row>
      </sheetData>
      <sheetData sheetId="2304">
        <row r="1">
          <cell r="J1">
            <v>1.7453292519943295E-2</v>
          </cell>
        </row>
      </sheetData>
      <sheetData sheetId="2305">
        <row r="1">
          <cell r="J1">
            <v>1.7453292519943295E-2</v>
          </cell>
        </row>
      </sheetData>
      <sheetData sheetId="2306">
        <row r="1">
          <cell r="J1">
            <v>1.7453292519943295E-2</v>
          </cell>
        </row>
      </sheetData>
      <sheetData sheetId="2307">
        <row r="1">
          <cell r="J1">
            <v>1.7453292519943295E-2</v>
          </cell>
        </row>
      </sheetData>
      <sheetData sheetId="2308">
        <row r="1">
          <cell r="J1">
            <v>1.7453292519943295E-2</v>
          </cell>
        </row>
      </sheetData>
      <sheetData sheetId="2309">
        <row r="1">
          <cell r="J1">
            <v>1.7453292519943295E-2</v>
          </cell>
        </row>
      </sheetData>
      <sheetData sheetId="2310">
        <row r="1">
          <cell r="J1">
            <v>1.7453292519943295E-2</v>
          </cell>
        </row>
      </sheetData>
      <sheetData sheetId="2311">
        <row r="1">
          <cell r="J1">
            <v>1.7453292519943295E-2</v>
          </cell>
        </row>
      </sheetData>
      <sheetData sheetId="2312">
        <row r="1">
          <cell r="J1">
            <v>1.7453292519943295E-2</v>
          </cell>
        </row>
      </sheetData>
      <sheetData sheetId="2313">
        <row r="1">
          <cell r="J1">
            <v>1.7453292519943295E-2</v>
          </cell>
        </row>
      </sheetData>
      <sheetData sheetId="2314">
        <row r="1">
          <cell r="J1">
            <v>1.7453292519943295E-2</v>
          </cell>
        </row>
      </sheetData>
      <sheetData sheetId="2315">
        <row r="1">
          <cell r="J1">
            <v>1.7453292519943295E-2</v>
          </cell>
        </row>
      </sheetData>
      <sheetData sheetId="2316">
        <row r="1">
          <cell r="J1">
            <v>1.7453292519943295E-2</v>
          </cell>
        </row>
      </sheetData>
      <sheetData sheetId="2317">
        <row r="1">
          <cell r="J1">
            <v>1.7453292519943295E-2</v>
          </cell>
        </row>
      </sheetData>
      <sheetData sheetId="2318">
        <row r="1">
          <cell r="J1">
            <v>1.7453292519943295E-2</v>
          </cell>
        </row>
      </sheetData>
      <sheetData sheetId="2319">
        <row r="1">
          <cell r="J1">
            <v>1.7453292519943295E-2</v>
          </cell>
        </row>
      </sheetData>
      <sheetData sheetId="2320">
        <row r="1">
          <cell r="J1">
            <v>1.7453292519943295E-2</v>
          </cell>
        </row>
      </sheetData>
      <sheetData sheetId="2321">
        <row r="1">
          <cell r="J1">
            <v>1.7453292519943295E-2</v>
          </cell>
        </row>
      </sheetData>
      <sheetData sheetId="2322">
        <row r="1">
          <cell r="J1">
            <v>1.7453292519943295E-2</v>
          </cell>
        </row>
      </sheetData>
      <sheetData sheetId="2323">
        <row r="1">
          <cell r="J1">
            <v>1.7453292519943295E-2</v>
          </cell>
        </row>
      </sheetData>
      <sheetData sheetId="2324">
        <row r="1">
          <cell r="J1">
            <v>1.7453292519943295E-2</v>
          </cell>
        </row>
      </sheetData>
      <sheetData sheetId="2325">
        <row r="1">
          <cell r="J1">
            <v>1.7453292519943295E-2</v>
          </cell>
        </row>
      </sheetData>
      <sheetData sheetId="2326">
        <row r="1">
          <cell r="J1">
            <v>1.7453292519943295E-2</v>
          </cell>
        </row>
      </sheetData>
      <sheetData sheetId="2327">
        <row r="1">
          <cell r="J1">
            <v>1.7453292519943295E-2</v>
          </cell>
        </row>
      </sheetData>
      <sheetData sheetId="2328">
        <row r="1">
          <cell r="J1">
            <v>1.7453292519943295E-2</v>
          </cell>
        </row>
      </sheetData>
      <sheetData sheetId="2329">
        <row r="1">
          <cell r="J1">
            <v>1.7453292519943295E-2</v>
          </cell>
        </row>
      </sheetData>
      <sheetData sheetId="2330">
        <row r="1">
          <cell r="J1">
            <v>1.7453292519943295E-2</v>
          </cell>
        </row>
      </sheetData>
      <sheetData sheetId="2331">
        <row r="1">
          <cell r="J1">
            <v>1.7453292519943295E-2</v>
          </cell>
        </row>
      </sheetData>
      <sheetData sheetId="2332">
        <row r="1">
          <cell r="J1">
            <v>1.7453292519943295E-2</v>
          </cell>
        </row>
      </sheetData>
      <sheetData sheetId="2333">
        <row r="1">
          <cell r="J1">
            <v>1.7453292519943295E-2</v>
          </cell>
        </row>
      </sheetData>
      <sheetData sheetId="2334">
        <row r="1">
          <cell r="J1">
            <v>1.7453292519943295E-2</v>
          </cell>
        </row>
      </sheetData>
      <sheetData sheetId="2335">
        <row r="1">
          <cell r="J1">
            <v>1.7453292519943295E-2</v>
          </cell>
        </row>
      </sheetData>
      <sheetData sheetId="2336">
        <row r="1">
          <cell r="J1">
            <v>1.7453292519943295E-2</v>
          </cell>
        </row>
      </sheetData>
      <sheetData sheetId="2337">
        <row r="1">
          <cell r="J1">
            <v>1.7453292519943295E-2</v>
          </cell>
        </row>
      </sheetData>
      <sheetData sheetId="2338">
        <row r="1">
          <cell r="J1">
            <v>1.7453292519943295E-2</v>
          </cell>
        </row>
      </sheetData>
      <sheetData sheetId="2339">
        <row r="1">
          <cell r="J1">
            <v>1.7453292519943295E-2</v>
          </cell>
        </row>
      </sheetData>
      <sheetData sheetId="2340">
        <row r="1">
          <cell r="J1">
            <v>1.7453292519943295E-2</v>
          </cell>
        </row>
      </sheetData>
      <sheetData sheetId="2341">
        <row r="1">
          <cell r="J1">
            <v>1.7453292519943295E-2</v>
          </cell>
        </row>
      </sheetData>
      <sheetData sheetId="2342">
        <row r="1">
          <cell r="J1">
            <v>1.7453292519943295E-2</v>
          </cell>
        </row>
      </sheetData>
      <sheetData sheetId="2343">
        <row r="1">
          <cell r="J1">
            <v>1.7453292519943295E-2</v>
          </cell>
        </row>
      </sheetData>
      <sheetData sheetId="2344">
        <row r="1">
          <cell r="J1">
            <v>1.7453292519943295E-2</v>
          </cell>
        </row>
      </sheetData>
      <sheetData sheetId="2345">
        <row r="1">
          <cell r="J1">
            <v>1.7453292519943295E-2</v>
          </cell>
        </row>
      </sheetData>
      <sheetData sheetId="2346">
        <row r="1">
          <cell r="J1">
            <v>1.7453292519943295E-2</v>
          </cell>
        </row>
      </sheetData>
      <sheetData sheetId="2347">
        <row r="1">
          <cell r="J1">
            <v>1.7453292519943295E-2</v>
          </cell>
        </row>
      </sheetData>
      <sheetData sheetId="2348">
        <row r="1">
          <cell r="J1">
            <v>1.7453292519943295E-2</v>
          </cell>
        </row>
      </sheetData>
      <sheetData sheetId="2349">
        <row r="1">
          <cell r="J1">
            <v>1.7453292519943295E-2</v>
          </cell>
        </row>
      </sheetData>
      <sheetData sheetId="2350">
        <row r="1">
          <cell r="J1">
            <v>1.7453292519943295E-2</v>
          </cell>
        </row>
      </sheetData>
      <sheetData sheetId="2351">
        <row r="1">
          <cell r="J1">
            <v>1.7453292519943295E-2</v>
          </cell>
        </row>
      </sheetData>
      <sheetData sheetId="2352">
        <row r="1">
          <cell r="J1">
            <v>1.7453292519943295E-2</v>
          </cell>
        </row>
      </sheetData>
      <sheetData sheetId="2353">
        <row r="1">
          <cell r="J1">
            <v>1.7453292519943295E-2</v>
          </cell>
        </row>
      </sheetData>
      <sheetData sheetId="2354">
        <row r="1">
          <cell r="J1">
            <v>1.7453292519943295E-2</v>
          </cell>
        </row>
      </sheetData>
      <sheetData sheetId="2355">
        <row r="1">
          <cell r="J1">
            <v>1.7453292519943295E-2</v>
          </cell>
        </row>
      </sheetData>
      <sheetData sheetId="2356">
        <row r="1">
          <cell r="J1">
            <v>1.7453292519943295E-2</v>
          </cell>
        </row>
      </sheetData>
      <sheetData sheetId="2357">
        <row r="1">
          <cell r="J1">
            <v>1.7453292519943295E-2</v>
          </cell>
        </row>
      </sheetData>
      <sheetData sheetId="2358">
        <row r="1">
          <cell r="J1">
            <v>1.7453292519943295E-2</v>
          </cell>
        </row>
      </sheetData>
      <sheetData sheetId="2359">
        <row r="1">
          <cell r="J1">
            <v>1.7453292519943295E-2</v>
          </cell>
        </row>
      </sheetData>
      <sheetData sheetId="2360">
        <row r="1">
          <cell r="J1">
            <v>1.7453292519943295E-2</v>
          </cell>
        </row>
      </sheetData>
      <sheetData sheetId="2361">
        <row r="1">
          <cell r="J1">
            <v>1.7453292519943295E-2</v>
          </cell>
        </row>
      </sheetData>
      <sheetData sheetId="2362">
        <row r="1">
          <cell r="J1">
            <v>1.7453292519943295E-2</v>
          </cell>
        </row>
      </sheetData>
      <sheetData sheetId="2363">
        <row r="1">
          <cell r="J1">
            <v>1.7453292519943295E-2</v>
          </cell>
        </row>
      </sheetData>
      <sheetData sheetId="2364">
        <row r="1">
          <cell r="J1">
            <v>1.7453292519943295E-2</v>
          </cell>
        </row>
      </sheetData>
      <sheetData sheetId="2365">
        <row r="1">
          <cell r="J1">
            <v>1.7453292519943295E-2</v>
          </cell>
        </row>
      </sheetData>
      <sheetData sheetId="2366">
        <row r="1">
          <cell r="J1">
            <v>1.7453292519943295E-2</v>
          </cell>
        </row>
      </sheetData>
      <sheetData sheetId="2367">
        <row r="1">
          <cell r="J1">
            <v>1.7453292519943295E-2</v>
          </cell>
        </row>
      </sheetData>
      <sheetData sheetId="2368">
        <row r="1">
          <cell r="J1">
            <v>1.7453292519943295E-2</v>
          </cell>
        </row>
      </sheetData>
      <sheetData sheetId="2369">
        <row r="1">
          <cell r="J1">
            <v>1.7453292519943295E-2</v>
          </cell>
        </row>
      </sheetData>
      <sheetData sheetId="2370">
        <row r="1">
          <cell r="J1">
            <v>1.7453292519943295E-2</v>
          </cell>
        </row>
      </sheetData>
      <sheetData sheetId="2371">
        <row r="1">
          <cell r="J1">
            <v>1.7453292519943295E-2</v>
          </cell>
        </row>
      </sheetData>
      <sheetData sheetId="2372">
        <row r="1">
          <cell r="J1">
            <v>1.7453292519943295E-2</v>
          </cell>
        </row>
      </sheetData>
      <sheetData sheetId="2373">
        <row r="1">
          <cell r="J1">
            <v>1.7453292519943295E-2</v>
          </cell>
        </row>
      </sheetData>
      <sheetData sheetId="2374">
        <row r="1">
          <cell r="J1">
            <v>1.7453292519943295E-2</v>
          </cell>
        </row>
      </sheetData>
      <sheetData sheetId="2375">
        <row r="1">
          <cell r="J1">
            <v>1.7453292519943295E-2</v>
          </cell>
        </row>
      </sheetData>
      <sheetData sheetId="2376">
        <row r="1">
          <cell r="J1">
            <v>1.7453292519943295E-2</v>
          </cell>
        </row>
      </sheetData>
      <sheetData sheetId="2377">
        <row r="1">
          <cell r="J1">
            <v>1.7453292519943295E-2</v>
          </cell>
        </row>
      </sheetData>
      <sheetData sheetId="2378">
        <row r="1">
          <cell r="J1">
            <v>1.7453292519943295E-2</v>
          </cell>
        </row>
      </sheetData>
      <sheetData sheetId="2379">
        <row r="1">
          <cell r="J1">
            <v>1.7453292519943295E-2</v>
          </cell>
        </row>
      </sheetData>
      <sheetData sheetId="2380">
        <row r="1">
          <cell r="J1">
            <v>1.7453292519943295E-2</v>
          </cell>
        </row>
      </sheetData>
      <sheetData sheetId="2381">
        <row r="1">
          <cell r="J1">
            <v>1.7453292519943295E-2</v>
          </cell>
        </row>
      </sheetData>
      <sheetData sheetId="2382">
        <row r="1">
          <cell r="J1">
            <v>1.7453292519943295E-2</v>
          </cell>
        </row>
      </sheetData>
      <sheetData sheetId="2383">
        <row r="1">
          <cell r="J1">
            <v>1.7453292519943295E-2</v>
          </cell>
        </row>
      </sheetData>
      <sheetData sheetId="2384">
        <row r="1">
          <cell r="J1">
            <v>1.7453292519943295E-2</v>
          </cell>
        </row>
      </sheetData>
      <sheetData sheetId="2385">
        <row r="1">
          <cell r="J1">
            <v>1.7453292519943295E-2</v>
          </cell>
        </row>
      </sheetData>
      <sheetData sheetId="2386">
        <row r="1">
          <cell r="J1">
            <v>1.7453292519943295E-2</v>
          </cell>
        </row>
      </sheetData>
      <sheetData sheetId="2387">
        <row r="1">
          <cell r="J1">
            <v>1.7453292519943295E-2</v>
          </cell>
        </row>
      </sheetData>
      <sheetData sheetId="2388">
        <row r="1">
          <cell r="J1">
            <v>1.7453292519943295E-2</v>
          </cell>
        </row>
      </sheetData>
      <sheetData sheetId="2389">
        <row r="1">
          <cell r="J1">
            <v>1.7453292519943295E-2</v>
          </cell>
        </row>
      </sheetData>
      <sheetData sheetId="2390">
        <row r="1">
          <cell r="J1">
            <v>1.7453292519943295E-2</v>
          </cell>
        </row>
      </sheetData>
      <sheetData sheetId="2391">
        <row r="1">
          <cell r="J1">
            <v>1.7453292519943295E-2</v>
          </cell>
        </row>
      </sheetData>
      <sheetData sheetId="2392">
        <row r="1">
          <cell r="J1">
            <v>1.7453292519943295E-2</v>
          </cell>
        </row>
      </sheetData>
      <sheetData sheetId="2393">
        <row r="1">
          <cell r="J1">
            <v>1.7453292519943295E-2</v>
          </cell>
        </row>
      </sheetData>
      <sheetData sheetId="2394">
        <row r="1">
          <cell r="J1">
            <v>1.7453292519943295E-2</v>
          </cell>
        </row>
      </sheetData>
      <sheetData sheetId="2395">
        <row r="1">
          <cell r="J1">
            <v>1.7453292519943295E-2</v>
          </cell>
        </row>
      </sheetData>
      <sheetData sheetId="2396">
        <row r="1">
          <cell r="J1">
            <v>1.7453292519943295E-2</v>
          </cell>
        </row>
      </sheetData>
      <sheetData sheetId="2397">
        <row r="1">
          <cell r="J1">
            <v>1.7453292519943295E-2</v>
          </cell>
        </row>
      </sheetData>
      <sheetData sheetId="2398">
        <row r="1">
          <cell r="J1">
            <v>1.7453292519943295E-2</v>
          </cell>
        </row>
      </sheetData>
      <sheetData sheetId="2399">
        <row r="1">
          <cell r="J1">
            <v>1.7453292519943295E-2</v>
          </cell>
        </row>
      </sheetData>
      <sheetData sheetId="2400">
        <row r="1">
          <cell r="J1">
            <v>1.7453292519943295E-2</v>
          </cell>
        </row>
      </sheetData>
      <sheetData sheetId="2401">
        <row r="1">
          <cell r="J1">
            <v>1.7453292519943295E-2</v>
          </cell>
        </row>
      </sheetData>
      <sheetData sheetId="2402">
        <row r="1">
          <cell r="J1">
            <v>1.7453292519943295E-2</v>
          </cell>
        </row>
      </sheetData>
      <sheetData sheetId="2403">
        <row r="1">
          <cell r="J1">
            <v>1.7453292519943295E-2</v>
          </cell>
        </row>
      </sheetData>
      <sheetData sheetId="2404">
        <row r="1">
          <cell r="J1">
            <v>1.7453292519943295E-2</v>
          </cell>
        </row>
      </sheetData>
      <sheetData sheetId="2405">
        <row r="1">
          <cell r="J1">
            <v>1.7453292519943295E-2</v>
          </cell>
        </row>
      </sheetData>
      <sheetData sheetId="2406">
        <row r="1">
          <cell r="J1">
            <v>1.7453292519943295E-2</v>
          </cell>
        </row>
      </sheetData>
      <sheetData sheetId="2407">
        <row r="1">
          <cell r="J1">
            <v>1.7453292519943295E-2</v>
          </cell>
        </row>
      </sheetData>
      <sheetData sheetId="2408">
        <row r="1">
          <cell r="J1">
            <v>1.7453292519943295E-2</v>
          </cell>
        </row>
      </sheetData>
      <sheetData sheetId="2409">
        <row r="1">
          <cell r="J1">
            <v>1.7453292519943295E-2</v>
          </cell>
        </row>
      </sheetData>
      <sheetData sheetId="2410">
        <row r="1">
          <cell r="J1">
            <v>1.7453292519943295E-2</v>
          </cell>
        </row>
      </sheetData>
      <sheetData sheetId="2411">
        <row r="1">
          <cell r="J1">
            <v>1.7453292519943295E-2</v>
          </cell>
        </row>
      </sheetData>
      <sheetData sheetId="2412">
        <row r="1">
          <cell r="J1">
            <v>1.7453292519943295E-2</v>
          </cell>
        </row>
      </sheetData>
      <sheetData sheetId="2413">
        <row r="1">
          <cell r="J1">
            <v>1.7453292519943295E-2</v>
          </cell>
        </row>
      </sheetData>
      <sheetData sheetId="2414">
        <row r="1">
          <cell r="J1">
            <v>1.7453292519943295E-2</v>
          </cell>
        </row>
      </sheetData>
      <sheetData sheetId="2415">
        <row r="1">
          <cell r="J1">
            <v>1.7453292519943295E-2</v>
          </cell>
        </row>
      </sheetData>
      <sheetData sheetId="2416">
        <row r="1">
          <cell r="J1">
            <v>1.7453292519943295E-2</v>
          </cell>
        </row>
      </sheetData>
      <sheetData sheetId="2417">
        <row r="1">
          <cell r="J1">
            <v>1.7453292519943295E-2</v>
          </cell>
        </row>
      </sheetData>
      <sheetData sheetId="2418">
        <row r="1">
          <cell r="J1">
            <v>1.7453292519943295E-2</v>
          </cell>
        </row>
      </sheetData>
      <sheetData sheetId="2419">
        <row r="1">
          <cell r="J1">
            <v>1.7453292519943295E-2</v>
          </cell>
        </row>
      </sheetData>
      <sheetData sheetId="2420">
        <row r="1">
          <cell r="J1">
            <v>1.7453292519943295E-2</v>
          </cell>
        </row>
      </sheetData>
      <sheetData sheetId="2421">
        <row r="1">
          <cell r="J1">
            <v>1.7453292519943295E-2</v>
          </cell>
        </row>
      </sheetData>
      <sheetData sheetId="2422">
        <row r="1">
          <cell r="J1">
            <v>1.7453292519943295E-2</v>
          </cell>
        </row>
      </sheetData>
      <sheetData sheetId="2423">
        <row r="1">
          <cell r="J1">
            <v>1.7453292519943295E-2</v>
          </cell>
        </row>
      </sheetData>
      <sheetData sheetId="2424">
        <row r="1">
          <cell r="J1">
            <v>1.7453292519943295E-2</v>
          </cell>
        </row>
      </sheetData>
      <sheetData sheetId="2425">
        <row r="1">
          <cell r="J1">
            <v>1.7453292519943295E-2</v>
          </cell>
        </row>
      </sheetData>
      <sheetData sheetId="2426">
        <row r="1">
          <cell r="J1">
            <v>1.7453292519943295E-2</v>
          </cell>
        </row>
      </sheetData>
      <sheetData sheetId="2427">
        <row r="1">
          <cell r="J1">
            <v>1.7453292519943295E-2</v>
          </cell>
        </row>
      </sheetData>
      <sheetData sheetId="2428">
        <row r="1">
          <cell r="J1">
            <v>1.7453292519943295E-2</v>
          </cell>
        </row>
      </sheetData>
      <sheetData sheetId="2429">
        <row r="1">
          <cell r="J1">
            <v>1.7453292519943295E-2</v>
          </cell>
        </row>
      </sheetData>
      <sheetData sheetId="2430">
        <row r="1">
          <cell r="J1">
            <v>1.7453292519943295E-2</v>
          </cell>
        </row>
      </sheetData>
      <sheetData sheetId="2431">
        <row r="1">
          <cell r="J1">
            <v>1.7453292519943295E-2</v>
          </cell>
        </row>
      </sheetData>
      <sheetData sheetId="2432">
        <row r="1">
          <cell r="J1">
            <v>1.7453292519943295E-2</v>
          </cell>
        </row>
      </sheetData>
      <sheetData sheetId="2433">
        <row r="1">
          <cell r="J1">
            <v>1.7453292519943295E-2</v>
          </cell>
        </row>
      </sheetData>
      <sheetData sheetId="2434">
        <row r="1">
          <cell r="J1">
            <v>1.7453292519943295E-2</v>
          </cell>
        </row>
      </sheetData>
      <sheetData sheetId="2435">
        <row r="1">
          <cell r="J1">
            <v>1.7453292519943295E-2</v>
          </cell>
        </row>
      </sheetData>
      <sheetData sheetId="2436">
        <row r="1">
          <cell r="J1">
            <v>1.7453292519943295E-2</v>
          </cell>
        </row>
      </sheetData>
      <sheetData sheetId="2437">
        <row r="1">
          <cell r="J1">
            <v>1.7453292519943295E-2</v>
          </cell>
        </row>
      </sheetData>
      <sheetData sheetId="2438">
        <row r="1">
          <cell r="J1">
            <v>1.7453292519943295E-2</v>
          </cell>
        </row>
      </sheetData>
      <sheetData sheetId="2439">
        <row r="1">
          <cell r="J1">
            <v>1.7453292519943295E-2</v>
          </cell>
        </row>
      </sheetData>
      <sheetData sheetId="2440">
        <row r="1">
          <cell r="J1">
            <v>1.7453292519943295E-2</v>
          </cell>
        </row>
      </sheetData>
      <sheetData sheetId="2441">
        <row r="1">
          <cell r="J1">
            <v>1.7453292519943295E-2</v>
          </cell>
        </row>
      </sheetData>
      <sheetData sheetId="2442">
        <row r="1">
          <cell r="J1">
            <v>1.7453292519943295E-2</v>
          </cell>
        </row>
      </sheetData>
      <sheetData sheetId="2443">
        <row r="1">
          <cell r="J1">
            <v>1.7453292519943295E-2</v>
          </cell>
        </row>
      </sheetData>
      <sheetData sheetId="2444">
        <row r="1">
          <cell r="J1">
            <v>1.7453292519943295E-2</v>
          </cell>
        </row>
      </sheetData>
      <sheetData sheetId="2445">
        <row r="1">
          <cell r="J1">
            <v>1.7453292519943295E-2</v>
          </cell>
        </row>
      </sheetData>
      <sheetData sheetId="2446">
        <row r="1">
          <cell r="J1">
            <v>1.7453292519943295E-2</v>
          </cell>
        </row>
      </sheetData>
      <sheetData sheetId="2447">
        <row r="1">
          <cell r="J1">
            <v>1.7453292519943295E-2</v>
          </cell>
        </row>
      </sheetData>
      <sheetData sheetId="2448">
        <row r="1">
          <cell r="J1">
            <v>1.7453292519943295E-2</v>
          </cell>
        </row>
      </sheetData>
      <sheetData sheetId="2449">
        <row r="1">
          <cell r="J1">
            <v>1.7453292519943295E-2</v>
          </cell>
        </row>
      </sheetData>
      <sheetData sheetId="2450">
        <row r="1">
          <cell r="J1">
            <v>1.7453292519943295E-2</v>
          </cell>
        </row>
      </sheetData>
      <sheetData sheetId="2451">
        <row r="1">
          <cell r="J1">
            <v>1.7453292519943295E-2</v>
          </cell>
        </row>
      </sheetData>
      <sheetData sheetId="2452">
        <row r="1">
          <cell r="J1">
            <v>1.7453292519943295E-2</v>
          </cell>
        </row>
      </sheetData>
      <sheetData sheetId="2453">
        <row r="1">
          <cell r="J1">
            <v>1.7453292519943295E-2</v>
          </cell>
        </row>
      </sheetData>
      <sheetData sheetId="2454">
        <row r="1">
          <cell r="J1">
            <v>1.7453292519943295E-2</v>
          </cell>
        </row>
      </sheetData>
      <sheetData sheetId="2455">
        <row r="1">
          <cell r="J1">
            <v>1.7453292519943295E-2</v>
          </cell>
        </row>
      </sheetData>
      <sheetData sheetId="2456">
        <row r="1">
          <cell r="J1">
            <v>1.7453292519943295E-2</v>
          </cell>
        </row>
      </sheetData>
      <sheetData sheetId="2457">
        <row r="1">
          <cell r="J1">
            <v>1.7453292519943295E-2</v>
          </cell>
        </row>
      </sheetData>
      <sheetData sheetId="2458">
        <row r="1">
          <cell r="J1">
            <v>1.7453292519943295E-2</v>
          </cell>
        </row>
      </sheetData>
      <sheetData sheetId="2459">
        <row r="1">
          <cell r="J1">
            <v>1.7453292519943295E-2</v>
          </cell>
        </row>
      </sheetData>
      <sheetData sheetId="2460">
        <row r="1">
          <cell r="J1">
            <v>1.7453292519943295E-2</v>
          </cell>
        </row>
      </sheetData>
      <sheetData sheetId="2461">
        <row r="1">
          <cell r="J1">
            <v>1.7453292519943295E-2</v>
          </cell>
        </row>
      </sheetData>
      <sheetData sheetId="2462">
        <row r="1">
          <cell r="J1">
            <v>1.7453292519943295E-2</v>
          </cell>
        </row>
      </sheetData>
      <sheetData sheetId="2463">
        <row r="1">
          <cell r="J1">
            <v>1.7453292519943295E-2</v>
          </cell>
        </row>
      </sheetData>
      <sheetData sheetId="2464">
        <row r="1">
          <cell r="J1">
            <v>1.7453292519943295E-2</v>
          </cell>
        </row>
      </sheetData>
      <sheetData sheetId="2465">
        <row r="1">
          <cell r="J1">
            <v>1.7453292519943295E-2</v>
          </cell>
        </row>
      </sheetData>
      <sheetData sheetId="2466">
        <row r="1">
          <cell r="J1">
            <v>1.7453292519943295E-2</v>
          </cell>
        </row>
      </sheetData>
      <sheetData sheetId="2467">
        <row r="1">
          <cell r="J1">
            <v>1.7453292519943295E-2</v>
          </cell>
        </row>
      </sheetData>
      <sheetData sheetId="2468">
        <row r="1">
          <cell r="J1">
            <v>1.7453292519943295E-2</v>
          </cell>
        </row>
      </sheetData>
      <sheetData sheetId="2469">
        <row r="1">
          <cell r="J1">
            <v>1.7453292519943295E-2</v>
          </cell>
        </row>
      </sheetData>
      <sheetData sheetId="2470">
        <row r="1">
          <cell r="J1">
            <v>1.7453292519943295E-2</v>
          </cell>
        </row>
      </sheetData>
      <sheetData sheetId="2471">
        <row r="1">
          <cell r="J1">
            <v>1.7453292519943295E-2</v>
          </cell>
        </row>
      </sheetData>
      <sheetData sheetId="2472">
        <row r="1">
          <cell r="J1">
            <v>1.7453292519943295E-2</v>
          </cell>
        </row>
      </sheetData>
      <sheetData sheetId="2473">
        <row r="1">
          <cell r="J1">
            <v>1.7453292519943295E-2</v>
          </cell>
        </row>
      </sheetData>
      <sheetData sheetId="2474">
        <row r="1">
          <cell r="J1">
            <v>1.7453292519943295E-2</v>
          </cell>
        </row>
      </sheetData>
      <sheetData sheetId="2475">
        <row r="1">
          <cell r="J1">
            <v>1.7453292519943295E-2</v>
          </cell>
        </row>
      </sheetData>
      <sheetData sheetId="2476">
        <row r="1">
          <cell r="J1">
            <v>1.7453292519943295E-2</v>
          </cell>
        </row>
      </sheetData>
      <sheetData sheetId="2477">
        <row r="1">
          <cell r="J1">
            <v>1.7453292519943295E-2</v>
          </cell>
        </row>
      </sheetData>
      <sheetData sheetId="2478">
        <row r="1">
          <cell r="J1">
            <v>1.7453292519943295E-2</v>
          </cell>
        </row>
      </sheetData>
      <sheetData sheetId="2479">
        <row r="1">
          <cell r="J1">
            <v>1.7453292519943295E-2</v>
          </cell>
        </row>
      </sheetData>
      <sheetData sheetId="2480">
        <row r="1">
          <cell r="J1">
            <v>1.7453292519943295E-2</v>
          </cell>
        </row>
      </sheetData>
      <sheetData sheetId="2481">
        <row r="1">
          <cell r="J1">
            <v>1.7453292519943295E-2</v>
          </cell>
        </row>
      </sheetData>
      <sheetData sheetId="2482">
        <row r="1">
          <cell r="J1">
            <v>1.7453292519943295E-2</v>
          </cell>
        </row>
      </sheetData>
      <sheetData sheetId="2483">
        <row r="1">
          <cell r="J1">
            <v>1.7453292519943295E-2</v>
          </cell>
        </row>
      </sheetData>
      <sheetData sheetId="2484">
        <row r="1">
          <cell r="J1">
            <v>1.7453292519943295E-2</v>
          </cell>
        </row>
      </sheetData>
      <sheetData sheetId="2485">
        <row r="1">
          <cell r="J1">
            <v>1.7453292519943295E-2</v>
          </cell>
        </row>
      </sheetData>
      <sheetData sheetId="2486">
        <row r="1">
          <cell r="J1">
            <v>1.7453292519943295E-2</v>
          </cell>
        </row>
      </sheetData>
      <sheetData sheetId="2487">
        <row r="1">
          <cell r="J1">
            <v>1.7453292519943295E-2</v>
          </cell>
        </row>
      </sheetData>
      <sheetData sheetId="2488">
        <row r="1">
          <cell r="J1">
            <v>1.7453292519943295E-2</v>
          </cell>
        </row>
      </sheetData>
      <sheetData sheetId="2489">
        <row r="1">
          <cell r="J1">
            <v>1.7453292519943295E-2</v>
          </cell>
        </row>
      </sheetData>
      <sheetData sheetId="2490">
        <row r="1">
          <cell r="J1">
            <v>1.7453292519943295E-2</v>
          </cell>
        </row>
      </sheetData>
      <sheetData sheetId="2491">
        <row r="1">
          <cell r="J1">
            <v>1.7453292519943295E-2</v>
          </cell>
        </row>
      </sheetData>
      <sheetData sheetId="2492">
        <row r="1">
          <cell r="J1">
            <v>1.7453292519943295E-2</v>
          </cell>
        </row>
      </sheetData>
      <sheetData sheetId="2493">
        <row r="1">
          <cell r="J1">
            <v>1.7453292519943295E-2</v>
          </cell>
        </row>
      </sheetData>
      <sheetData sheetId="2494">
        <row r="1">
          <cell r="J1">
            <v>1.7453292519943295E-2</v>
          </cell>
        </row>
      </sheetData>
      <sheetData sheetId="2495">
        <row r="1">
          <cell r="J1">
            <v>1.7453292519943295E-2</v>
          </cell>
        </row>
      </sheetData>
      <sheetData sheetId="2496">
        <row r="1">
          <cell r="J1">
            <v>1.7453292519943295E-2</v>
          </cell>
        </row>
      </sheetData>
      <sheetData sheetId="2497">
        <row r="1">
          <cell r="J1">
            <v>1.7453292519943295E-2</v>
          </cell>
        </row>
      </sheetData>
      <sheetData sheetId="2498">
        <row r="1">
          <cell r="J1">
            <v>1.7453292519943295E-2</v>
          </cell>
        </row>
      </sheetData>
      <sheetData sheetId="2499">
        <row r="1">
          <cell r="J1">
            <v>1.7453292519943295E-2</v>
          </cell>
        </row>
      </sheetData>
      <sheetData sheetId="2500">
        <row r="1">
          <cell r="J1">
            <v>1.7453292519943295E-2</v>
          </cell>
        </row>
      </sheetData>
      <sheetData sheetId="2501">
        <row r="1">
          <cell r="J1">
            <v>1.7453292519943295E-2</v>
          </cell>
        </row>
      </sheetData>
      <sheetData sheetId="2502">
        <row r="1">
          <cell r="J1">
            <v>1.7453292519943295E-2</v>
          </cell>
        </row>
      </sheetData>
      <sheetData sheetId="2503">
        <row r="1">
          <cell r="J1">
            <v>1.7453292519943295E-2</v>
          </cell>
        </row>
      </sheetData>
      <sheetData sheetId="2504">
        <row r="1">
          <cell r="J1">
            <v>1.7453292519943295E-2</v>
          </cell>
        </row>
      </sheetData>
      <sheetData sheetId="2505">
        <row r="1">
          <cell r="J1">
            <v>1.7453292519943295E-2</v>
          </cell>
        </row>
      </sheetData>
      <sheetData sheetId="2506">
        <row r="1">
          <cell r="J1">
            <v>1.7453292519943295E-2</v>
          </cell>
        </row>
      </sheetData>
      <sheetData sheetId="2507">
        <row r="1">
          <cell r="J1">
            <v>1.7453292519943295E-2</v>
          </cell>
        </row>
      </sheetData>
      <sheetData sheetId="2508">
        <row r="1">
          <cell r="J1">
            <v>1.7453292519943295E-2</v>
          </cell>
        </row>
      </sheetData>
      <sheetData sheetId="2509">
        <row r="1">
          <cell r="J1">
            <v>1.7453292519943295E-2</v>
          </cell>
        </row>
      </sheetData>
      <sheetData sheetId="2510">
        <row r="1">
          <cell r="J1">
            <v>1.7453292519943295E-2</v>
          </cell>
        </row>
      </sheetData>
      <sheetData sheetId="2511">
        <row r="1">
          <cell r="J1">
            <v>1.7453292519943295E-2</v>
          </cell>
        </row>
      </sheetData>
      <sheetData sheetId="2512">
        <row r="1">
          <cell r="J1">
            <v>1.7453292519943295E-2</v>
          </cell>
        </row>
      </sheetData>
      <sheetData sheetId="2513">
        <row r="1">
          <cell r="J1">
            <v>1.7453292519943295E-2</v>
          </cell>
        </row>
      </sheetData>
      <sheetData sheetId="2514">
        <row r="1">
          <cell r="J1">
            <v>1.7453292519943295E-2</v>
          </cell>
        </row>
      </sheetData>
      <sheetData sheetId="2515">
        <row r="1">
          <cell r="J1">
            <v>1.7453292519943295E-2</v>
          </cell>
        </row>
      </sheetData>
      <sheetData sheetId="2516">
        <row r="1">
          <cell r="J1">
            <v>1.7453292519943295E-2</v>
          </cell>
        </row>
      </sheetData>
      <sheetData sheetId="2517">
        <row r="1">
          <cell r="J1">
            <v>1.7453292519943295E-2</v>
          </cell>
        </row>
      </sheetData>
      <sheetData sheetId="2518">
        <row r="1">
          <cell r="J1">
            <v>1.7453292519943295E-2</v>
          </cell>
        </row>
      </sheetData>
      <sheetData sheetId="2519">
        <row r="1">
          <cell r="J1">
            <v>1.7453292519943295E-2</v>
          </cell>
        </row>
      </sheetData>
      <sheetData sheetId="2520">
        <row r="1">
          <cell r="J1">
            <v>1.7453292519943295E-2</v>
          </cell>
        </row>
      </sheetData>
      <sheetData sheetId="2521">
        <row r="1">
          <cell r="J1">
            <v>1.7453292519943295E-2</v>
          </cell>
        </row>
      </sheetData>
      <sheetData sheetId="2522">
        <row r="1">
          <cell r="J1">
            <v>1.7453292519943295E-2</v>
          </cell>
        </row>
      </sheetData>
      <sheetData sheetId="2523">
        <row r="1">
          <cell r="J1">
            <v>1.7453292519943295E-2</v>
          </cell>
        </row>
      </sheetData>
      <sheetData sheetId="2524">
        <row r="1">
          <cell r="J1">
            <v>1.7453292519943295E-2</v>
          </cell>
        </row>
      </sheetData>
      <sheetData sheetId="2525">
        <row r="1">
          <cell r="J1">
            <v>1.7453292519943295E-2</v>
          </cell>
        </row>
      </sheetData>
      <sheetData sheetId="2526">
        <row r="1">
          <cell r="J1">
            <v>1.7453292519943295E-2</v>
          </cell>
        </row>
      </sheetData>
      <sheetData sheetId="2527">
        <row r="1">
          <cell r="J1">
            <v>1.7453292519943295E-2</v>
          </cell>
        </row>
      </sheetData>
      <sheetData sheetId="2528">
        <row r="1">
          <cell r="J1">
            <v>1.7453292519943295E-2</v>
          </cell>
        </row>
      </sheetData>
      <sheetData sheetId="2529">
        <row r="1">
          <cell r="J1">
            <v>1.7453292519943295E-2</v>
          </cell>
        </row>
      </sheetData>
      <sheetData sheetId="2530">
        <row r="1">
          <cell r="J1">
            <v>1.7453292519943295E-2</v>
          </cell>
        </row>
      </sheetData>
      <sheetData sheetId="2531">
        <row r="1">
          <cell r="J1">
            <v>1.7453292519943295E-2</v>
          </cell>
        </row>
      </sheetData>
      <sheetData sheetId="2532">
        <row r="1">
          <cell r="J1">
            <v>1.7453292519943295E-2</v>
          </cell>
        </row>
      </sheetData>
      <sheetData sheetId="2533">
        <row r="1">
          <cell r="J1">
            <v>1.7453292519943295E-2</v>
          </cell>
        </row>
      </sheetData>
      <sheetData sheetId="2534">
        <row r="1">
          <cell r="J1">
            <v>1.7453292519943295E-2</v>
          </cell>
        </row>
      </sheetData>
      <sheetData sheetId="2535">
        <row r="1">
          <cell r="J1">
            <v>1.7453292519943295E-2</v>
          </cell>
        </row>
      </sheetData>
      <sheetData sheetId="2536">
        <row r="1">
          <cell r="J1">
            <v>1.7453292519943295E-2</v>
          </cell>
        </row>
      </sheetData>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ow r="1">
          <cell r="J1">
            <v>1.7453292519943295E-2</v>
          </cell>
        </row>
      </sheetData>
      <sheetData sheetId="2542">
        <row r="1">
          <cell r="J1">
            <v>1.7453292519943295E-2</v>
          </cell>
        </row>
      </sheetData>
      <sheetData sheetId="2543">
        <row r="1">
          <cell r="J1">
            <v>1.7453292519943295E-2</v>
          </cell>
        </row>
      </sheetData>
      <sheetData sheetId="2544">
        <row r="1">
          <cell r="J1">
            <v>1.7453292519943295E-2</v>
          </cell>
        </row>
      </sheetData>
      <sheetData sheetId="2545">
        <row r="1">
          <cell r="J1">
            <v>1.7453292519943295E-2</v>
          </cell>
        </row>
      </sheetData>
      <sheetData sheetId="2546">
        <row r="1">
          <cell r="J1">
            <v>1.7453292519943295E-2</v>
          </cell>
        </row>
      </sheetData>
      <sheetData sheetId="2547">
        <row r="1">
          <cell r="J1">
            <v>1.7453292519943295E-2</v>
          </cell>
        </row>
      </sheetData>
      <sheetData sheetId="2548">
        <row r="1">
          <cell r="J1">
            <v>1.7453292519943295E-2</v>
          </cell>
        </row>
      </sheetData>
      <sheetData sheetId="2549">
        <row r="1">
          <cell r="J1">
            <v>1.7453292519943295E-2</v>
          </cell>
        </row>
      </sheetData>
      <sheetData sheetId="2550">
        <row r="1">
          <cell r="J1">
            <v>1.7453292519943295E-2</v>
          </cell>
        </row>
      </sheetData>
      <sheetData sheetId="2551">
        <row r="1">
          <cell r="J1">
            <v>1.7453292519943295E-2</v>
          </cell>
        </row>
      </sheetData>
      <sheetData sheetId="2552">
        <row r="1">
          <cell r="J1">
            <v>1.7453292519943295E-2</v>
          </cell>
        </row>
      </sheetData>
      <sheetData sheetId="2553">
        <row r="1">
          <cell r="J1">
            <v>1.7453292519943295E-2</v>
          </cell>
        </row>
      </sheetData>
      <sheetData sheetId="2554">
        <row r="1">
          <cell r="J1">
            <v>1.7453292519943295E-2</v>
          </cell>
        </row>
      </sheetData>
      <sheetData sheetId="2555">
        <row r="1">
          <cell r="J1">
            <v>1.7453292519943295E-2</v>
          </cell>
        </row>
      </sheetData>
      <sheetData sheetId="2556">
        <row r="1">
          <cell r="J1">
            <v>1.7453292519943295E-2</v>
          </cell>
        </row>
      </sheetData>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ow r="1">
          <cell r="J1">
            <v>1.7453292519943295E-2</v>
          </cell>
        </row>
      </sheetData>
      <sheetData sheetId="2908">
        <row r="1">
          <cell r="J1">
            <v>1.7453292519943295E-2</v>
          </cell>
        </row>
      </sheetData>
      <sheetData sheetId="2909">
        <row r="1">
          <cell r="J1">
            <v>1.7453292519943295E-2</v>
          </cell>
        </row>
      </sheetData>
      <sheetData sheetId="2910">
        <row r="1">
          <cell r="J1">
            <v>1.7453292519943295E-2</v>
          </cell>
        </row>
      </sheetData>
      <sheetData sheetId="2911">
        <row r="1">
          <cell r="J1">
            <v>1.7453292519943295E-2</v>
          </cell>
        </row>
      </sheetData>
      <sheetData sheetId="2912">
        <row r="1">
          <cell r="J1">
            <v>1.7453292519943295E-2</v>
          </cell>
        </row>
      </sheetData>
      <sheetData sheetId="2913">
        <row r="1">
          <cell r="J1">
            <v>1.7453292519943295E-2</v>
          </cell>
        </row>
      </sheetData>
      <sheetData sheetId="2914">
        <row r="1">
          <cell r="J1">
            <v>1.7453292519943295E-2</v>
          </cell>
        </row>
      </sheetData>
      <sheetData sheetId="2915">
        <row r="1">
          <cell r="J1">
            <v>1.7453292519943295E-2</v>
          </cell>
        </row>
      </sheetData>
      <sheetData sheetId="2916">
        <row r="1">
          <cell r="J1">
            <v>1.7453292519943295E-2</v>
          </cell>
        </row>
      </sheetData>
      <sheetData sheetId="2917">
        <row r="1">
          <cell r="J1">
            <v>1.7453292519943295E-2</v>
          </cell>
        </row>
      </sheetData>
      <sheetData sheetId="2918">
        <row r="1">
          <cell r="J1">
            <v>1.7453292519943295E-2</v>
          </cell>
        </row>
      </sheetData>
      <sheetData sheetId="2919">
        <row r="1">
          <cell r="J1">
            <v>1.7453292519943295E-2</v>
          </cell>
        </row>
      </sheetData>
      <sheetData sheetId="2920">
        <row r="1">
          <cell r="J1">
            <v>1.7453292519943295E-2</v>
          </cell>
        </row>
      </sheetData>
      <sheetData sheetId="2921">
        <row r="1">
          <cell r="J1">
            <v>1.7453292519943295E-2</v>
          </cell>
        </row>
      </sheetData>
      <sheetData sheetId="2922">
        <row r="1">
          <cell r="J1">
            <v>1.7453292519943295E-2</v>
          </cell>
        </row>
      </sheetData>
      <sheetData sheetId="2923">
        <row r="1">
          <cell r="J1">
            <v>1.7453292519943295E-2</v>
          </cell>
        </row>
      </sheetData>
      <sheetData sheetId="2924">
        <row r="1">
          <cell r="J1">
            <v>1.7453292519943295E-2</v>
          </cell>
        </row>
      </sheetData>
      <sheetData sheetId="2925">
        <row r="1">
          <cell r="J1">
            <v>1.7453292519943295E-2</v>
          </cell>
        </row>
      </sheetData>
      <sheetData sheetId="2926">
        <row r="1">
          <cell r="J1">
            <v>1.7453292519943295E-2</v>
          </cell>
        </row>
      </sheetData>
      <sheetData sheetId="2927">
        <row r="1">
          <cell r="J1">
            <v>1.7453292519943295E-2</v>
          </cell>
        </row>
      </sheetData>
      <sheetData sheetId="2928">
        <row r="1">
          <cell r="J1">
            <v>1.7453292519943295E-2</v>
          </cell>
        </row>
      </sheetData>
      <sheetData sheetId="2929">
        <row r="1">
          <cell r="J1">
            <v>1.7453292519943295E-2</v>
          </cell>
        </row>
      </sheetData>
      <sheetData sheetId="2930">
        <row r="1">
          <cell r="J1">
            <v>1.7453292519943295E-2</v>
          </cell>
        </row>
      </sheetData>
      <sheetData sheetId="2931">
        <row r="1">
          <cell r="J1">
            <v>1.7453292519943295E-2</v>
          </cell>
        </row>
      </sheetData>
      <sheetData sheetId="2932">
        <row r="1">
          <cell r="J1">
            <v>1.7453292519943295E-2</v>
          </cell>
        </row>
      </sheetData>
      <sheetData sheetId="2933">
        <row r="1">
          <cell r="J1">
            <v>1.7453292519943295E-2</v>
          </cell>
        </row>
      </sheetData>
      <sheetData sheetId="2934">
        <row r="1">
          <cell r="J1">
            <v>1.7453292519943295E-2</v>
          </cell>
        </row>
      </sheetData>
      <sheetData sheetId="2935">
        <row r="1">
          <cell r="J1">
            <v>1.7453292519943295E-2</v>
          </cell>
        </row>
      </sheetData>
      <sheetData sheetId="2936">
        <row r="1">
          <cell r="J1">
            <v>1.7453292519943295E-2</v>
          </cell>
        </row>
      </sheetData>
      <sheetData sheetId="2937">
        <row r="1">
          <cell r="J1">
            <v>1.7453292519943295E-2</v>
          </cell>
        </row>
      </sheetData>
      <sheetData sheetId="2938">
        <row r="1">
          <cell r="J1">
            <v>1.7453292519943295E-2</v>
          </cell>
        </row>
      </sheetData>
      <sheetData sheetId="2939">
        <row r="1">
          <cell r="J1">
            <v>1.7453292519943295E-2</v>
          </cell>
        </row>
      </sheetData>
      <sheetData sheetId="2940">
        <row r="1">
          <cell r="J1">
            <v>1.7453292519943295E-2</v>
          </cell>
        </row>
      </sheetData>
      <sheetData sheetId="2941">
        <row r="1">
          <cell r="J1">
            <v>1.7453292519943295E-2</v>
          </cell>
        </row>
      </sheetData>
      <sheetData sheetId="2942">
        <row r="1">
          <cell r="J1">
            <v>1.7453292519943295E-2</v>
          </cell>
        </row>
      </sheetData>
      <sheetData sheetId="2943">
        <row r="1">
          <cell r="J1">
            <v>1.7453292519943295E-2</v>
          </cell>
        </row>
      </sheetData>
      <sheetData sheetId="2944">
        <row r="1">
          <cell r="J1">
            <v>1.7453292519943295E-2</v>
          </cell>
        </row>
      </sheetData>
      <sheetData sheetId="2945">
        <row r="1">
          <cell r="J1">
            <v>1.7453292519943295E-2</v>
          </cell>
        </row>
      </sheetData>
      <sheetData sheetId="2946">
        <row r="1">
          <cell r="J1">
            <v>1.7453292519943295E-2</v>
          </cell>
        </row>
      </sheetData>
      <sheetData sheetId="2947">
        <row r="1">
          <cell r="J1">
            <v>1.7453292519943295E-2</v>
          </cell>
        </row>
      </sheetData>
      <sheetData sheetId="2948">
        <row r="1">
          <cell r="J1">
            <v>1.7453292519943295E-2</v>
          </cell>
        </row>
      </sheetData>
      <sheetData sheetId="2949">
        <row r="1">
          <cell r="J1">
            <v>1.7453292519943295E-2</v>
          </cell>
        </row>
      </sheetData>
      <sheetData sheetId="2950">
        <row r="1">
          <cell r="J1">
            <v>1.7453292519943295E-2</v>
          </cell>
        </row>
      </sheetData>
      <sheetData sheetId="2951">
        <row r="1">
          <cell r="J1">
            <v>1.7453292519943295E-2</v>
          </cell>
        </row>
      </sheetData>
      <sheetData sheetId="2952">
        <row r="1">
          <cell r="J1">
            <v>1.7453292519943295E-2</v>
          </cell>
        </row>
      </sheetData>
      <sheetData sheetId="2953">
        <row r="1">
          <cell r="J1">
            <v>1.7453292519943295E-2</v>
          </cell>
        </row>
      </sheetData>
      <sheetData sheetId="2954">
        <row r="1">
          <cell r="J1">
            <v>1.7453292519943295E-2</v>
          </cell>
        </row>
      </sheetData>
      <sheetData sheetId="2955">
        <row r="1">
          <cell r="J1">
            <v>1.7453292519943295E-2</v>
          </cell>
        </row>
      </sheetData>
      <sheetData sheetId="2956">
        <row r="1">
          <cell r="J1">
            <v>1.7453292519943295E-2</v>
          </cell>
        </row>
      </sheetData>
      <sheetData sheetId="2957">
        <row r="1">
          <cell r="J1">
            <v>1.7453292519943295E-2</v>
          </cell>
        </row>
      </sheetData>
      <sheetData sheetId="2958">
        <row r="1">
          <cell r="J1">
            <v>1.7453292519943295E-2</v>
          </cell>
        </row>
      </sheetData>
      <sheetData sheetId="2959">
        <row r="1">
          <cell r="J1">
            <v>1.7453292519943295E-2</v>
          </cell>
        </row>
      </sheetData>
      <sheetData sheetId="2960">
        <row r="1">
          <cell r="J1">
            <v>1.7453292519943295E-2</v>
          </cell>
        </row>
      </sheetData>
      <sheetData sheetId="2961">
        <row r="1">
          <cell r="J1">
            <v>1.7453292519943295E-2</v>
          </cell>
        </row>
      </sheetData>
      <sheetData sheetId="2962">
        <row r="1">
          <cell r="J1">
            <v>1.7453292519943295E-2</v>
          </cell>
        </row>
      </sheetData>
      <sheetData sheetId="2963">
        <row r="1">
          <cell r="J1">
            <v>1.7453292519943295E-2</v>
          </cell>
        </row>
      </sheetData>
      <sheetData sheetId="2964">
        <row r="1">
          <cell r="J1">
            <v>1.7453292519943295E-2</v>
          </cell>
        </row>
      </sheetData>
      <sheetData sheetId="2965">
        <row r="1">
          <cell r="J1">
            <v>1.7453292519943295E-2</v>
          </cell>
        </row>
      </sheetData>
      <sheetData sheetId="2966">
        <row r="1">
          <cell r="J1">
            <v>1.7453292519943295E-2</v>
          </cell>
        </row>
      </sheetData>
      <sheetData sheetId="2967">
        <row r="1">
          <cell r="J1">
            <v>1.7453292519943295E-2</v>
          </cell>
        </row>
      </sheetData>
      <sheetData sheetId="2968">
        <row r="1">
          <cell r="J1">
            <v>1.7453292519943295E-2</v>
          </cell>
        </row>
      </sheetData>
      <sheetData sheetId="2969">
        <row r="1">
          <cell r="J1">
            <v>1.7453292519943295E-2</v>
          </cell>
        </row>
      </sheetData>
      <sheetData sheetId="2970">
        <row r="1">
          <cell r="J1">
            <v>1.7453292519943295E-2</v>
          </cell>
        </row>
      </sheetData>
      <sheetData sheetId="2971">
        <row r="1">
          <cell r="J1">
            <v>1.7453292519943295E-2</v>
          </cell>
        </row>
      </sheetData>
      <sheetData sheetId="2972">
        <row r="1">
          <cell r="J1">
            <v>1.7453292519943295E-2</v>
          </cell>
        </row>
      </sheetData>
      <sheetData sheetId="2973">
        <row r="1">
          <cell r="J1">
            <v>1.7453292519943295E-2</v>
          </cell>
        </row>
      </sheetData>
      <sheetData sheetId="2974">
        <row r="1">
          <cell r="J1">
            <v>1.7453292519943295E-2</v>
          </cell>
        </row>
      </sheetData>
      <sheetData sheetId="2975">
        <row r="1">
          <cell r="J1">
            <v>1.7453292519943295E-2</v>
          </cell>
        </row>
      </sheetData>
      <sheetData sheetId="2976">
        <row r="1">
          <cell r="J1">
            <v>1.7453292519943295E-2</v>
          </cell>
        </row>
      </sheetData>
      <sheetData sheetId="2977">
        <row r="1">
          <cell r="J1">
            <v>1.7453292519943295E-2</v>
          </cell>
        </row>
      </sheetData>
      <sheetData sheetId="2978">
        <row r="1">
          <cell r="J1">
            <v>1.7453292519943295E-2</v>
          </cell>
        </row>
      </sheetData>
      <sheetData sheetId="2979">
        <row r="1">
          <cell r="J1">
            <v>1.7453292519943295E-2</v>
          </cell>
        </row>
      </sheetData>
      <sheetData sheetId="2980">
        <row r="1">
          <cell r="J1">
            <v>1.7453292519943295E-2</v>
          </cell>
        </row>
      </sheetData>
      <sheetData sheetId="2981">
        <row r="1">
          <cell r="J1">
            <v>1.7453292519943295E-2</v>
          </cell>
        </row>
      </sheetData>
      <sheetData sheetId="2982">
        <row r="1">
          <cell r="J1">
            <v>1.7453292519943295E-2</v>
          </cell>
        </row>
      </sheetData>
      <sheetData sheetId="2983">
        <row r="1">
          <cell r="J1">
            <v>1.7453292519943295E-2</v>
          </cell>
        </row>
      </sheetData>
      <sheetData sheetId="2984">
        <row r="1">
          <cell r="J1">
            <v>1.7453292519943295E-2</v>
          </cell>
        </row>
      </sheetData>
      <sheetData sheetId="2985">
        <row r="1">
          <cell r="J1">
            <v>1.7453292519943295E-2</v>
          </cell>
        </row>
      </sheetData>
      <sheetData sheetId="2986">
        <row r="1">
          <cell r="J1">
            <v>1.7453292519943295E-2</v>
          </cell>
        </row>
      </sheetData>
      <sheetData sheetId="2987">
        <row r="1">
          <cell r="J1">
            <v>1.7453292519943295E-2</v>
          </cell>
        </row>
      </sheetData>
      <sheetData sheetId="2988">
        <row r="1">
          <cell r="J1">
            <v>1.7453292519943295E-2</v>
          </cell>
        </row>
      </sheetData>
      <sheetData sheetId="2989">
        <row r="1">
          <cell r="J1">
            <v>1.7453292519943295E-2</v>
          </cell>
        </row>
      </sheetData>
      <sheetData sheetId="2990">
        <row r="1">
          <cell r="J1">
            <v>1.7453292519943295E-2</v>
          </cell>
        </row>
      </sheetData>
      <sheetData sheetId="2991">
        <row r="1">
          <cell r="J1">
            <v>1.7453292519943295E-2</v>
          </cell>
        </row>
      </sheetData>
      <sheetData sheetId="2992">
        <row r="1">
          <cell r="J1">
            <v>1.7453292519943295E-2</v>
          </cell>
        </row>
      </sheetData>
      <sheetData sheetId="2993">
        <row r="1">
          <cell r="J1">
            <v>1.7453292519943295E-2</v>
          </cell>
        </row>
      </sheetData>
      <sheetData sheetId="2994">
        <row r="1">
          <cell r="J1">
            <v>1.7453292519943295E-2</v>
          </cell>
        </row>
      </sheetData>
      <sheetData sheetId="2995">
        <row r="1">
          <cell r="J1">
            <v>1.7453292519943295E-2</v>
          </cell>
        </row>
      </sheetData>
      <sheetData sheetId="2996">
        <row r="1">
          <cell r="J1">
            <v>1.7453292519943295E-2</v>
          </cell>
        </row>
      </sheetData>
      <sheetData sheetId="2997">
        <row r="1">
          <cell r="J1">
            <v>1.7453292519943295E-2</v>
          </cell>
        </row>
      </sheetData>
      <sheetData sheetId="2998">
        <row r="1">
          <cell r="J1">
            <v>1.7453292519943295E-2</v>
          </cell>
        </row>
      </sheetData>
      <sheetData sheetId="2999">
        <row r="1">
          <cell r="J1">
            <v>1.7453292519943295E-2</v>
          </cell>
        </row>
      </sheetData>
      <sheetData sheetId="3000">
        <row r="1">
          <cell r="J1">
            <v>1.7453292519943295E-2</v>
          </cell>
        </row>
      </sheetData>
      <sheetData sheetId="3001">
        <row r="1">
          <cell r="J1">
            <v>1.7453292519943295E-2</v>
          </cell>
        </row>
      </sheetData>
      <sheetData sheetId="3002">
        <row r="1">
          <cell r="J1">
            <v>1.7453292519943295E-2</v>
          </cell>
        </row>
      </sheetData>
      <sheetData sheetId="3003">
        <row r="1">
          <cell r="J1">
            <v>1.7453292519943295E-2</v>
          </cell>
        </row>
      </sheetData>
      <sheetData sheetId="3004">
        <row r="1">
          <cell r="J1">
            <v>1.7453292519943295E-2</v>
          </cell>
        </row>
      </sheetData>
      <sheetData sheetId="3005">
        <row r="1">
          <cell r="J1">
            <v>1.7453292519943295E-2</v>
          </cell>
        </row>
      </sheetData>
      <sheetData sheetId="3006">
        <row r="1">
          <cell r="J1">
            <v>1.7453292519943295E-2</v>
          </cell>
        </row>
      </sheetData>
      <sheetData sheetId="3007">
        <row r="1">
          <cell r="J1">
            <v>1.7453292519943295E-2</v>
          </cell>
        </row>
      </sheetData>
      <sheetData sheetId="3008">
        <row r="1">
          <cell r="J1">
            <v>1.7453292519943295E-2</v>
          </cell>
        </row>
      </sheetData>
      <sheetData sheetId="3009">
        <row r="1">
          <cell r="J1">
            <v>1.7453292519943295E-2</v>
          </cell>
        </row>
      </sheetData>
      <sheetData sheetId="3010">
        <row r="1">
          <cell r="J1">
            <v>1.7453292519943295E-2</v>
          </cell>
        </row>
      </sheetData>
      <sheetData sheetId="3011">
        <row r="1">
          <cell r="J1">
            <v>1.7453292519943295E-2</v>
          </cell>
        </row>
      </sheetData>
      <sheetData sheetId="3012">
        <row r="1">
          <cell r="J1">
            <v>1.7453292519943295E-2</v>
          </cell>
        </row>
      </sheetData>
      <sheetData sheetId="3013">
        <row r="1">
          <cell r="J1">
            <v>1.7453292519943295E-2</v>
          </cell>
        </row>
      </sheetData>
      <sheetData sheetId="3014">
        <row r="1">
          <cell r="J1">
            <v>1.7453292519943295E-2</v>
          </cell>
        </row>
      </sheetData>
      <sheetData sheetId="3015">
        <row r="1">
          <cell r="J1">
            <v>1.7453292519943295E-2</v>
          </cell>
        </row>
      </sheetData>
      <sheetData sheetId="3016">
        <row r="1">
          <cell r="J1">
            <v>1.7453292519943295E-2</v>
          </cell>
        </row>
      </sheetData>
      <sheetData sheetId="3017">
        <row r="1">
          <cell r="J1">
            <v>1.7453292519943295E-2</v>
          </cell>
        </row>
      </sheetData>
      <sheetData sheetId="3018">
        <row r="1">
          <cell r="J1">
            <v>1.7453292519943295E-2</v>
          </cell>
        </row>
      </sheetData>
      <sheetData sheetId="3019">
        <row r="1">
          <cell r="J1">
            <v>1.7453292519943295E-2</v>
          </cell>
        </row>
      </sheetData>
      <sheetData sheetId="3020">
        <row r="1">
          <cell r="J1">
            <v>1.7453292519943295E-2</v>
          </cell>
        </row>
      </sheetData>
      <sheetData sheetId="3021">
        <row r="1">
          <cell r="J1">
            <v>1.7453292519943295E-2</v>
          </cell>
        </row>
      </sheetData>
      <sheetData sheetId="3022">
        <row r="1">
          <cell r="J1">
            <v>1.7453292519943295E-2</v>
          </cell>
        </row>
      </sheetData>
      <sheetData sheetId="3023">
        <row r="1">
          <cell r="J1">
            <v>1.7453292519943295E-2</v>
          </cell>
        </row>
      </sheetData>
      <sheetData sheetId="3024">
        <row r="1">
          <cell r="J1">
            <v>1.7453292519943295E-2</v>
          </cell>
        </row>
      </sheetData>
      <sheetData sheetId="3025">
        <row r="1">
          <cell r="J1">
            <v>1.7453292519943295E-2</v>
          </cell>
        </row>
      </sheetData>
      <sheetData sheetId="3026">
        <row r="1">
          <cell r="J1">
            <v>1.7453292519943295E-2</v>
          </cell>
        </row>
      </sheetData>
      <sheetData sheetId="3027">
        <row r="1">
          <cell r="J1">
            <v>1.7453292519943295E-2</v>
          </cell>
        </row>
      </sheetData>
      <sheetData sheetId="3028">
        <row r="1">
          <cell r="J1">
            <v>1.7453292519943295E-2</v>
          </cell>
        </row>
      </sheetData>
      <sheetData sheetId="3029">
        <row r="1">
          <cell r="J1">
            <v>1.7453292519943295E-2</v>
          </cell>
        </row>
      </sheetData>
      <sheetData sheetId="3030">
        <row r="1">
          <cell r="J1">
            <v>1.7453292519943295E-2</v>
          </cell>
        </row>
      </sheetData>
      <sheetData sheetId="3031">
        <row r="1">
          <cell r="J1">
            <v>1.7453292519943295E-2</v>
          </cell>
        </row>
      </sheetData>
      <sheetData sheetId="3032">
        <row r="1">
          <cell r="J1">
            <v>1.7453292519943295E-2</v>
          </cell>
        </row>
      </sheetData>
      <sheetData sheetId="3033">
        <row r="1">
          <cell r="J1">
            <v>1.7453292519943295E-2</v>
          </cell>
        </row>
      </sheetData>
      <sheetData sheetId="3034">
        <row r="1">
          <cell r="J1">
            <v>1.7453292519943295E-2</v>
          </cell>
        </row>
      </sheetData>
      <sheetData sheetId="3035">
        <row r="1">
          <cell r="J1">
            <v>1.7453292519943295E-2</v>
          </cell>
        </row>
      </sheetData>
      <sheetData sheetId="3036">
        <row r="1">
          <cell r="J1">
            <v>1.7453292519943295E-2</v>
          </cell>
        </row>
      </sheetData>
      <sheetData sheetId="3037">
        <row r="1">
          <cell r="J1">
            <v>1.7453292519943295E-2</v>
          </cell>
        </row>
      </sheetData>
      <sheetData sheetId="3038">
        <row r="1">
          <cell r="J1">
            <v>1.7453292519943295E-2</v>
          </cell>
        </row>
      </sheetData>
      <sheetData sheetId="3039">
        <row r="1">
          <cell r="J1">
            <v>1.7453292519943295E-2</v>
          </cell>
        </row>
      </sheetData>
      <sheetData sheetId="3040">
        <row r="1">
          <cell r="J1">
            <v>1.7453292519943295E-2</v>
          </cell>
        </row>
      </sheetData>
      <sheetData sheetId="3041">
        <row r="1">
          <cell r="J1">
            <v>1.7453292519943295E-2</v>
          </cell>
        </row>
      </sheetData>
      <sheetData sheetId="3042">
        <row r="1">
          <cell r="J1">
            <v>1.7453292519943295E-2</v>
          </cell>
        </row>
      </sheetData>
      <sheetData sheetId="3043">
        <row r="1">
          <cell r="J1">
            <v>1.7453292519943295E-2</v>
          </cell>
        </row>
      </sheetData>
      <sheetData sheetId="3044">
        <row r="1">
          <cell r="J1">
            <v>1.7453292519943295E-2</v>
          </cell>
        </row>
      </sheetData>
      <sheetData sheetId="3045">
        <row r="1">
          <cell r="J1">
            <v>1.7453292519943295E-2</v>
          </cell>
        </row>
      </sheetData>
      <sheetData sheetId="3046">
        <row r="1">
          <cell r="J1">
            <v>1.7453292519943295E-2</v>
          </cell>
        </row>
      </sheetData>
      <sheetData sheetId="3047">
        <row r="1">
          <cell r="J1">
            <v>1.7453292519943295E-2</v>
          </cell>
        </row>
      </sheetData>
      <sheetData sheetId="3048">
        <row r="1">
          <cell r="J1">
            <v>1.7453292519943295E-2</v>
          </cell>
        </row>
      </sheetData>
      <sheetData sheetId="3049">
        <row r="1">
          <cell r="J1">
            <v>1.7453292519943295E-2</v>
          </cell>
        </row>
      </sheetData>
      <sheetData sheetId="3050">
        <row r="1">
          <cell r="J1">
            <v>1.7453292519943295E-2</v>
          </cell>
        </row>
      </sheetData>
      <sheetData sheetId="3051">
        <row r="1">
          <cell r="J1">
            <v>1.7453292519943295E-2</v>
          </cell>
        </row>
      </sheetData>
      <sheetData sheetId="3052">
        <row r="1">
          <cell r="J1">
            <v>1.7453292519943295E-2</v>
          </cell>
        </row>
      </sheetData>
      <sheetData sheetId="3053">
        <row r="1">
          <cell r="J1">
            <v>1.7453292519943295E-2</v>
          </cell>
        </row>
      </sheetData>
      <sheetData sheetId="3054">
        <row r="1">
          <cell r="J1">
            <v>1.7453292519943295E-2</v>
          </cell>
        </row>
      </sheetData>
      <sheetData sheetId="3055">
        <row r="1">
          <cell r="J1">
            <v>1.7453292519943295E-2</v>
          </cell>
        </row>
      </sheetData>
      <sheetData sheetId="3056">
        <row r="1">
          <cell r="J1">
            <v>1.7453292519943295E-2</v>
          </cell>
        </row>
      </sheetData>
      <sheetData sheetId="3057">
        <row r="1">
          <cell r="J1">
            <v>1.7453292519943295E-2</v>
          </cell>
        </row>
      </sheetData>
      <sheetData sheetId="3058">
        <row r="1">
          <cell r="J1">
            <v>1.7453292519943295E-2</v>
          </cell>
        </row>
      </sheetData>
      <sheetData sheetId="3059">
        <row r="1">
          <cell r="J1">
            <v>1.7453292519943295E-2</v>
          </cell>
        </row>
      </sheetData>
      <sheetData sheetId="3060">
        <row r="1">
          <cell r="J1">
            <v>1.7453292519943295E-2</v>
          </cell>
        </row>
      </sheetData>
      <sheetData sheetId="3061">
        <row r="1">
          <cell r="J1">
            <v>1.7453292519943295E-2</v>
          </cell>
        </row>
      </sheetData>
      <sheetData sheetId="3062">
        <row r="1">
          <cell r="J1">
            <v>1.7453292519943295E-2</v>
          </cell>
        </row>
      </sheetData>
      <sheetData sheetId="3063">
        <row r="1">
          <cell r="J1">
            <v>1.7453292519943295E-2</v>
          </cell>
        </row>
      </sheetData>
      <sheetData sheetId="3064">
        <row r="1">
          <cell r="J1">
            <v>1.7453292519943295E-2</v>
          </cell>
        </row>
      </sheetData>
      <sheetData sheetId="3065">
        <row r="1">
          <cell r="J1">
            <v>1.7453292519943295E-2</v>
          </cell>
        </row>
      </sheetData>
      <sheetData sheetId="3066">
        <row r="1">
          <cell r="J1">
            <v>1.7453292519943295E-2</v>
          </cell>
        </row>
      </sheetData>
      <sheetData sheetId="3067">
        <row r="1">
          <cell r="J1">
            <v>1.7453292519943295E-2</v>
          </cell>
        </row>
      </sheetData>
      <sheetData sheetId="3068">
        <row r="1">
          <cell r="J1">
            <v>1.7453292519943295E-2</v>
          </cell>
        </row>
      </sheetData>
      <sheetData sheetId="3069">
        <row r="1">
          <cell r="J1">
            <v>1.7453292519943295E-2</v>
          </cell>
        </row>
      </sheetData>
      <sheetData sheetId="3070">
        <row r="1">
          <cell r="J1">
            <v>1.7453292519943295E-2</v>
          </cell>
        </row>
      </sheetData>
      <sheetData sheetId="3071">
        <row r="1">
          <cell r="J1">
            <v>1.7453292519943295E-2</v>
          </cell>
        </row>
      </sheetData>
      <sheetData sheetId="3072">
        <row r="1">
          <cell r="J1">
            <v>1.7453292519943295E-2</v>
          </cell>
        </row>
      </sheetData>
      <sheetData sheetId="3073">
        <row r="1">
          <cell r="J1">
            <v>1.7453292519943295E-2</v>
          </cell>
        </row>
      </sheetData>
      <sheetData sheetId="3074">
        <row r="1">
          <cell r="J1">
            <v>1.7453292519943295E-2</v>
          </cell>
        </row>
      </sheetData>
      <sheetData sheetId="3075">
        <row r="1">
          <cell r="J1">
            <v>1.7453292519943295E-2</v>
          </cell>
        </row>
      </sheetData>
      <sheetData sheetId="3076">
        <row r="1">
          <cell r="J1">
            <v>1.7453292519943295E-2</v>
          </cell>
        </row>
      </sheetData>
      <sheetData sheetId="3077">
        <row r="1">
          <cell r="J1">
            <v>1.7453292519943295E-2</v>
          </cell>
        </row>
      </sheetData>
      <sheetData sheetId="3078">
        <row r="1">
          <cell r="J1">
            <v>1.7453292519943295E-2</v>
          </cell>
        </row>
      </sheetData>
      <sheetData sheetId="3079">
        <row r="1">
          <cell r="J1">
            <v>1.7453292519943295E-2</v>
          </cell>
        </row>
      </sheetData>
      <sheetData sheetId="3080">
        <row r="1">
          <cell r="J1">
            <v>1.7453292519943295E-2</v>
          </cell>
        </row>
      </sheetData>
      <sheetData sheetId="3081">
        <row r="1">
          <cell r="J1">
            <v>1.7453292519943295E-2</v>
          </cell>
        </row>
      </sheetData>
      <sheetData sheetId="3082">
        <row r="1">
          <cell r="J1">
            <v>1.7453292519943295E-2</v>
          </cell>
        </row>
      </sheetData>
      <sheetData sheetId="3083">
        <row r="1">
          <cell r="J1">
            <v>1.7453292519943295E-2</v>
          </cell>
        </row>
      </sheetData>
      <sheetData sheetId="3084">
        <row r="1">
          <cell r="J1">
            <v>1.7453292519943295E-2</v>
          </cell>
        </row>
      </sheetData>
      <sheetData sheetId="3085">
        <row r="1">
          <cell r="J1">
            <v>1.7453292519943295E-2</v>
          </cell>
        </row>
      </sheetData>
      <sheetData sheetId="3086">
        <row r="1">
          <cell r="J1">
            <v>1.7453292519943295E-2</v>
          </cell>
        </row>
      </sheetData>
      <sheetData sheetId="3087">
        <row r="1">
          <cell r="J1">
            <v>1.7453292519943295E-2</v>
          </cell>
        </row>
      </sheetData>
      <sheetData sheetId="3088">
        <row r="1">
          <cell r="J1">
            <v>1.7453292519943295E-2</v>
          </cell>
        </row>
      </sheetData>
      <sheetData sheetId="3089">
        <row r="1">
          <cell r="J1">
            <v>1.7453292519943295E-2</v>
          </cell>
        </row>
      </sheetData>
      <sheetData sheetId="3090">
        <row r="1">
          <cell r="J1">
            <v>1.7453292519943295E-2</v>
          </cell>
        </row>
      </sheetData>
      <sheetData sheetId="3091">
        <row r="1">
          <cell r="J1">
            <v>1.7453292519943295E-2</v>
          </cell>
        </row>
      </sheetData>
      <sheetData sheetId="3092">
        <row r="1">
          <cell r="J1">
            <v>1.7453292519943295E-2</v>
          </cell>
        </row>
      </sheetData>
      <sheetData sheetId="3093">
        <row r="1">
          <cell r="J1">
            <v>1.7453292519943295E-2</v>
          </cell>
        </row>
      </sheetData>
      <sheetData sheetId="3094">
        <row r="1">
          <cell r="J1">
            <v>1.7453292519943295E-2</v>
          </cell>
        </row>
      </sheetData>
      <sheetData sheetId="3095">
        <row r="1">
          <cell r="J1">
            <v>1.7453292519943295E-2</v>
          </cell>
        </row>
      </sheetData>
      <sheetData sheetId="3096">
        <row r="1">
          <cell r="J1">
            <v>1.7453292519943295E-2</v>
          </cell>
        </row>
      </sheetData>
      <sheetData sheetId="3097">
        <row r="1">
          <cell r="J1">
            <v>1.7453292519943295E-2</v>
          </cell>
        </row>
      </sheetData>
      <sheetData sheetId="3098">
        <row r="1">
          <cell r="J1">
            <v>1.7453292519943295E-2</v>
          </cell>
        </row>
      </sheetData>
      <sheetData sheetId="3099">
        <row r="1">
          <cell r="J1">
            <v>1.7453292519943295E-2</v>
          </cell>
        </row>
      </sheetData>
      <sheetData sheetId="3100">
        <row r="1">
          <cell r="J1">
            <v>1.7453292519943295E-2</v>
          </cell>
        </row>
      </sheetData>
      <sheetData sheetId="3101">
        <row r="1">
          <cell r="J1">
            <v>1.7453292519943295E-2</v>
          </cell>
        </row>
      </sheetData>
      <sheetData sheetId="3102">
        <row r="1">
          <cell r="J1">
            <v>1.7453292519943295E-2</v>
          </cell>
        </row>
      </sheetData>
      <sheetData sheetId="3103">
        <row r="1">
          <cell r="J1">
            <v>1.7453292519943295E-2</v>
          </cell>
        </row>
      </sheetData>
      <sheetData sheetId="3104">
        <row r="1">
          <cell r="J1">
            <v>1.7453292519943295E-2</v>
          </cell>
        </row>
      </sheetData>
      <sheetData sheetId="3105">
        <row r="1">
          <cell r="J1">
            <v>1.7453292519943295E-2</v>
          </cell>
        </row>
      </sheetData>
      <sheetData sheetId="3106">
        <row r="1">
          <cell r="J1">
            <v>1.7453292519943295E-2</v>
          </cell>
        </row>
      </sheetData>
      <sheetData sheetId="3107">
        <row r="1">
          <cell r="J1">
            <v>1.7453292519943295E-2</v>
          </cell>
        </row>
      </sheetData>
      <sheetData sheetId="3108">
        <row r="1">
          <cell r="J1">
            <v>1.7453292519943295E-2</v>
          </cell>
        </row>
      </sheetData>
      <sheetData sheetId="3109">
        <row r="1">
          <cell r="J1">
            <v>1.7453292519943295E-2</v>
          </cell>
        </row>
      </sheetData>
      <sheetData sheetId="3110">
        <row r="1">
          <cell r="J1">
            <v>1.7453292519943295E-2</v>
          </cell>
        </row>
      </sheetData>
      <sheetData sheetId="3111">
        <row r="1">
          <cell r="J1">
            <v>1.7453292519943295E-2</v>
          </cell>
        </row>
      </sheetData>
      <sheetData sheetId="3112">
        <row r="1">
          <cell r="J1">
            <v>1.7453292519943295E-2</v>
          </cell>
        </row>
      </sheetData>
      <sheetData sheetId="3113">
        <row r="1">
          <cell r="J1">
            <v>1.7453292519943295E-2</v>
          </cell>
        </row>
      </sheetData>
      <sheetData sheetId="3114">
        <row r="1">
          <cell r="J1">
            <v>1.7453292519943295E-2</v>
          </cell>
        </row>
      </sheetData>
      <sheetData sheetId="3115">
        <row r="1">
          <cell r="J1">
            <v>1.7453292519943295E-2</v>
          </cell>
        </row>
      </sheetData>
      <sheetData sheetId="3116">
        <row r="1">
          <cell r="J1">
            <v>1.7453292519943295E-2</v>
          </cell>
        </row>
      </sheetData>
      <sheetData sheetId="3117">
        <row r="1">
          <cell r="J1">
            <v>1.7453292519943295E-2</v>
          </cell>
        </row>
      </sheetData>
      <sheetData sheetId="3118">
        <row r="1">
          <cell r="J1">
            <v>1.7453292519943295E-2</v>
          </cell>
        </row>
      </sheetData>
      <sheetData sheetId="3119">
        <row r="1">
          <cell r="J1">
            <v>1.7453292519943295E-2</v>
          </cell>
        </row>
      </sheetData>
      <sheetData sheetId="3120">
        <row r="1">
          <cell r="J1">
            <v>1.7453292519943295E-2</v>
          </cell>
        </row>
      </sheetData>
      <sheetData sheetId="3121">
        <row r="1">
          <cell r="J1">
            <v>1.7453292519943295E-2</v>
          </cell>
        </row>
      </sheetData>
      <sheetData sheetId="3122">
        <row r="1">
          <cell r="J1">
            <v>1.7453292519943295E-2</v>
          </cell>
        </row>
      </sheetData>
      <sheetData sheetId="3123">
        <row r="1">
          <cell r="J1">
            <v>1.7453292519943295E-2</v>
          </cell>
        </row>
      </sheetData>
      <sheetData sheetId="3124">
        <row r="1">
          <cell r="J1">
            <v>1.7453292519943295E-2</v>
          </cell>
        </row>
      </sheetData>
      <sheetData sheetId="3125">
        <row r="1">
          <cell r="J1">
            <v>1.7453292519943295E-2</v>
          </cell>
        </row>
      </sheetData>
      <sheetData sheetId="3126">
        <row r="1">
          <cell r="J1">
            <v>1.7453292519943295E-2</v>
          </cell>
        </row>
      </sheetData>
      <sheetData sheetId="3127">
        <row r="1">
          <cell r="J1">
            <v>1.7453292519943295E-2</v>
          </cell>
        </row>
      </sheetData>
      <sheetData sheetId="3128">
        <row r="1">
          <cell r="J1">
            <v>1.7453292519943295E-2</v>
          </cell>
        </row>
      </sheetData>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ow r="1">
          <cell r="J1">
            <v>1.7453292519943295E-2</v>
          </cell>
        </row>
      </sheetData>
      <sheetData sheetId="3138">
        <row r="1">
          <cell r="J1">
            <v>1.7453292519943295E-2</v>
          </cell>
        </row>
      </sheetData>
      <sheetData sheetId="3139">
        <row r="1">
          <cell r="J1">
            <v>1.7453292519943295E-2</v>
          </cell>
        </row>
      </sheetData>
      <sheetData sheetId="3140">
        <row r="1">
          <cell r="J1">
            <v>1.7453292519943295E-2</v>
          </cell>
        </row>
      </sheetData>
      <sheetData sheetId="3141">
        <row r="1">
          <cell r="J1">
            <v>1.7453292519943295E-2</v>
          </cell>
        </row>
      </sheetData>
      <sheetData sheetId="3142">
        <row r="1">
          <cell r="J1">
            <v>1.7453292519943295E-2</v>
          </cell>
        </row>
      </sheetData>
      <sheetData sheetId="3143">
        <row r="1">
          <cell r="J1">
            <v>1.7453292519943295E-2</v>
          </cell>
        </row>
      </sheetData>
      <sheetData sheetId="3144">
        <row r="1">
          <cell r="J1">
            <v>1.7453292519943295E-2</v>
          </cell>
        </row>
      </sheetData>
      <sheetData sheetId="3145">
        <row r="1">
          <cell r="J1">
            <v>1.7453292519943295E-2</v>
          </cell>
        </row>
      </sheetData>
      <sheetData sheetId="3146">
        <row r="1">
          <cell r="J1">
            <v>1.7453292519943295E-2</v>
          </cell>
        </row>
      </sheetData>
      <sheetData sheetId="3147">
        <row r="1">
          <cell r="J1">
            <v>1.7453292519943295E-2</v>
          </cell>
        </row>
      </sheetData>
      <sheetData sheetId="3148">
        <row r="1">
          <cell r="J1">
            <v>1.7453292519943295E-2</v>
          </cell>
        </row>
      </sheetData>
      <sheetData sheetId="3149">
        <row r="1">
          <cell r="J1">
            <v>1.7453292519943295E-2</v>
          </cell>
        </row>
      </sheetData>
      <sheetData sheetId="3150">
        <row r="1">
          <cell r="J1">
            <v>1.7453292519943295E-2</v>
          </cell>
        </row>
      </sheetData>
      <sheetData sheetId="3151">
        <row r="1">
          <cell r="J1">
            <v>1.7453292519943295E-2</v>
          </cell>
        </row>
      </sheetData>
      <sheetData sheetId="3152">
        <row r="1">
          <cell r="J1">
            <v>1.7453292519943295E-2</v>
          </cell>
        </row>
      </sheetData>
      <sheetData sheetId="3153">
        <row r="1">
          <cell r="J1">
            <v>1.7453292519943295E-2</v>
          </cell>
        </row>
      </sheetData>
      <sheetData sheetId="3154">
        <row r="1">
          <cell r="J1">
            <v>1.7453292519943295E-2</v>
          </cell>
        </row>
      </sheetData>
      <sheetData sheetId="3155">
        <row r="1">
          <cell r="J1">
            <v>1.7453292519943295E-2</v>
          </cell>
        </row>
      </sheetData>
      <sheetData sheetId="3156">
        <row r="1">
          <cell r="J1">
            <v>1.7453292519943295E-2</v>
          </cell>
        </row>
      </sheetData>
      <sheetData sheetId="3157">
        <row r="1">
          <cell r="J1">
            <v>1.7453292519943295E-2</v>
          </cell>
        </row>
      </sheetData>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ow r="1">
          <cell r="J1">
            <v>1.7453292519943295E-2</v>
          </cell>
        </row>
      </sheetData>
      <sheetData sheetId="3163">
        <row r="1">
          <cell r="J1">
            <v>1.7453292519943295E-2</v>
          </cell>
        </row>
      </sheetData>
      <sheetData sheetId="3164">
        <row r="1">
          <cell r="J1">
            <v>1.7453292519943295E-2</v>
          </cell>
        </row>
      </sheetData>
      <sheetData sheetId="3165">
        <row r="1">
          <cell r="J1">
            <v>1.7453292519943295E-2</v>
          </cell>
        </row>
      </sheetData>
      <sheetData sheetId="3166">
        <row r="1">
          <cell r="J1">
            <v>1.7453292519943295E-2</v>
          </cell>
        </row>
      </sheetData>
      <sheetData sheetId="3167">
        <row r="1">
          <cell r="J1">
            <v>1.7453292519943295E-2</v>
          </cell>
        </row>
      </sheetData>
      <sheetData sheetId="3168">
        <row r="1">
          <cell r="J1">
            <v>1.7453292519943295E-2</v>
          </cell>
        </row>
      </sheetData>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1">
          <cell r="J1">
            <v>1.7453292519943295E-2</v>
          </cell>
        </row>
      </sheetData>
      <sheetData sheetId="3348">
        <row r="1">
          <cell r="J1">
            <v>1.7453292519943295E-2</v>
          </cell>
        </row>
      </sheetData>
      <sheetData sheetId="3349">
        <row r="1">
          <cell r="J1">
            <v>1.7453292519943295E-2</v>
          </cell>
        </row>
      </sheetData>
      <sheetData sheetId="3350">
        <row r="1">
          <cell r="J1">
            <v>1.7453292519943295E-2</v>
          </cell>
        </row>
      </sheetData>
      <sheetData sheetId="3351">
        <row r="1">
          <cell r="J1">
            <v>1.7453292519943295E-2</v>
          </cell>
        </row>
      </sheetData>
      <sheetData sheetId="3352">
        <row r="1">
          <cell r="J1">
            <v>1.7453292519943295E-2</v>
          </cell>
        </row>
      </sheetData>
      <sheetData sheetId="3353">
        <row r="1">
          <cell r="J1">
            <v>1.7453292519943295E-2</v>
          </cell>
        </row>
      </sheetData>
      <sheetData sheetId="3354">
        <row r="1">
          <cell r="J1">
            <v>1.7453292519943295E-2</v>
          </cell>
        </row>
      </sheetData>
      <sheetData sheetId="3355">
        <row r="1">
          <cell r="J1">
            <v>1.7453292519943295E-2</v>
          </cell>
        </row>
      </sheetData>
      <sheetData sheetId="3356">
        <row r="1">
          <cell r="J1">
            <v>1.7453292519943295E-2</v>
          </cell>
        </row>
      </sheetData>
      <sheetData sheetId="3357">
        <row r="1">
          <cell r="J1">
            <v>1.7453292519943295E-2</v>
          </cell>
        </row>
      </sheetData>
      <sheetData sheetId="3358">
        <row r="1">
          <cell r="J1">
            <v>1.7453292519943295E-2</v>
          </cell>
        </row>
      </sheetData>
      <sheetData sheetId="3359">
        <row r="1">
          <cell r="J1">
            <v>1.7453292519943295E-2</v>
          </cell>
        </row>
      </sheetData>
      <sheetData sheetId="3360">
        <row r="1">
          <cell r="J1">
            <v>1.7453292519943295E-2</v>
          </cell>
        </row>
      </sheetData>
      <sheetData sheetId="3361">
        <row r="1">
          <cell r="J1">
            <v>1.7453292519943295E-2</v>
          </cell>
        </row>
      </sheetData>
      <sheetData sheetId="3362">
        <row r="1">
          <cell r="J1">
            <v>1.7453292519943295E-2</v>
          </cell>
        </row>
      </sheetData>
      <sheetData sheetId="3363">
        <row r="1">
          <cell r="J1">
            <v>1.7453292519943295E-2</v>
          </cell>
        </row>
      </sheetData>
      <sheetData sheetId="3364">
        <row r="1">
          <cell r="J1">
            <v>1.7453292519943295E-2</v>
          </cell>
        </row>
      </sheetData>
      <sheetData sheetId="3365">
        <row r="1">
          <cell r="J1">
            <v>1.7453292519943295E-2</v>
          </cell>
        </row>
      </sheetData>
      <sheetData sheetId="3366">
        <row r="1">
          <cell r="J1">
            <v>1.7453292519943295E-2</v>
          </cell>
        </row>
      </sheetData>
      <sheetData sheetId="3367">
        <row r="1">
          <cell r="J1">
            <v>1.7453292519943295E-2</v>
          </cell>
        </row>
      </sheetData>
      <sheetData sheetId="3368">
        <row r="1">
          <cell r="J1">
            <v>1.7453292519943295E-2</v>
          </cell>
        </row>
      </sheetData>
      <sheetData sheetId="3369">
        <row r="1">
          <cell r="J1">
            <v>1.7453292519943295E-2</v>
          </cell>
        </row>
      </sheetData>
      <sheetData sheetId="3370">
        <row r="1">
          <cell r="J1">
            <v>1.7453292519943295E-2</v>
          </cell>
        </row>
      </sheetData>
      <sheetData sheetId="3371">
        <row r="1">
          <cell r="J1">
            <v>1.7453292519943295E-2</v>
          </cell>
        </row>
      </sheetData>
      <sheetData sheetId="3372">
        <row r="1">
          <cell r="J1">
            <v>1.7453292519943295E-2</v>
          </cell>
        </row>
      </sheetData>
      <sheetData sheetId="3373">
        <row r="1">
          <cell r="J1">
            <v>1.7453292519943295E-2</v>
          </cell>
        </row>
      </sheetData>
      <sheetData sheetId="3374">
        <row r="1">
          <cell r="J1">
            <v>1.7453292519943295E-2</v>
          </cell>
        </row>
      </sheetData>
      <sheetData sheetId="3375">
        <row r="1">
          <cell r="J1">
            <v>1.7453292519943295E-2</v>
          </cell>
        </row>
      </sheetData>
      <sheetData sheetId="3376">
        <row r="1">
          <cell r="J1">
            <v>1.7453292519943295E-2</v>
          </cell>
        </row>
      </sheetData>
      <sheetData sheetId="3377">
        <row r="1">
          <cell r="J1">
            <v>1.7453292519943295E-2</v>
          </cell>
        </row>
      </sheetData>
      <sheetData sheetId="3378">
        <row r="1">
          <cell r="J1">
            <v>1.7453292519943295E-2</v>
          </cell>
        </row>
      </sheetData>
      <sheetData sheetId="3379">
        <row r="1">
          <cell r="J1">
            <v>1.7453292519943295E-2</v>
          </cell>
        </row>
      </sheetData>
      <sheetData sheetId="3380">
        <row r="1">
          <cell r="J1">
            <v>1.7453292519943295E-2</v>
          </cell>
        </row>
      </sheetData>
      <sheetData sheetId="3381">
        <row r="1">
          <cell r="J1">
            <v>1.7453292519943295E-2</v>
          </cell>
        </row>
      </sheetData>
      <sheetData sheetId="3382">
        <row r="1">
          <cell r="J1">
            <v>1.7453292519943295E-2</v>
          </cell>
        </row>
      </sheetData>
      <sheetData sheetId="3383">
        <row r="1">
          <cell r="J1">
            <v>1.7453292519943295E-2</v>
          </cell>
        </row>
      </sheetData>
      <sheetData sheetId="3384">
        <row r="1">
          <cell r="J1">
            <v>1.7453292519943295E-2</v>
          </cell>
        </row>
      </sheetData>
      <sheetData sheetId="3385">
        <row r="1">
          <cell r="J1">
            <v>1.7453292519943295E-2</v>
          </cell>
        </row>
      </sheetData>
      <sheetData sheetId="3386">
        <row r="1">
          <cell r="J1">
            <v>1.7453292519943295E-2</v>
          </cell>
        </row>
      </sheetData>
      <sheetData sheetId="3387">
        <row r="1">
          <cell r="J1">
            <v>1.7453292519943295E-2</v>
          </cell>
        </row>
      </sheetData>
      <sheetData sheetId="3388">
        <row r="1">
          <cell r="J1">
            <v>1.7453292519943295E-2</v>
          </cell>
        </row>
      </sheetData>
      <sheetData sheetId="3389">
        <row r="1">
          <cell r="J1">
            <v>1.7453292519943295E-2</v>
          </cell>
        </row>
      </sheetData>
      <sheetData sheetId="3390">
        <row r="1">
          <cell r="J1">
            <v>1.7453292519943295E-2</v>
          </cell>
        </row>
      </sheetData>
      <sheetData sheetId="3391">
        <row r="1">
          <cell r="J1">
            <v>1.7453292519943295E-2</v>
          </cell>
        </row>
      </sheetData>
      <sheetData sheetId="3392">
        <row r="1">
          <cell r="J1">
            <v>1.7453292519943295E-2</v>
          </cell>
        </row>
      </sheetData>
      <sheetData sheetId="3393">
        <row r="1">
          <cell r="J1">
            <v>1.7453292519943295E-2</v>
          </cell>
        </row>
      </sheetData>
      <sheetData sheetId="3394">
        <row r="1">
          <cell r="J1">
            <v>1.7453292519943295E-2</v>
          </cell>
        </row>
      </sheetData>
      <sheetData sheetId="3395">
        <row r="1">
          <cell r="J1">
            <v>1.7453292519943295E-2</v>
          </cell>
        </row>
      </sheetData>
      <sheetData sheetId="3396">
        <row r="1">
          <cell r="J1">
            <v>1.7453292519943295E-2</v>
          </cell>
        </row>
      </sheetData>
      <sheetData sheetId="3397">
        <row r="1">
          <cell r="J1">
            <v>1.7453292519943295E-2</v>
          </cell>
        </row>
      </sheetData>
      <sheetData sheetId="3398">
        <row r="1">
          <cell r="J1">
            <v>1.7453292519943295E-2</v>
          </cell>
        </row>
      </sheetData>
      <sheetData sheetId="3399">
        <row r="1">
          <cell r="J1">
            <v>1.7453292519943295E-2</v>
          </cell>
        </row>
      </sheetData>
      <sheetData sheetId="3400">
        <row r="1">
          <cell r="J1">
            <v>1.7453292519943295E-2</v>
          </cell>
        </row>
      </sheetData>
      <sheetData sheetId="3401">
        <row r="1">
          <cell r="J1">
            <v>1.7453292519943295E-2</v>
          </cell>
        </row>
      </sheetData>
      <sheetData sheetId="3402">
        <row r="1">
          <cell r="J1">
            <v>1.7453292519943295E-2</v>
          </cell>
        </row>
      </sheetData>
      <sheetData sheetId="3403">
        <row r="1">
          <cell r="J1">
            <v>1.7453292519943295E-2</v>
          </cell>
        </row>
      </sheetData>
      <sheetData sheetId="3404">
        <row r="1">
          <cell r="J1">
            <v>1.7453292519943295E-2</v>
          </cell>
        </row>
      </sheetData>
      <sheetData sheetId="3405">
        <row r="1">
          <cell r="J1">
            <v>1.7453292519943295E-2</v>
          </cell>
        </row>
      </sheetData>
      <sheetData sheetId="3406">
        <row r="1">
          <cell r="J1">
            <v>1.7453292519943295E-2</v>
          </cell>
        </row>
      </sheetData>
      <sheetData sheetId="3407">
        <row r="1">
          <cell r="J1">
            <v>1.7453292519943295E-2</v>
          </cell>
        </row>
      </sheetData>
      <sheetData sheetId="3408">
        <row r="1">
          <cell r="J1">
            <v>1.7453292519943295E-2</v>
          </cell>
        </row>
      </sheetData>
      <sheetData sheetId="3409">
        <row r="1">
          <cell r="J1">
            <v>1.7453292519943295E-2</v>
          </cell>
        </row>
      </sheetData>
      <sheetData sheetId="3410">
        <row r="1">
          <cell r="J1">
            <v>1.7453292519943295E-2</v>
          </cell>
        </row>
      </sheetData>
      <sheetData sheetId="3411">
        <row r="1">
          <cell r="J1">
            <v>1.7453292519943295E-2</v>
          </cell>
        </row>
      </sheetData>
      <sheetData sheetId="3412">
        <row r="1">
          <cell r="J1">
            <v>1.7453292519943295E-2</v>
          </cell>
        </row>
      </sheetData>
      <sheetData sheetId="3413">
        <row r="1">
          <cell r="J1">
            <v>1.7453292519943295E-2</v>
          </cell>
        </row>
      </sheetData>
      <sheetData sheetId="3414">
        <row r="1">
          <cell r="J1">
            <v>1.7453292519943295E-2</v>
          </cell>
        </row>
      </sheetData>
      <sheetData sheetId="3415">
        <row r="1">
          <cell r="J1">
            <v>1.7453292519943295E-2</v>
          </cell>
        </row>
      </sheetData>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ow r="1">
          <cell r="J1">
            <v>1.7453292519943295E-2</v>
          </cell>
        </row>
      </sheetData>
      <sheetData sheetId="3493">
        <row r="1">
          <cell r="J1">
            <v>1.7453292519943295E-2</v>
          </cell>
        </row>
      </sheetData>
      <sheetData sheetId="3494">
        <row r="1">
          <cell r="J1">
            <v>1.7453292519943295E-2</v>
          </cell>
        </row>
      </sheetData>
      <sheetData sheetId="3495">
        <row r="1">
          <cell r="J1">
            <v>1.7453292519943295E-2</v>
          </cell>
        </row>
      </sheetData>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ow r="1">
          <cell r="J1">
            <v>1.7453292519943295E-2</v>
          </cell>
        </row>
      </sheetData>
      <sheetData sheetId="3502">
        <row r="1">
          <cell r="J1">
            <v>1.7453292519943295E-2</v>
          </cell>
        </row>
      </sheetData>
      <sheetData sheetId="3503">
        <row r="1">
          <cell r="J1">
            <v>1.7453292519943295E-2</v>
          </cell>
        </row>
      </sheetData>
      <sheetData sheetId="3504">
        <row r="1">
          <cell r="J1">
            <v>1.7453292519943295E-2</v>
          </cell>
        </row>
      </sheetData>
      <sheetData sheetId="3505">
        <row r="1">
          <cell r="J1">
            <v>1.7453292519943295E-2</v>
          </cell>
        </row>
      </sheetData>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ow r="1">
          <cell r="J1">
            <v>1.7453292519943295E-2</v>
          </cell>
        </row>
      </sheetData>
      <sheetData sheetId="3513">
        <row r="1">
          <cell r="J1">
            <v>1.7453292519943295E-2</v>
          </cell>
        </row>
      </sheetData>
      <sheetData sheetId="3514">
        <row r="1">
          <cell r="J1">
            <v>1.7453292519943295E-2</v>
          </cell>
        </row>
      </sheetData>
      <sheetData sheetId="3515">
        <row r="1">
          <cell r="J1">
            <v>1.7453292519943295E-2</v>
          </cell>
        </row>
      </sheetData>
      <sheetData sheetId="3516">
        <row r="1">
          <cell r="J1">
            <v>1.7453292519943295E-2</v>
          </cell>
        </row>
      </sheetData>
      <sheetData sheetId="3517">
        <row r="1">
          <cell r="J1">
            <v>1.7453292519943295E-2</v>
          </cell>
        </row>
      </sheetData>
      <sheetData sheetId="3518">
        <row r="1">
          <cell r="J1">
            <v>1.7453292519943295E-2</v>
          </cell>
        </row>
      </sheetData>
      <sheetData sheetId="3519">
        <row r="1">
          <cell r="J1">
            <v>1.7453292519943295E-2</v>
          </cell>
        </row>
      </sheetData>
      <sheetData sheetId="3520">
        <row r="1">
          <cell r="J1">
            <v>1.7453292519943295E-2</v>
          </cell>
        </row>
      </sheetData>
      <sheetData sheetId="3521">
        <row r="1">
          <cell r="J1">
            <v>1.7453292519943295E-2</v>
          </cell>
        </row>
      </sheetData>
      <sheetData sheetId="3522">
        <row r="1">
          <cell r="J1">
            <v>1.7453292519943295E-2</v>
          </cell>
        </row>
      </sheetData>
      <sheetData sheetId="3523">
        <row r="1">
          <cell r="J1">
            <v>1.7453292519943295E-2</v>
          </cell>
        </row>
      </sheetData>
      <sheetData sheetId="3524">
        <row r="1">
          <cell r="J1">
            <v>1.7453292519943295E-2</v>
          </cell>
        </row>
      </sheetData>
      <sheetData sheetId="3525">
        <row r="1">
          <cell r="J1">
            <v>1.7453292519943295E-2</v>
          </cell>
        </row>
      </sheetData>
      <sheetData sheetId="3526">
        <row r="1">
          <cell r="J1">
            <v>1.7453292519943295E-2</v>
          </cell>
        </row>
      </sheetData>
      <sheetData sheetId="3527">
        <row r="1">
          <cell r="J1">
            <v>1.7453292519943295E-2</v>
          </cell>
        </row>
      </sheetData>
      <sheetData sheetId="3528">
        <row r="1">
          <cell r="J1">
            <v>1.7453292519943295E-2</v>
          </cell>
        </row>
      </sheetData>
      <sheetData sheetId="3529">
        <row r="1">
          <cell r="J1">
            <v>1.7453292519943295E-2</v>
          </cell>
        </row>
      </sheetData>
      <sheetData sheetId="3530">
        <row r="1">
          <cell r="J1">
            <v>1.7453292519943295E-2</v>
          </cell>
        </row>
      </sheetData>
      <sheetData sheetId="3531">
        <row r="1">
          <cell r="J1">
            <v>1.7453292519943295E-2</v>
          </cell>
        </row>
      </sheetData>
      <sheetData sheetId="3532">
        <row r="1">
          <cell r="J1">
            <v>1.7453292519943295E-2</v>
          </cell>
        </row>
      </sheetData>
      <sheetData sheetId="3533">
        <row r="1">
          <cell r="J1">
            <v>1.7453292519943295E-2</v>
          </cell>
        </row>
      </sheetData>
      <sheetData sheetId="3534">
        <row r="1">
          <cell r="J1">
            <v>1.7453292519943295E-2</v>
          </cell>
        </row>
      </sheetData>
      <sheetData sheetId="3535">
        <row r="1">
          <cell r="J1">
            <v>1.7453292519943295E-2</v>
          </cell>
        </row>
      </sheetData>
      <sheetData sheetId="3536">
        <row r="1">
          <cell r="J1">
            <v>1.7453292519943295E-2</v>
          </cell>
        </row>
      </sheetData>
      <sheetData sheetId="3537">
        <row r="1">
          <cell r="J1">
            <v>1.7453292519943295E-2</v>
          </cell>
        </row>
      </sheetData>
      <sheetData sheetId="3538">
        <row r="1">
          <cell r="J1">
            <v>1.7453292519943295E-2</v>
          </cell>
        </row>
      </sheetData>
      <sheetData sheetId="3539">
        <row r="1">
          <cell r="J1">
            <v>1.7453292519943295E-2</v>
          </cell>
        </row>
      </sheetData>
      <sheetData sheetId="3540">
        <row r="1">
          <cell r="J1">
            <v>1.7453292519943295E-2</v>
          </cell>
        </row>
      </sheetData>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1">
          <cell r="J1">
            <v>1.7453292519943295E-2</v>
          </cell>
        </row>
      </sheetData>
      <sheetData sheetId="3575">
        <row r="1">
          <cell r="J1">
            <v>1.7453292519943295E-2</v>
          </cell>
        </row>
      </sheetData>
      <sheetData sheetId="3576">
        <row r="1">
          <cell r="J1">
            <v>1.7453292519943295E-2</v>
          </cell>
        </row>
      </sheetData>
      <sheetData sheetId="3577">
        <row r="1">
          <cell r="J1">
            <v>1.7453292519943295E-2</v>
          </cell>
        </row>
      </sheetData>
      <sheetData sheetId="3578">
        <row r="1">
          <cell r="J1">
            <v>1.7453292519943295E-2</v>
          </cell>
        </row>
      </sheetData>
      <sheetData sheetId="3579">
        <row r="1">
          <cell r="J1">
            <v>1.7453292519943295E-2</v>
          </cell>
        </row>
      </sheetData>
      <sheetData sheetId="3580">
        <row r="1">
          <cell r="J1">
            <v>1.7453292519943295E-2</v>
          </cell>
        </row>
      </sheetData>
      <sheetData sheetId="3581">
        <row r="1">
          <cell r="J1">
            <v>1.7453292519943295E-2</v>
          </cell>
        </row>
      </sheetData>
      <sheetData sheetId="3582">
        <row r="1">
          <cell r="J1">
            <v>1.7453292519943295E-2</v>
          </cell>
        </row>
      </sheetData>
      <sheetData sheetId="3583">
        <row r="1">
          <cell r="J1">
            <v>1.7453292519943295E-2</v>
          </cell>
        </row>
      </sheetData>
      <sheetData sheetId="3584">
        <row r="1">
          <cell r="J1">
            <v>1.7453292519943295E-2</v>
          </cell>
        </row>
      </sheetData>
      <sheetData sheetId="3585">
        <row r="1">
          <cell r="J1">
            <v>1.7453292519943295E-2</v>
          </cell>
        </row>
      </sheetData>
      <sheetData sheetId="3586">
        <row r="1">
          <cell r="J1">
            <v>1.7453292519943295E-2</v>
          </cell>
        </row>
      </sheetData>
      <sheetData sheetId="3587">
        <row r="1">
          <cell r="J1">
            <v>1.7453292519943295E-2</v>
          </cell>
        </row>
      </sheetData>
      <sheetData sheetId="3588">
        <row r="1">
          <cell r="J1">
            <v>1.7453292519943295E-2</v>
          </cell>
        </row>
      </sheetData>
      <sheetData sheetId="3589">
        <row r="1">
          <cell r="J1">
            <v>1.7453292519943295E-2</v>
          </cell>
        </row>
      </sheetData>
      <sheetData sheetId="3590">
        <row r="1">
          <cell r="J1">
            <v>1.7453292519943295E-2</v>
          </cell>
        </row>
      </sheetData>
      <sheetData sheetId="3591">
        <row r="1">
          <cell r="J1">
            <v>1.7453292519943295E-2</v>
          </cell>
        </row>
      </sheetData>
      <sheetData sheetId="3592">
        <row r="1">
          <cell r="J1">
            <v>1.7453292519943295E-2</v>
          </cell>
        </row>
      </sheetData>
      <sheetData sheetId="3593">
        <row r="1">
          <cell r="J1">
            <v>1.7453292519943295E-2</v>
          </cell>
        </row>
      </sheetData>
      <sheetData sheetId="3594">
        <row r="1">
          <cell r="J1">
            <v>1.7453292519943295E-2</v>
          </cell>
        </row>
      </sheetData>
      <sheetData sheetId="3595">
        <row r="1">
          <cell r="J1">
            <v>1.7453292519943295E-2</v>
          </cell>
        </row>
      </sheetData>
      <sheetData sheetId="3596">
        <row r="1">
          <cell r="J1">
            <v>1.7453292519943295E-2</v>
          </cell>
        </row>
      </sheetData>
      <sheetData sheetId="3597">
        <row r="1">
          <cell r="J1">
            <v>1.7453292519943295E-2</v>
          </cell>
        </row>
      </sheetData>
      <sheetData sheetId="3598">
        <row r="1">
          <cell r="J1">
            <v>1.7453292519943295E-2</v>
          </cell>
        </row>
      </sheetData>
      <sheetData sheetId="3599">
        <row r="1">
          <cell r="J1">
            <v>1.7453292519943295E-2</v>
          </cell>
        </row>
      </sheetData>
      <sheetData sheetId="3600">
        <row r="1">
          <cell r="J1">
            <v>1.7453292519943295E-2</v>
          </cell>
        </row>
      </sheetData>
      <sheetData sheetId="3601">
        <row r="1">
          <cell r="J1">
            <v>1.7453292519943295E-2</v>
          </cell>
        </row>
      </sheetData>
      <sheetData sheetId="3602">
        <row r="1">
          <cell r="J1">
            <v>1.7453292519943295E-2</v>
          </cell>
        </row>
      </sheetData>
      <sheetData sheetId="3603">
        <row r="1">
          <cell r="J1">
            <v>1.7453292519943295E-2</v>
          </cell>
        </row>
      </sheetData>
      <sheetData sheetId="3604">
        <row r="1">
          <cell r="J1">
            <v>1.7453292519943295E-2</v>
          </cell>
        </row>
      </sheetData>
      <sheetData sheetId="3605">
        <row r="1">
          <cell r="J1">
            <v>1.7453292519943295E-2</v>
          </cell>
        </row>
      </sheetData>
      <sheetData sheetId="3606">
        <row r="1">
          <cell r="J1">
            <v>1.7453292519943295E-2</v>
          </cell>
        </row>
      </sheetData>
      <sheetData sheetId="3607">
        <row r="1">
          <cell r="J1">
            <v>1.7453292519943295E-2</v>
          </cell>
        </row>
      </sheetData>
      <sheetData sheetId="3608">
        <row r="1">
          <cell r="J1">
            <v>1.7453292519943295E-2</v>
          </cell>
        </row>
      </sheetData>
      <sheetData sheetId="3609">
        <row r="1">
          <cell r="J1">
            <v>1.7453292519943295E-2</v>
          </cell>
        </row>
      </sheetData>
      <sheetData sheetId="3610">
        <row r="1">
          <cell r="J1">
            <v>1.7453292519943295E-2</v>
          </cell>
        </row>
      </sheetData>
      <sheetData sheetId="3611">
        <row r="1">
          <cell r="J1">
            <v>1.7453292519943295E-2</v>
          </cell>
        </row>
      </sheetData>
      <sheetData sheetId="3612">
        <row r="1">
          <cell r="J1">
            <v>1.7453292519943295E-2</v>
          </cell>
        </row>
      </sheetData>
      <sheetData sheetId="3613">
        <row r="1">
          <cell r="J1">
            <v>1.7453292519943295E-2</v>
          </cell>
        </row>
      </sheetData>
      <sheetData sheetId="3614">
        <row r="1">
          <cell r="J1">
            <v>1.7453292519943295E-2</v>
          </cell>
        </row>
      </sheetData>
      <sheetData sheetId="3615">
        <row r="1">
          <cell r="J1">
            <v>1.7453292519943295E-2</v>
          </cell>
        </row>
      </sheetData>
      <sheetData sheetId="3616">
        <row r="1">
          <cell r="J1">
            <v>1.7453292519943295E-2</v>
          </cell>
        </row>
      </sheetData>
      <sheetData sheetId="3617">
        <row r="1">
          <cell r="J1">
            <v>1.7453292519943295E-2</v>
          </cell>
        </row>
      </sheetData>
      <sheetData sheetId="3618">
        <row r="1">
          <cell r="J1">
            <v>1.7453292519943295E-2</v>
          </cell>
        </row>
      </sheetData>
      <sheetData sheetId="3619">
        <row r="1">
          <cell r="J1">
            <v>1.7453292519943295E-2</v>
          </cell>
        </row>
      </sheetData>
      <sheetData sheetId="3620">
        <row r="1">
          <cell r="J1">
            <v>1.7453292519943295E-2</v>
          </cell>
        </row>
      </sheetData>
      <sheetData sheetId="3621">
        <row r="1">
          <cell r="J1">
            <v>1.7453292519943295E-2</v>
          </cell>
        </row>
      </sheetData>
      <sheetData sheetId="3622">
        <row r="1">
          <cell r="J1">
            <v>1.7453292519943295E-2</v>
          </cell>
        </row>
      </sheetData>
      <sheetData sheetId="3623">
        <row r="1">
          <cell r="J1">
            <v>1.7453292519943295E-2</v>
          </cell>
        </row>
      </sheetData>
      <sheetData sheetId="3624">
        <row r="1">
          <cell r="J1">
            <v>1.7453292519943295E-2</v>
          </cell>
        </row>
      </sheetData>
      <sheetData sheetId="3625">
        <row r="1">
          <cell r="J1">
            <v>1.7453292519943295E-2</v>
          </cell>
        </row>
      </sheetData>
      <sheetData sheetId="3626">
        <row r="1">
          <cell r="J1">
            <v>1.7453292519943295E-2</v>
          </cell>
        </row>
      </sheetData>
      <sheetData sheetId="3627">
        <row r="1">
          <cell r="J1">
            <v>1.7453292519943295E-2</v>
          </cell>
        </row>
      </sheetData>
      <sheetData sheetId="3628">
        <row r="1">
          <cell r="J1">
            <v>1.7453292519943295E-2</v>
          </cell>
        </row>
      </sheetData>
      <sheetData sheetId="3629">
        <row r="1">
          <cell r="J1">
            <v>1.7453292519943295E-2</v>
          </cell>
        </row>
      </sheetData>
      <sheetData sheetId="3630">
        <row r="1">
          <cell r="J1">
            <v>1.7453292519943295E-2</v>
          </cell>
        </row>
      </sheetData>
      <sheetData sheetId="3631">
        <row r="1">
          <cell r="J1">
            <v>1.7453292519943295E-2</v>
          </cell>
        </row>
      </sheetData>
      <sheetData sheetId="3632">
        <row r="1">
          <cell r="J1">
            <v>1.7453292519943295E-2</v>
          </cell>
        </row>
      </sheetData>
      <sheetData sheetId="3633">
        <row r="1">
          <cell r="J1">
            <v>1.7453292519943295E-2</v>
          </cell>
        </row>
      </sheetData>
      <sheetData sheetId="3634">
        <row r="1">
          <cell r="J1">
            <v>1.7453292519943295E-2</v>
          </cell>
        </row>
      </sheetData>
      <sheetData sheetId="3635">
        <row r="1">
          <cell r="J1">
            <v>1.7453292519943295E-2</v>
          </cell>
        </row>
      </sheetData>
      <sheetData sheetId="3636">
        <row r="1">
          <cell r="J1">
            <v>1.7453292519943295E-2</v>
          </cell>
        </row>
      </sheetData>
      <sheetData sheetId="3637">
        <row r="1">
          <cell r="J1">
            <v>1.7453292519943295E-2</v>
          </cell>
        </row>
      </sheetData>
      <sheetData sheetId="3638">
        <row r="1">
          <cell r="J1">
            <v>1.7453292519943295E-2</v>
          </cell>
        </row>
      </sheetData>
      <sheetData sheetId="3639">
        <row r="1">
          <cell r="J1">
            <v>1.7453292519943295E-2</v>
          </cell>
        </row>
      </sheetData>
      <sheetData sheetId="3640">
        <row r="1">
          <cell r="J1">
            <v>1.7453292519943295E-2</v>
          </cell>
        </row>
      </sheetData>
      <sheetData sheetId="3641">
        <row r="1">
          <cell r="J1">
            <v>1.7453292519943295E-2</v>
          </cell>
        </row>
      </sheetData>
      <sheetData sheetId="3642">
        <row r="1">
          <cell r="J1">
            <v>1.7453292519943295E-2</v>
          </cell>
        </row>
      </sheetData>
      <sheetData sheetId="3643">
        <row r="1">
          <cell r="J1">
            <v>1.7453292519943295E-2</v>
          </cell>
        </row>
      </sheetData>
      <sheetData sheetId="3644">
        <row r="1">
          <cell r="J1">
            <v>1.7453292519943295E-2</v>
          </cell>
        </row>
      </sheetData>
      <sheetData sheetId="3645">
        <row r="1">
          <cell r="J1">
            <v>1.7453292519943295E-2</v>
          </cell>
        </row>
      </sheetData>
      <sheetData sheetId="3646">
        <row r="1">
          <cell r="J1">
            <v>1.7453292519943295E-2</v>
          </cell>
        </row>
      </sheetData>
      <sheetData sheetId="3647">
        <row r="1">
          <cell r="J1">
            <v>1.7453292519943295E-2</v>
          </cell>
        </row>
      </sheetData>
      <sheetData sheetId="3648">
        <row r="1">
          <cell r="J1">
            <v>1.7453292519943295E-2</v>
          </cell>
        </row>
      </sheetData>
      <sheetData sheetId="3649">
        <row r="1">
          <cell r="J1">
            <v>1.7453292519943295E-2</v>
          </cell>
        </row>
      </sheetData>
      <sheetData sheetId="3650">
        <row r="1">
          <cell r="J1">
            <v>1.7453292519943295E-2</v>
          </cell>
        </row>
      </sheetData>
      <sheetData sheetId="3651">
        <row r="1">
          <cell r="J1">
            <v>1.7453292519943295E-2</v>
          </cell>
        </row>
      </sheetData>
      <sheetData sheetId="3652">
        <row r="1">
          <cell r="J1">
            <v>1.7453292519943295E-2</v>
          </cell>
        </row>
      </sheetData>
      <sheetData sheetId="3653">
        <row r="1">
          <cell r="J1">
            <v>1.7453292519943295E-2</v>
          </cell>
        </row>
      </sheetData>
      <sheetData sheetId="3654">
        <row r="1">
          <cell r="J1">
            <v>1.7453292519943295E-2</v>
          </cell>
        </row>
      </sheetData>
      <sheetData sheetId="3655">
        <row r="1">
          <cell r="J1">
            <v>1.7453292519943295E-2</v>
          </cell>
        </row>
      </sheetData>
      <sheetData sheetId="3656">
        <row r="1">
          <cell r="J1">
            <v>1.7453292519943295E-2</v>
          </cell>
        </row>
      </sheetData>
      <sheetData sheetId="3657">
        <row r="1">
          <cell r="J1">
            <v>1.7453292519943295E-2</v>
          </cell>
        </row>
      </sheetData>
      <sheetData sheetId="3658">
        <row r="1">
          <cell r="J1">
            <v>1.7453292519943295E-2</v>
          </cell>
        </row>
      </sheetData>
      <sheetData sheetId="3659">
        <row r="1">
          <cell r="J1">
            <v>1.7453292519943295E-2</v>
          </cell>
        </row>
      </sheetData>
      <sheetData sheetId="3660">
        <row r="1">
          <cell r="J1">
            <v>1.7453292519943295E-2</v>
          </cell>
        </row>
      </sheetData>
      <sheetData sheetId="3661">
        <row r="1">
          <cell r="J1">
            <v>1.7453292519943295E-2</v>
          </cell>
        </row>
      </sheetData>
      <sheetData sheetId="3662">
        <row r="1">
          <cell r="J1">
            <v>1.7453292519943295E-2</v>
          </cell>
        </row>
      </sheetData>
      <sheetData sheetId="3663">
        <row r="1">
          <cell r="J1">
            <v>1.7453292519943295E-2</v>
          </cell>
        </row>
      </sheetData>
      <sheetData sheetId="3664">
        <row r="1">
          <cell r="J1">
            <v>1.7453292519943295E-2</v>
          </cell>
        </row>
      </sheetData>
      <sheetData sheetId="3665">
        <row r="1">
          <cell r="J1">
            <v>1.7453292519943295E-2</v>
          </cell>
        </row>
      </sheetData>
      <sheetData sheetId="3666">
        <row r="1">
          <cell r="J1">
            <v>1.7453292519943295E-2</v>
          </cell>
        </row>
      </sheetData>
      <sheetData sheetId="3667">
        <row r="1">
          <cell r="J1">
            <v>1.7453292519943295E-2</v>
          </cell>
        </row>
      </sheetData>
      <sheetData sheetId="3668">
        <row r="1">
          <cell r="J1">
            <v>1.7453292519943295E-2</v>
          </cell>
        </row>
      </sheetData>
      <sheetData sheetId="3669">
        <row r="1">
          <cell r="J1">
            <v>1.7453292519943295E-2</v>
          </cell>
        </row>
      </sheetData>
      <sheetData sheetId="3670">
        <row r="1">
          <cell r="J1">
            <v>1.7453292519943295E-2</v>
          </cell>
        </row>
      </sheetData>
      <sheetData sheetId="3671">
        <row r="1">
          <cell r="J1">
            <v>1.7453292519943295E-2</v>
          </cell>
        </row>
      </sheetData>
      <sheetData sheetId="3672">
        <row r="1">
          <cell r="J1">
            <v>1.7453292519943295E-2</v>
          </cell>
        </row>
      </sheetData>
      <sheetData sheetId="3673">
        <row r="1">
          <cell r="J1">
            <v>1.7453292519943295E-2</v>
          </cell>
        </row>
      </sheetData>
      <sheetData sheetId="3674">
        <row r="1">
          <cell r="J1">
            <v>1.7453292519943295E-2</v>
          </cell>
        </row>
      </sheetData>
      <sheetData sheetId="3675">
        <row r="1">
          <cell r="J1">
            <v>1.7453292519943295E-2</v>
          </cell>
        </row>
      </sheetData>
      <sheetData sheetId="3676">
        <row r="1">
          <cell r="J1">
            <v>1.7453292519943295E-2</v>
          </cell>
        </row>
      </sheetData>
      <sheetData sheetId="3677">
        <row r="1">
          <cell r="J1">
            <v>1.7453292519943295E-2</v>
          </cell>
        </row>
      </sheetData>
      <sheetData sheetId="3678">
        <row r="1">
          <cell r="J1">
            <v>1.7453292519943295E-2</v>
          </cell>
        </row>
      </sheetData>
      <sheetData sheetId="3679">
        <row r="1">
          <cell r="J1">
            <v>1.7453292519943295E-2</v>
          </cell>
        </row>
      </sheetData>
      <sheetData sheetId="3680">
        <row r="1">
          <cell r="J1">
            <v>1.7453292519943295E-2</v>
          </cell>
        </row>
      </sheetData>
      <sheetData sheetId="3681">
        <row r="1">
          <cell r="J1">
            <v>1.7453292519943295E-2</v>
          </cell>
        </row>
      </sheetData>
      <sheetData sheetId="3682">
        <row r="1">
          <cell r="J1">
            <v>1.7453292519943295E-2</v>
          </cell>
        </row>
      </sheetData>
      <sheetData sheetId="3683">
        <row r="1">
          <cell r="J1">
            <v>1.7453292519943295E-2</v>
          </cell>
        </row>
      </sheetData>
      <sheetData sheetId="3684">
        <row r="1">
          <cell r="J1">
            <v>1.7453292519943295E-2</v>
          </cell>
        </row>
      </sheetData>
      <sheetData sheetId="3685">
        <row r="1">
          <cell r="J1">
            <v>1.7453292519943295E-2</v>
          </cell>
        </row>
      </sheetData>
      <sheetData sheetId="3686">
        <row r="1">
          <cell r="J1">
            <v>1.7453292519943295E-2</v>
          </cell>
        </row>
      </sheetData>
      <sheetData sheetId="3687">
        <row r="1">
          <cell r="J1">
            <v>1.7453292519943295E-2</v>
          </cell>
        </row>
      </sheetData>
      <sheetData sheetId="3688">
        <row r="1">
          <cell r="J1">
            <v>1.7453292519943295E-2</v>
          </cell>
        </row>
      </sheetData>
      <sheetData sheetId="3689">
        <row r="1">
          <cell r="J1">
            <v>1.7453292519943295E-2</v>
          </cell>
        </row>
      </sheetData>
      <sheetData sheetId="3690">
        <row r="1">
          <cell r="J1">
            <v>1.7453292519943295E-2</v>
          </cell>
        </row>
      </sheetData>
      <sheetData sheetId="3691">
        <row r="1">
          <cell r="J1">
            <v>1.7453292519943295E-2</v>
          </cell>
        </row>
      </sheetData>
      <sheetData sheetId="3692">
        <row r="1">
          <cell r="J1">
            <v>1.7453292519943295E-2</v>
          </cell>
        </row>
      </sheetData>
      <sheetData sheetId="3693">
        <row r="1">
          <cell r="J1">
            <v>1.7453292519943295E-2</v>
          </cell>
        </row>
      </sheetData>
      <sheetData sheetId="3694">
        <row r="1">
          <cell r="J1">
            <v>1.7453292519943295E-2</v>
          </cell>
        </row>
      </sheetData>
      <sheetData sheetId="3695">
        <row r="1">
          <cell r="J1">
            <v>1.7453292519943295E-2</v>
          </cell>
        </row>
      </sheetData>
      <sheetData sheetId="3696">
        <row r="1">
          <cell r="J1">
            <v>1.7453292519943295E-2</v>
          </cell>
        </row>
      </sheetData>
      <sheetData sheetId="3697">
        <row r="1">
          <cell r="J1">
            <v>1.7453292519943295E-2</v>
          </cell>
        </row>
      </sheetData>
      <sheetData sheetId="3698">
        <row r="1">
          <cell r="J1">
            <v>1.7453292519943295E-2</v>
          </cell>
        </row>
      </sheetData>
      <sheetData sheetId="3699">
        <row r="1">
          <cell r="J1">
            <v>1.7453292519943295E-2</v>
          </cell>
        </row>
      </sheetData>
      <sheetData sheetId="3700">
        <row r="1">
          <cell r="J1">
            <v>1.7453292519943295E-2</v>
          </cell>
        </row>
      </sheetData>
      <sheetData sheetId="3701">
        <row r="1">
          <cell r="J1">
            <v>1.7453292519943295E-2</v>
          </cell>
        </row>
      </sheetData>
      <sheetData sheetId="3702">
        <row r="1">
          <cell r="J1">
            <v>1.7453292519943295E-2</v>
          </cell>
        </row>
      </sheetData>
      <sheetData sheetId="3703">
        <row r="1">
          <cell r="J1">
            <v>1.7453292519943295E-2</v>
          </cell>
        </row>
      </sheetData>
      <sheetData sheetId="3704">
        <row r="1">
          <cell r="J1">
            <v>1.7453292519943295E-2</v>
          </cell>
        </row>
      </sheetData>
      <sheetData sheetId="3705">
        <row r="1">
          <cell r="J1">
            <v>1.7453292519943295E-2</v>
          </cell>
        </row>
      </sheetData>
      <sheetData sheetId="3706">
        <row r="1">
          <cell r="J1">
            <v>1.7453292519943295E-2</v>
          </cell>
        </row>
      </sheetData>
      <sheetData sheetId="3707">
        <row r="1">
          <cell r="J1">
            <v>1.7453292519943295E-2</v>
          </cell>
        </row>
      </sheetData>
      <sheetData sheetId="3708">
        <row r="1">
          <cell r="J1">
            <v>1.7453292519943295E-2</v>
          </cell>
        </row>
      </sheetData>
      <sheetData sheetId="3709">
        <row r="1">
          <cell r="J1">
            <v>1.7453292519943295E-2</v>
          </cell>
        </row>
      </sheetData>
      <sheetData sheetId="3710">
        <row r="1">
          <cell r="J1">
            <v>1.7453292519943295E-2</v>
          </cell>
        </row>
      </sheetData>
      <sheetData sheetId="3711">
        <row r="1">
          <cell r="J1">
            <v>1.7453292519943295E-2</v>
          </cell>
        </row>
      </sheetData>
      <sheetData sheetId="3712">
        <row r="1">
          <cell r="J1">
            <v>1.7453292519943295E-2</v>
          </cell>
        </row>
      </sheetData>
      <sheetData sheetId="3713">
        <row r="1">
          <cell r="J1">
            <v>1.7453292519943295E-2</v>
          </cell>
        </row>
      </sheetData>
      <sheetData sheetId="3714">
        <row r="1">
          <cell r="J1">
            <v>1.7453292519943295E-2</v>
          </cell>
        </row>
      </sheetData>
      <sheetData sheetId="3715">
        <row r="1">
          <cell r="J1">
            <v>1.7453292519943295E-2</v>
          </cell>
        </row>
      </sheetData>
      <sheetData sheetId="3716">
        <row r="1">
          <cell r="J1">
            <v>1.7453292519943295E-2</v>
          </cell>
        </row>
      </sheetData>
      <sheetData sheetId="3717">
        <row r="1">
          <cell r="J1">
            <v>1.7453292519943295E-2</v>
          </cell>
        </row>
      </sheetData>
      <sheetData sheetId="3718">
        <row r="1">
          <cell r="J1">
            <v>1.7453292519943295E-2</v>
          </cell>
        </row>
      </sheetData>
      <sheetData sheetId="3719">
        <row r="1">
          <cell r="J1">
            <v>1.7453292519943295E-2</v>
          </cell>
        </row>
      </sheetData>
      <sheetData sheetId="3720">
        <row r="1">
          <cell r="J1">
            <v>1.7453292519943295E-2</v>
          </cell>
        </row>
      </sheetData>
      <sheetData sheetId="3721">
        <row r="1">
          <cell r="J1">
            <v>1.7453292519943295E-2</v>
          </cell>
        </row>
      </sheetData>
      <sheetData sheetId="3722">
        <row r="1">
          <cell r="J1">
            <v>1.7453292519943295E-2</v>
          </cell>
        </row>
      </sheetData>
      <sheetData sheetId="3723">
        <row r="1">
          <cell r="J1">
            <v>1.7453292519943295E-2</v>
          </cell>
        </row>
      </sheetData>
      <sheetData sheetId="3724">
        <row r="1">
          <cell r="J1">
            <v>1.7453292519943295E-2</v>
          </cell>
        </row>
      </sheetData>
      <sheetData sheetId="3725">
        <row r="1">
          <cell r="J1">
            <v>1.7453292519943295E-2</v>
          </cell>
        </row>
      </sheetData>
      <sheetData sheetId="3726">
        <row r="1">
          <cell r="J1">
            <v>1.7453292519943295E-2</v>
          </cell>
        </row>
      </sheetData>
      <sheetData sheetId="3727">
        <row r="1">
          <cell r="J1">
            <v>1.7453292519943295E-2</v>
          </cell>
        </row>
      </sheetData>
      <sheetData sheetId="3728">
        <row r="1">
          <cell r="J1">
            <v>1.7453292519943295E-2</v>
          </cell>
        </row>
      </sheetData>
      <sheetData sheetId="3729">
        <row r="1">
          <cell r="J1">
            <v>1.7453292519943295E-2</v>
          </cell>
        </row>
      </sheetData>
      <sheetData sheetId="3730">
        <row r="1">
          <cell r="J1">
            <v>1.7453292519943295E-2</v>
          </cell>
        </row>
      </sheetData>
      <sheetData sheetId="3731">
        <row r="1">
          <cell r="J1">
            <v>1.7453292519943295E-2</v>
          </cell>
        </row>
      </sheetData>
      <sheetData sheetId="3732">
        <row r="1">
          <cell r="J1">
            <v>1.7453292519943295E-2</v>
          </cell>
        </row>
      </sheetData>
      <sheetData sheetId="3733">
        <row r="1">
          <cell r="J1">
            <v>1.7453292519943295E-2</v>
          </cell>
        </row>
      </sheetData>
      <sheetData sheetId="3734">
        <row r="1">
          <cell r="J1">
            <v>1.7453292519943295E-2</v>
          </cell>
        </row>
      </sheetData>
      <sheetData sheetId="3735">
        <row r="1">
          <cell r="J1">
            <v>1.7453292519943295E-2</v>
          </cell>
        </row>
      </sheetData>
      <sheetData sheetId="3736">
        <row r="1">
          <cell r="J1">
            <v>1.7453292519943295E-2</v>
          </cell>
        </row>
      </sheetData>
      <sheetData sheetId="3737">
        <row r="1">
          <cell r="J1">
            <v>1.7453292519943295E-2</v>
          </cell>
        </row>
      </sheetData>
      <sheetData sheetId="3738">
        <row r="1">
          <cell r="J1">
            <v>1.7453292519943295E-2</v>
          </cell>
        </row>
      </sheetData>
      <sheetData sheetId="3739">
        <row r="1">
          <cell r="J1">
            <v>1.7453292519943295E-2</v>
          </cell>
        </row>
      </sheetData>
      <sheetData sheetId="3740">
        <row r="1">
          <cell r="J1">
            <v>1.7453292519943295E-2</v>
          </cell>
        </row>
      </sheetData>
      <sheetData sheetId="3741">
        <row r="1">
          <cell r="J1">
            <v>1.7453292519943295E-2</v>
          </cell>
        </row>
      </sheetData>
      <sheetData sheetId="3742">
        <row r="1">
          <cell r="J1">
            <v>1.7453292519943295E-2</v>
          </cell>
        </row>
      </sheetData>
      <sheetData sheetId="3743">
        <row r="1">
          <cell r="J1">
            <v>1.7453292519943295E-2</v>
          </cell>
        </row>
      </sheetData>
      <sheetData sheetId="3744">
        <row r="1">
          <cell r="J1">
            <v>1.7453292519943295E-2</v>
          </cell>
        </row>
      </sheetData>
      <sheetData sheetId="3745">
        <row r="1">
          <cell r="J1">
            <v>1.7453292519943295E-2</v>
          </cell>
        </row>
      </sheetData>
      <sheetData sheetId="3746">
        <row r="1">
          <cell r="J1">
            <v>1.7453292519943295E-2</v>
          </cell>
        </row>
      </sheetData>
      <sheetData sheetId="3747">
        <row r="1">
          <cell r="J1">
            <v>1.7453292519943295E-2</v>
          </cell>
        </row>
      </sheetData>
      <sheetData sheetId="3748">
        <row r="1">
          <cell r="J1">
            <v>1.7453292519943295E-2</v>
          </cell>
        </row>
      </sheetData>
      <sheetData sheetId="3749">
        <row r="1">
          <cell r="J1">
            <v>1.7453292519943295E-2</v>
          </cell>
        </row>
      </sheetData>
      <sheetData sheetId="3750">
        <row r="1">
          <cell r="J1">
            <v>1.7453292519943295E-2</v>
          </cell>
        </row>
      </sheetData>
      <sheetData sheetId="3751">
        <row r="1">
          <cell r="J1">
            <v>1.7453292519943295E-2</v>
          </cell>
        </row>
      </sheetData>
      <sheetData sheetId="3752">
        <row r="1">
          <cell r="J1">
            <v>1.7453292519943295E-2</v>
          </cell>
        </row>
      </sheetData>
      <sheetData sheetId="3753">
        <row r="1">
          <cell r="J1">
            <v>1.7453292519943295E-2</v>
          </cell>
        </row>
      </sheetData>
      <sheetData sheetId="3754">
        <row r="1">
          <cell r="J1">
            <v>1.7453292519943295E-2</v>
          </cell>
        </row>
      </sheetData>
      <sheetData sheetId="3755">
        <row r="1">
          <cell r="J1">
            <v>1.7453292519943295E-2</v>
          </cell>
        </row>
      </sheetData>
      <sheetData sheetId="3756">
        <row r="1">
          <cell r="J1">
            <v>1.7453292519943295E-2</v>
          </cell>
        </row>
      </sheetData>
      <sheetData sheetId="3757">
        <row r="1">
          <cell r="J1">
            <v>1.7453292519943295E-2</v>
          </cell>
        </row>
      </sheetData>
      <sheetData sheetId="3758">
        <row r="1">
          <cell r="J1">
            <v>1.7453292519943295E-2</v>
          </cell>
        </row>
      </sheetData>
      <sheetData sheetId="3759">
        <row r="1">
          <cell r="J1">
            <v>1.7453292519943295E-2</v>
          </cell>
        </row>
      </sheetData>
      <sheetData sheetId="3760">
        <row r="1">
          <cell r="J1">
            <v>1.7453292519943295E-2</v>
          </cell>
        </row>
      </sheetData>
      <sheetData sheetId="3761">
        <row r="1">
          <cell r="J1">
            <v>1.7453292519943295E-2</v>
          </cell>
        </row>
      </sheetData>
      <sheetData sheetId="3762">
        <row r="1">
          <cell r="J1">
            <v>1.7453292519943295E-2</v>
          </cell>
        </row>
      </sheetData>
      <sheetData sheetId="3763">
        <row r="1">
          <cell r="J1">
            <v>1.7453292519943295E-2</v>
          </cell>
        </row>
      </sheetData>
      <sheetData sheetId="3764">
        <row r="1">
          <cell r="J1">
            <v>1.7453292519943295E-2</v>
          </cell>
        </row>
      </sheetData>
      <sheetData sheetId="3765">
        <row r="1">
          <cell r="J1">
            <v>1.7453292519943295E-2</v>
          </cell>
        </row>
      </sheetData>
      <sheetData sheetId="3766">
        <row r="1">
          <cell r="J1">
            <v>1.7453292519943295E-2</v>
          </cell>
        </row>
      </sheetData>
      <sheetData sheetId="3767">
        <row r="1">
          <cell r="J1">
            <v>1.7453292519943295E-2</v>
          </cell>
        </row>
      </sheetData>
      <sheetData sheetId="3768">
        <row r="1">
          <cell r="J1">
            <v>1.7453292519943295E-2</v>
          </cell>
        </row>
      </sheetData>
      <sheetData sheetId="3769">
        <row r="1">
          <cell r="J1">
            <v>1.7453292519943295E-2</v>
          </cell>
        </row>
      </sheetData>
      <sheetData sheetId="3770">
        <row r="1">
          <cell r="J1">
            <v>1.7453292519943295E-2</v>
          </cell>
        </row>
      </sheetData>
      <sheetData sheetId="3771">
        <row r="1">
          <cell r="J1">
            <v>1.7453292519943295E-2</v>
          </cell>
        </row>
      </sheetData>
      <sheetData sheetId="3772">
        <row r="1">
          <cell r="J1">
            <v>1.7453292519943295E-2</v>
          </cell>
        </row>
      </sheetData>
      <sheetData sheetId="3773">
        <row r="1">
          <cell r="J1">
            <v>1.7453292519943295E-2</v>
          </cell>
        </row>
      </sheetData>
      <sheetData sheetId="3774">
        <row r="1">
          <cell r="J1">
            <v>1.7453292519943295E-2</v>
          </cell>
        </row>
      </sheetData>
      <sheetData sheetId="3775">
        <row r="1">
          <cell r="J1">
            <v>1.7453292519943295E-2</v>
          </cell>
        </row>
      </sheetData>
      <sheetData sheetId="3776">
        <row r="1">
          <cell r="J1">
            <v>1.7453292519943295E-2</v>
          </cell>
        </row>
      </sheetData>
      <sheetData sheetId="3777">
        <row r="1">
          <cell r="J1">
            <v>1.7453292519943295E-2</v>
          </cell>
        </row>
      </sheetData>
      <sheetData sheetId="3778">
        <row r="1">
          <cell r="J1">
            <v>1.7453292519943295E-2</v>
          </cell>
        </row>
      </sheetData>
      <sheetData sheetId="3779">
        <row r="1">
          <cell r="J1">
            <v>1.7453292519943295E-2</v>
          </cell>
        </row>
      </sheetData>
      <sheetData sheetId="3780">
        <row r="1">
          <cell r="J1">
            <v>1.7453292519943295E-2</v>
          </cell>
        </row>
      </sheetData>
      <sheetData sheetId="3781">
        <row r="1">
          <cell r="J1">
            <v>1.7453292519943295E-2</v>
          </cell>
        </row>
      </sheetData>
      <sheetData sheetId="3782">
        <row r="1">
          <cell r="J1">
            <v>1.7453292519943295E-2</v>
          </cell>
        </row>
      </sheetData>
      <sheetData sheetId="3783">
        <row r="1">
          <cell r="J1">
            <v>1.7453292519943295E-2</v>
          </cell>
        </row>
      </sheetData>
      <sheetData sheetId="3784">
        <row r="1">
          <cell r="J1">
            <v>1.7453292519943295E-2</v>
          </cell>
        </row>
      </sheetData>
      <sheetData sheetId="3785">
        <row r="1">
          <cell r="J1">
            <v>1.7453292519943295E-2</v>
          </cell>
        </row>
      </sheetData>
      <sheetData sheetId="3786">
        <row r="1">
          <cell r="J1">
            <v>1.7453292519943295E-2</v>
          </cell>
        </row>
      </sheetData>
      <sheetData sheetId="3787">
        <row r="1">
          <cell r="J1">
            <v>1.7453292519943295E-2</v>
          </cell>
        </row>
      </sheetData>
      <sheetData sheetId="3788">
        <row r="1">
          <cell r="J1">
            <v>1.7453292519943295E-2</v>
          </cell>
        </row>
      </sheetData>
      <sheetData sheetId="3789">
        <row r="1">
          <cell r="J1">
            <v>1.7453292519943295E-2</v>
          </cell>
        </row>
      </sheetData>
      <sheetData sheetId="3790">
        <row r="1">
          <cell r="J1">
            <v>1.7453292519943295E-2</v>
          </cell>
        </row>
      </sheetData>
      <sheetData sheetId="3791">
        <row r="1">
          <cell r="J1">
            <v>1.7453292519943295E-2</v>
          </cell>
        </row>
      </sheetData>
      <sheetData sheetId="3792">
        <row r="1">
          <cell r="J1">
            <v>1.7453292519943295E-2</v>
          </cell>
        </row>
      </sheetData>
      <sheetData sheetId="3793">
        <row r="1">
          <cell r="J1">
            <v>1.7453292519943295E-2</v>
          </cell>
        </row>
      </sheetData>
      <sheetData sheetId="3794">
        <row r="1">
          <cell r="J1">
            <v>1.7453292519943295E-2</v>
          </cell>
        </row>
      </sheetData>
      <sheetData sheetId="3795">
        <row r="1">
          <cell r="J1">
            <v>1.7453292519943295E-2</v>
          </cell>
        </row>
      </sheetData>
      <sheetData sheetId="3796">
        <row r="1">
          <cell r="J1">
            <v>1.7453292519943295E-2</v>
          </cell>
        </row>
      </sheetData>
      <sheetData sheetId="3797">
        <row r="1">
          <cell r="J1">
            <v>1.7453292519943295E-2</v>
          </cell>
        </row>
      </sheetData>
      <sheetData sheetId="3798">
        <row r="1">
          <cell r="J1">
            <v>1.7453292519943295E-2</v>
          </cell>
        </row>
      </sheetData>
      <sheetData sheetId="3799">
        <row r="1">
          <cell r="J1">
            <v>1.7453292519943295E-2</v>
          </cell>
        </row>
      </sheetData>
      <sheetData sheetId="3800">
        <row r="1">
          <cell r="J1">
            <v>1.7453292519943295E-2</v>
          </cell>
        </row>
      </sheetData>
      <sheetData sheetId="3801">
        <row r="1">
          <cell r="J1">
            <v>1.7453292519943295E-2</v>
          </cell>
        </row>
      </sheetData>
      <sheetData sheetId="3802">
        <row r="1">
          <cell r="J1">
            <v>1.7453292519943295E-2</v>
          </cell>
        </row>
      </sheetData>
      <sheetData sheetId="3803">
        <row r="1">
          <cell r="J1">
            <v>1.7453292519943295E-2</v>
          </cell>
        </row>
      </sheetData>
      <sheetData sheetId="3804">
        <row r="1">
          <cell r="J1">
            <v>1.7453292519943295E-2</v>
          </cell>
        </row>
      </sheetData>
      <sheetData sheetId="3805">
        <row r="1">
          <cell r="J1">
            <v>1.7453292519943295E-2</v>
          </cell>
        </row>
      </sheetData>
      <sheetData sheetId="3806">
        <row r="1">
          <cell r="J1">
            <v>1.7453292519943295E-2</v>
          </cell>
        </row>
      </sheetData>
      <sheetData sheetId="3807">
        <row r="1">
          <cell r="J1">
            <v>1.7453292519943295E-2</v>
          </cell>
        </row>
      </sheetData>
      <sheetData sheetId="3808">
        <row r="1">
          <cell r="J1">
            <v>1.7453292519943295E-2</v>
          </cell>
        </row>
      </sheetData>
      <sheetData sheetId="3809">
        <row r="1">
          <cell r="J1">
            <v>1.7453292519943295E-2</v>
          </cell>
        </row>
      </sheetData>
      <sheetData sheetId="3810">
        <row r="1">
          <cell r="J1">
            <v>1.7453292519943295E-2</v>
          </cell>
        </row>
      </sheetData>
      <sheetData sheetId="3811">
        <row r="1">
          <cell r="J1">
            <v>1.7453292519943295E-2</v>
          </cell>
        </row>
      </sheetData>
      <sheetData sheetId="3812">
        <row r="1">
          <cell r="J1">
            <v>1.7453292519943295E-2</v>
          </cell>
        </row>
      </sheetData>
      <sheetData sheetId="3813">
        <row r="1">
          <cell r="J1">
            <v>1.7453292519943295E-2</v>
          </cell>
        </row>
      </sheetData>
      <sheetData sheetId="3814">
        <row r="1">
          <cell r="J1">
            <v>1.7453292519943295E-2</v>
          </cell>
        </row>
      </sheetData>
      <sheetData sheetId="3815">
        <row r="1">
          <cell r="J1">
            <v>1.7453292519943295E-2</v>
          </cell>
        </row>
      </sheetData>
      <sheetData sheetId="3816">
        <row r="1">
          <cell r="J1">
            <v>1.7453292519943295E-2</v>
          </cell>
        </row>
      </sheetData>
      <sheetData sheetId="3817">
        <row r="1">
          <cell r="J1">
            <v>1.7453292519943295E-2</v>
          </cell>
        </row>
      </sheetData>
      <sheetData sheetId="3818">
        <row r="1">
          <cell r="J1">
            <v>1.7453292519943295E-2</v>
          </cell>
        </row>
      </sheetData>
      <sheetData sheetId="3819">
        <row r="1">
          <cell r="J1">
            <v>1.7453292519943295E-2</v>
          </cell>
        </row>
      </sheetData>
      <sheetData sheetId="3820">
        <row r="1">
          <cell r="J1">
            <v>1.7453292519943295E-2</v>
          </cell>
        </row>
      </sheetData>
      <sheetData sheetId="3821">
        <row r="1">
          <cell r="J1">
            <v>1.7453292519943295E-2</v>
          </cell>
        </row>
      </sheetData>
      <sheetData sheetId="3822">
        <row r="1">
          <cell r="J1">
            <v>1.7453292519943295E-2</v>
          </cell>
        </row>
      </sheetData>
      <sheetData sheetId="3823">
        <row r="1">
          <cell r="J1">
            <v>1.7453292519943295E-2</v>
          </cell>
        </row>
      </sheetData>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4346" refreshError="1"/>
      <sheetData sheetId="434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ow r="1">
          <cell r="J1">
            <v>1.7453292519943295E-2</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ow r="1">
          <cell r="J1">
            <v>1.7453292519943295E-2</v>
          </cell>
        </row>
      </sheetData>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sheetData sheetId="6423">
        <row r="1">
          <cell r="J1">
            <v>1.7453292519943295E-2</v>
          </cell>
        </row>
      </sheetData>
      <sheetData sheetId="6424">
        <row r="1">
          <cell r="J1">
            <v>1.7453292519943295E-2</v>
          </cell>
        </row>
      </sheetData>
      <sheetData sheetId="6425"/>
      <sheetData sheetId="6426"/>
      <sheetData sheetId="6427">
        <row r="1">
          <cell r="J1">
            <v>1.7453292519943295E-2</v>
          </cell>
        </row>
      </sheetData>
      <sheetData sheetId="6428"/>
      <sheetData sheetId="6429">
        <row r="1">
          <cell r="J1">
            <v>1.7453292519943295E-2</v>
          </cell>
        </row>
      </sheetData>
      <sheetData sheetId="6430"/>
      <sheetData sheetId="6431">
        <row r="1">
          <cell r="J1">
            <v>1.7453292519943295E-2</v>
          </cell>
        </row>
      </sheetData>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sheetData sheetId="6520"/>
      <sheetData sheetId="6521"/>
      <sheetData sheetId="6522"/>
      <sheetData sheetId="6523"/>
      <sheetData sheetId="6524"/>
      <sheetData sheetId="6525"/>
      <sheetData sheetId="6526"/>
      <sheetData sheetId="6527"/>
      <sheetData sheetId="6528"/>
      <sheetData sheetId="6529"/>
      <sheetData sheetId="6530" refreshError="1"/>
      <sheetData sheetId="6531"/>
      <sheetData sheetId="6532"/>
      <sheetData sheetId="6533"/>
      <sheetData sheetId="6534"/>
      <sheetData sheetId="6535"/>
      <sheetData sheetId="6536"/>
      <sheetData sheetId="6537"/>
      <sheetData sheetId="6538"/>
      <sheetData sheetId="6539" refreshError="1"/>
      <sheetData sheetId="6540" refreshError="1"/>
      <sheetData sheetId="6541"/>
      <sheetData sheetId="6542" refreshError="1"/>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row r="1">
          <cell r="J1">
            <v>1.7453292519943295E-2</v>
          </cell>
        </row>
      </sheetData>
      <sheetData sheetId="6557">
        <row r="1">
          <cell r="J1">
            <v>1.7453292519943295E-2</v>
          </cell>
        </row>
      </sheetData>
      <sheetData sheetId="6558"/>
      <sheetData sheetId="6559">
        <row r="1">
          <cell r="J1">
            <v>1.7453292519943295E-2</v>
          </cell>
        </row>
      </sheetData>
      <sheetData sheetId="6560">
        <row r="1">
          <cell r="J1">
            <v>1.7453292519943295E-2</v>
          </cell>
        </row>
      </sheetData>
      <sheetData sheetId="6561">
        <row r="1">
          <cell r="J1">
            <v>1.7453292519943295E-2</v>
          </cell>
        </row>
      </sheetData>
      <sheetData sheetId="6562">
        <row r="1">
          <cell r="J1">
            <v>1.7453292519943295E-2</v>
          </cell>
        </row>
      </sheetData>
      <sheetData sheetId="6563">
        <row r="1">
          <cell r="J1">
            <v>1.7453292519943295E-2</v>
          </cell>
        </row>
      </sheetData>
      <sheetData sheetId="6564">
        <row r="1">
          <cell r="J1">
            <v>1.7453292519943295E-2</v>
          </cell>
        </row>
      </sheetData>
      <sheetData sheetId="6565">
        <row r="1">
          <cell r="J1">
            <v>1.7453292519943295E-2</v>
          </cell>
        </row>
      </sheetData>
      <sheetData sheetId="6566">
        <row r="1">
          <cell r="J1">
            <v>1.7453292519943295E-2</v>
          </cell>
        </row>
      </sheetData>
      <sheetData sheetId="6567">
        <row r="1">
          <cell r="J1">
            <v>1.7453292519943295E-2</v>
          </cell>
        </row>
      </sheetData>
      <sheetData sheetId="6568">
        <row r="1">
          <cell r="J1">
            <v>1.7453292519943295E-2</v>
          </cell>
        </row>
      </sheetData>
      <sheetData sheetId="6569"/>
      <sheetData sheetId="6570"/>
      <sheetData sheetId="6571"/>
      <sheetData sheetId="6572">
        <row r="1">
          <cell r="J1">
            <v>1.7453292519943295E-2</v>
          </cell>
        </row>
      </sheetData>
      <sheetData sheetId="6573"/>
      <sheetData sheetId="6574">
        <row r="1">
          <cell r="J1">
            <v>1.7453292519943295E-2</v>
          </cell>
        </row>
      </sheetData>
      <sheetData sheetId="6575">
        <row r="1">
          <cell r="J1">
            <v>1.7453292519943295E-2</v>
          </cell>
        </row>
      </sheetData>
      <sheetData sheetId="6576">
        <row r="1">
          <cell r="J1">
            <v>1.7453292519943295E-2</v>
          </cell>
        </row>
      </sheetData>
      <sheetData sheetId="6577">
        <row r="1">
          <cell r="J1">
            <v>1.7453292519943295E-2</v>
          </cell>
        </row>
      </sheetData>
      <sheetData sheetId="6578">
        <row r="1">
          <cell r="J1">
            <v>1.7453292519943295E-2</v>
          </cell>
        </row>
      </sheetData>
      <sheetData sheetId="6579">
        <row r="1">
          <cell r="J1">
            <v>1.7453292519943295E-2</v>
          </cell>
        </row>
      </sheetData>
      <sheetData sheetId="6580">
        <row r="1">
          <cell r="J1">
            <v>1.7453292519943295E-2</v>
          </cell>
        </row>
      </sheetData>
      <sheetData sheetId="6581">
        <row r="1">
          <cell r="J1">
            <v>1.7453292519943295E-2</v>
          </cell>
        </row>
      </sheetData>
      <sheetData sheetId="6582">
        <row r="1">
          <cell r="J1">
            <v>1.7453292519943295E-2</v>
          </cell>
        </row>
      </sheetData>
      <sheetData sheetId="6583">
        <row r="1">
          <cell r="J1">
            <v>1.7453292519943295E-2</v>
          </cell>
        </row>
      </sheetData>
      <sheetData sheetId="6584">
        <row r="1">
          <cell r="J1">
            <v>1.7453292519943295E-2</v>
          </cell>
        </row>
      </sheetData>
      <sheetData sheetId="6585">
        <row r="1">
          <cell r="J1">
            <v>1.7453292519943295E-2</v>
          </cell>
        </row>
      </sheetData>
      <sheetData sheetId="6586"/>
      <sheetData sheetId="6587"/>
      <sheetData sheetId="6588"/>
      <sheetData sheetId="6589" refreshError="1"/>
      <sheetData sheetId="6590" refreshError="1"/>
      <sheetData sheetId="6591">
        <row r="1">
          <cell r="J1">
            <v>1.7453292519943295E-2</v>
          </cell>
        </row>
      </sheetData>
      <sheetData sheetId="6592"/>
      <sheetData sheetId="6593"/>
      <sheetData sheetId="6594">
        <row r="1">
          <cell r="J1">
            <v>1.7453292519943295E-2</v>
          </cell>
        </row>
      </sheetData>
      <sheetData sheetId="6595" refreshError="1"/>
      <sheetData sheetId="6596"/>
      <sheetData sheetId="6597"/>
      <sheetData sheetId="6598">
        <row r="1">
          <cell r="J1">
            <v>1.7453292519943295E-2</v>
          </cell>
        </row>
      </sheetData>
      <sheetData sheetId="6599">
        <row r="1">
          <cell r="J1">
            <v>1.7453292519943295E-2</v>
          </cell>
        </row>
      </sheetData>
      <sheetData sheetId="6600">
        <row r="1">
          <cell r="J1">
            <v>1.7453292519943295E-2</v>
          </cell>
        </row>
      </sheetData>
      <sheetData sheetId="6601"/>
      <sheetData sheetId="6602"/>
      <sheetData sheetId="6603"/>
      <sheetData sheetId="6604"/>
      <sheetData sheetId="6605">
        <row r="1">
          <cell r="J1">
            <v>1.7453292519943295E-2</v>
          </cell>
        </row>
      </sheetData>
      <sheetData sheetId="6606"/>
      <sheetData sheetId="6607"/>
      <sheetData sheetId="6608"/>
      <sheetData sheetId="6609">
        <row r="1">
          <cell r="J1">
            <v>1.7453292519943295E-2</v>
          </cell>
        </row>
      </sheetData>
      <sheetData sheetId="6610"/>
      <sheetData sheetId="6611"/>
      <sheetData sheetId="6612"/>
      <sheetData sheetId="6613"/>
      <sheetData sheetId="6614"/>
      <sheetData sheetId="6615"/>
      <sheetData sheetId="6616"/>
      <sheetData sheetId="6617"/>
      <sheetData sheetId="6618"/>
      <sheetData sheetId="6619"/>
      <sheetData sheetId="6620">
        <row r="1">
          <cell r="J1">
            <v>1.7453292519943295E-2</v>
          </cell>
        </row>
      </sheetData>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row r="1">
          <cell r="J1">
            <v>1.7453292519943295E-2</v>
          </cell>
        </row>
      </sheetData>
      <sheetData sheetId="6639"/>
      <sheetData sheetId="6640"/>
      <sheetData sheetId="6641">
        <row r="1">
          <cell r="J1">
            <v>1.7453292519943295E-2</v>
          </cell>
        </row>
      </sheetData>
      <sheetData sheetId="6642"/>
      <sheetData sheetId="6643"/>
      <sheetData sheetId="6644"/>
      <sheetData sheetId="6645"/>
      <sheetData sheetId="6646">
        <row r="1">
          <cell r="J1">
            <v>1.7453292519943295E-2</v>
          </cell>
        </row>
      </sheetData>
      <sheetData sheetId="6647">
        <row r="1">
          <cell r="J1">
            <v>1.7453292519943295E-2</v>
          </cell>
        </row>
      </sheetData>
      <sheetData sheetId="6648"/>
      <sheetData sheetId="6649">
        <row r="1">
          <cell r="J1">
            <v>1.7453292519943295E-2</v>
          </cell>
        </row>
      </sheetData>
      <sheetData sheetId="6650"/>
      <sheetData sheetId="6651"/>
      <sheetData sheetId="6652">
        <row r="1">
          <cell r="J1">
            <v>1.7453292519943295E-2</v>
          </cell>
        </row>
      </sheetData>
      <sheetData sheetId="6653">
        <row r="1">
          <cell r="J1">
            <v>1.7453292519943295E-2</v>
          </cell>
        </row>
      </sheetData>
      <sheetData sheetId="6654"/>
      <sheetData sheetId="6655">
        <row r="1">
          <cell r="J1">
            <v>1.7453292519943295E-2</v>
          </cell>
        </row>
      </sheetData>
      <sheetData sheetId="6656">
        <row r="1">
          <cell r="J1">
            <v>1.7453292519943295E-2</v>
          </cell>
        </row>
      </sheetData>
      <sheetData sheetId="6657"/>
      <sheetData sheetId="6658"/>
      <sheetData sheetId="6659"/>
      <sheetData sheetId="6660">
        <row r="1">
          <cell r="J1">
            <v>1.7453292519943295E-2</v>
          </cell>
        </row>
      </sheetData>
      <sheetData sheetId="6661"/>
      <sheetData sheetId="6662">
        <row r="1">
          <cell r="J1">
            <v>1.7453292519943295E-2</v>
          </cell>
        </row>
      </sheetData>
      <sheetData sheetId="6663">
        <row r="1">
          <cell r="J1">
            <v>1.7453292519943295E-2</v>
          </cell>
        </row>
      </sheetData>
      <sheetData sheetId="6664">
        <row r="1">
          <cell r="J1">
            <v>1.7453292519943295E-2</v>
          </cell>
        </row>
      </sheetData>
      <sheetData sheetId="6665">
        <row r="1">
          <cell r="J1">
            <v>1.7453292519943295E-2</v>
          </cell>
        </row>
      </sheetData>
      <sheetData sheetId="6666" refreshError="1"/>
      <sheetData sheetId="6667" refreshError="1"/>
      <sheetData sheetId="6668">
        <row r="1">
          <cell r="J1">
            <v>1.7453292519943295E-2</v>
          </cell>
        </row>
      </sheetData>
      <sheetData sheetId="6669">
        <row r="1">
          <cell r="J1">
            <v>1.7453292519943295E-2</v>
          </cell>
        </row>
      </sheetData>
      <sheetData sheetId="6670">
        <row r="1">
          <cell r="J1">
            <v>1.7453292519943295E-2</v>
          </cell>
        </row>
      </sheetData>
      <sheetData sheetId="6671" refreshError="1"/>
      <sheetData sheetId="6672">
        <row r="1">
          <cell r="J1">
            <v>1.7453292519943295E-2</v>
          </cell>
        </row>
      </sheetData>
      <sheetData sheetId="6673"/>
      <sheetData sheetId="6674">
        <row r="1">
          <cell r="J1">
            <v>1.7453292519943295E-2</v>
          </cell>
        </row>
      </sheetData>
      <sheetData sheetId="6675"/>
      <sheetData sheetId="6676">
        <row r="1">
          <cell r="J1">
            <v>1.7453292519943295E-2</v>
          </cell>
        </row>
      </sheetData>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sheetData sheetId="6720" refreshError="1"/>
      <sheetData sheetId="6721" refreshError="1"/>
      <sheetData sheetId="6722" refreshError="1"/>
      <sheetData sheetId="6723" refreshError="1"/>
      <sheetData sheetId="6724" refreshError="1"/>
      <sheetData sheetId="6725" refreshError="1"/>
      <sheetData sheetId="6726"/>
      <sheetData sheetId="6727"/>
      <sheetData sheetId="6728" refreshError="1"/>
      <sheetData sheetId="6729" refreshError="1"/>
      <sheetData sheetId="6730"/>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sheetData sheetId="736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366">
        <row r="1">
          <cell r="J1">
            <v>1.7453292519943295E-2</v>
          </cell>
        </row>
      </sheetData>
      <sheetData sheetId="7367"/>
      <sheetData sheetId="7368">
        <row r="1">
          <cell r="J1">
            <v>1.7453292519943295E-2</v>
          </cell>
        </row>
      </sheetData>
      <sheetData sheetId="7369">
        <row r="1">
          <cell r="J1">
            <v>1.7453292519943295E-2</v>
          </cell>
        </row>
      </sheetData>
      <sheetData sheetId="7370">
        <row r="1">
          <cell r="J1">
            <v>1.7453292519943295E-2</v>
          </cell>
        </row>
      </sheetData>
      <sheetData sheetId="7371">
        <row r="1">
          <cell r="J1">
            <v>1.7453292519943295E-2</v>
          </cell>
        </row>
      </sheetData>
      <sheetData sheetId="7372">
        <row r="1">
          <cell r="J1">
            <v>1.7453292519943295E-2</v>
          </cell>
        </row>
      </sheetData>
      <sheetData sheetId="7373"/>
      <sheetData sheetId="7374"/>
      <sheetData sheetId="7375"/>
      <sheetData sheetId="7376"/>
      <sheetData sheetId="7377">
        <row r="1">
          <cell r="J1">
            <v>1.7453292519943295E-2</v>
          </cell>
        </row>
      </sheetData>
      <sheetData sheetId="7378">
        <row r="1">
          <cell r="J1">
            <v>1.7453292519943295E-2</v>
          </cell>
        </row>
      </sheetData>
      <sheetData sheetId="7379">
        <row r="1">
          <cell r="J1">
            <v>1.7453292519943295E-2</v>
          </cell>
        </row>
      </sheetData>
      <sheetData sheetId="7380">
        <row r="1">
          <cell r="J1">
            <v>1.7453292519943295E-2</v>
          </cell>
        </row>
      </sheetData>
      <sheetData sheetId="7381">
        <row r="1">
          <cell r="J1">
            <v>1.7453292519943295E-2</v>
          </cell>
        </row>
      </sheetData>
      <sheetData sheetId="7382">
        <row r="1">
          <cell r="J1">
            <v>1.7453292519943295E-2</v>
          </cell>
        </row>
      </sheetData>
      <sheetData sheetId="7383">
        <row r="1">
          <cell r="J1">
            <v>1.7453292519943295E-2</v>
          </cell>
        </row>
      </sheetData>
      <sheetData sheetId="7384">
        <row r="1">
          <cell r="J1">
            <v>1.7453292519943295E-2</v>
          </cell>
        </row>
      </sheetData>
      <sheetData sheetId="7385">
        <row r="1">
          <cell r="J1">
            <v>1.7453292519943295E-2</v>
          </cell>
        </row>
      </sheetData>
      <sheetData sheetId="7386">
        <row r="1">
          <cell r="J1">
            <v>1.7453292519943295E-2</v>
          </cell>
        </row>
      </sheetData>
      <sheetData sheetId="7387">
        <row r="1">
          <cell r="J1">
            <v>1.7453292519943295E-2</v>
          </cell>
        </row>
      </sheetData>
      <sheetData sheetId="7388">
        <row r="1">
          <cell r="J1">
            <v>1.7453292519943295E-2</v>
          </cell>
        </row>
      </sheetData>
      <sheetData sheetId="7389">
        <row r="1">
          <cell r="J1">
            <v>1.7453292519943295E-2</v>
          </cell>
        </row>
      </sheetData>
      <sheetData sheetId="7390">
        <row r="1">
          <cell r="J1">
            <v>1.7453292519943295E-2</v>
          </cell>
        </row>
      </sheetData>
      <sheetData sheetId="7391">
        <row r="1">
          <cell r="J1">
            <v>1.7453292519943295E-2</v>
          </cell>
        </row>
      </sheetData>
      <sheetData sheetId="7392">
        <row r="1">
          <cell r="J1">
            <v>1.7453292519943295E-2</v>
          </cell>
        </row>
      </sheetData>
      <sheetData sheetId="7393">
        <row r="1">
          <cell r="J1">
            <v>1.7453292519943295E-2</v>
          </cell>
        </row>
      </sheetData>
      <sheetData sheetId="7394">
        <row r="1">
          <cell r="J1">
            <v>1.7453292519943295E-2</v>
          </cell>
        </row>
      </sheetData>
      <sheetData sheetId="7395">
        <row r="1">
          <cell r="J1">
            <v>1.7453292519943295E-2</v>
          </cell>
        </row>
      </sheetData>
      <sheetData sheetId="7396">
        <row r="1">
          <cell r="J1">
            <v>1.7453292519943295E-2</v>
          </cell>
        </row>
      </sheetData>
      <sheetData sheetId="7397">
        <row r="1">
          <cell r="J1">
            <v>1.7453292519943295E-2</v>
          </cell>
        </row>
      </sheetData>
      <sheetData sheetId="7398">
        <row r="1">
          <cell r="J1">
            <v>1.7453292519943295E-2</v>
          </cell>
        </row>
      </sheetData>
      <sheetData sheetId="7399">
        <row r="1">
          <cell r="J1">
            <v>1.7453292519943295E-2</v>
          </cell>
        </row>
      </sheetData>
      <sheetData sheetId="7400">
        <row r="1">
          <cell r="J1">
            <v>1.7453292519943295E-2</v>
          </cell>
        </row>
      </sheetData>
      <sheetData sheetId="7401">
        <row r="1">
          <cell r="J1">
            <v>1.7453292519943295E-2</v>
          </cell>
        </row>
      </sheetData>
      <sheetData sheetId="7402">
        <row r="1">
          <cell r="J1">
            <v>1.7453292519943295E-2</v>
          </cell>
        </row>
      </sheetData>
      <sheetData sheetId="7403">
        <row r="1">
          <cell r="J1">
            <v>1.7453292519943295E-2</v>
          </cell>
        </row>
      </sheetData>
      <sheetData sheetId="7404">
        <row r="1">
          <cell r="J1">
            <v>1.7453292519943295E-2</v>
          </cell>
        </row>
      </sheetData>
      <sheetData sheetId="7405">
        <row r="1">
          <cell r="J1">
            <v>1.7453292519943295E-2</v>
          </cell>
        </row>
      </sheetData>
      <sheetData sheetId="7406">
        <row r="1">
          <cell r="J1">
            <v>1.7453292519943295E-2</v>
          </cell>
        </row>
      </sheetData>
      <sheetData sheetId="7407">
        <row r="1">
          <cell r="J1">
            <v>1.7453292519943295E-2</v>
          </cell>
        </row>
      </sheetData>
      <sheetData sheetId="7408">
        <row r="1">
          <cell r="J1">
            <v>1.7453292519943295E-2</v>
          </cell>
        </row>
      </sheetData>
      <sheetData sheetId="7409">
        <row r="1">
          <cell r="J1">
            <v>1.7453292519943295E-2</v>
          </cell>
        </row>
      </sheetData>
      <sheetData sheetId="7410">
        <row r="1">
          <cell r="J1">
            <v>1.7453292519943295E-2</v>
          </cell>
        </row>
      </sheetData>
      <sheetData sheetId="7411">
        <row r="1">
          <cell r="J1">
            <v>1.7453292519943295E-2</v>
          </cell>
        </row>
      </sheetData>
      <sheetData sheetId="7412">
        <row r="1">
          <cell r="J1">
            <v>1.7453292519943295E-2</v>
          </cell>
        </row>
      </sheetData>
      <sheetData sheetId="7413">
        <row r="1">
          <cell r="J1">
            <v>1.7453292519943295E-2</v>
          </cell>
        </row>
      </sheetData>
      <sheetData sheetId="7414">
        <row r="1">
          <cell r="J1">
            <v>1.7453292519943295E-2</v>
          </cell>
        </row>
      </sheetData>
      <sheetData sheetId="7415">
        <row r="1">
          <cell r="J1">
            <v>1.7453292519943295E-2</v>
          </cell>
        </row>
      </sheetData>
      <sheetData sheetId="7416">
        <row r="1">
          <cell r="J1">
            <v>1.7453292519943295E-2</v>
          </cell>
        </row>
      </sheetData>
      <sheetData sheetId="7417">
        <row r="1">
          <cell r="J1">
            <v>1.7453292519943295E-2</v>
          </cell>
        </row>
      </sheetData>
      <sheetData sheetId="7418">
        <row r="1">
          <cell r="J1">
            <v>1.7453292519943295E-2</v>
          </cell>
        </row>
      </sheetData>
      <sheetData sheetId="7419">
        <row r="1">
          <cell r="J1">
            <v>1.7453292519943295E-2</v>
          </cell>
        </row>
      </sheetData>
      <sheetData sheetId="7420">
        <row r="1">
          <cell r="J1">
            <v>1.7453292519943295E-2</v>
          </cell>
        </row>
      </sheetData>
      <sheetData sheetId="7421">
        <row r="1">
          <cell r="J1">
            <v>1.7453292519943295E-2</v>
          </cell>
        </row>
      </sheetData>
      <sheetData sheetId="7422">
        <row r="1">
          <cell r="J1">
            <v>1.7453292519943295E-2</v>
          </cell>
        </row>
      </sheetData>
      <sheetData sheetId="7423">
        <row r="1">
          <cell r="J1">
            <v>1.7453292519943295E-2</v>
          </cell>
        </row>
      </sheetData>
      <sheetData sheetId="7424">
        <row r="1">
          <cell r="J1">
            <v>1.7453292519943295E-2</v>
          </cell>
        </row>
      </sheetData>
      <sheetData sheetId="7425">
        <row r="1">
          <cell r="J1">
            <v>1.7453292519943295E-2</v>
          </cell>
        </row>
      </sheetData>
      <sheetData sheetId="7426">
        <row r="1">
          <cell r="J1">
            <v>1.7453292519943295E-2</v>
          </cell>
        </row>
      </sheetData>
      <sheetData sheetId="7427">
        <row r="1">
          <cell r="J1">
            <v>1.7453292519943295E-2</v>
          </cell>
        </row>
      </sheetData>
      <sheetData sheetId="7428">
        <row r="1">
          <cell r="J1">
            <v>1.7453292519943295E-2</v>
          </cell>
        </row>
      </sheetData>
      <sheetData sheetId="7429">
        <row r="1">
          <cell r="J1">
            <v>1.7453292519943295E-2</v>
          </cell>
        </row>
      </sheetData>
      <sheetData sheetId="7430">
        <row r="1">
          <cell r="J1">
            <v>1.7453292519943295E-2</v>
          </cell>
        </row>
      </sheetData>
      <sheetData sheetId="7431">
        <row r="1">
          <cell r="J1">
            <v>1.7453292519943295E-2</v>
          </cell>
        </row>
      </sheetData>
      <sheetData sheetId="7432">
        <row r="1">
          <cell r="J1">
            <v>1.7453292519943295E-2</v>
          </cell>
        </row>
      </sheetData>
      <sheetData sheetId="7433">
        <row r="1">
          <cell r="J1">
            <v>1.7453292519943295E-2</v>
          </cell>
        </row>
      </sheetData>
      <sheetData sheetId="7434">
        <row r="1">
          <cell r="J1">
            <v>1.7453292519943295E-2</v>
          </cell>
        </row>
      </sheetData>
      <sheetData sheetId="7435">
        <row r="1">
          <cell r="J1">
            <v>1.7453292519943295E-2</v>
          </cell>
        </row>
      </sheetData>
      <sheetData sheetId="7436">
        <row r="1">
          <cell r="J1">
            <v>1.7453292519943295E-2</v>
          </cell>
        </row>
      </sheetData>
      <sheetData sheetId="7437">
        <row r="1">
          <cell r="J1">
            <v>1.7453292519943295E-2</v>
          </cell>
        </row>
      </sheetData>
      <sheetData sheetId="7438">
        <row r="1">
          <cell r="J1">
            <v>1.7453292519943295E-2</v>
          </cell>
        </row>
      </sheetData>
      <sheetData sheetId="7439">
        <row r="1">
          <cell r="J1">
            <v>1.7453292519943295E-2</v>
          </cell>
        </row>
      </sheetData>
      <sheetData sheetId="7440">
        <row r="1">
          <cell r="J1">
            <v>1.7453292519943295E-2</v>
          </cell>
        </row>
      </sheetData>
      <sheetData sheetId="7441">
        <row r="1">
          <cell r="J1">
            <v>1.7453292519943295E-2</v>
          </cell>
        </row>
      </sheetData>
      <sheetData sheetId="7442">
        <row r="1">
          <cell r="J1">
            <v>1.7453292519943295E-2</v>
          </cell>
        </row>
      </sheetData>
      <sheetData sheetId="7443">
        <row r="1">
          <cell r="J1">
            <v>1.7453292519943295E-2</v>
          </cell>
        </row>
      </sheetData>
      <sheetData sheetId="7444">
        <row r="1">
          <cell r="J1">
            <v>1.7453292519943295E-2</v>
          </cell>
        </row>
      </sheetData>
      <sheetData sheetId="7445">
        <row r="1">
          <cell r="J1">
            <v>1.7453292519943295E-2</v>
          </cell>
        </row>
      </sheetData>
      <sheetData sheetId="7446">
        <row r="1">
          <cell r="J1">
            <v>1.7453292519943295E-2</v>
          </cell>
        </row>
      </sheetData>
      <sheetData sheetId="7447">
        <row r="1">
          <cell r="J1">
            <v>1.7453292519943295E-2</v>
          </cell>
        </row>
      </sheetData>
      <sheetData sheetId="7448">
        <row r="1">
          <cell r="J1">
            <v>1.7453292519943295E-2</v>
          </cell>
        </row>
      </sheetData>
      <sheetData sheetId="7449">
        <row r="1">
          <cell r="J1">
            <v>1.7453292519943295E-2</v>
          </cell>
        </row>
      </sheetData>
      <sheetData sheetId="7450">
        <row r="1">
          <cell r="J1">
            <v>1.7453292519943295E-2</v>
          </cell>
        </row>
      </sheetData>
      <sheetData sheetId="7451">
        <row r="1">
          <cell r="J1">
            <v>1.7453292519943295E-2</v>
          </cell>
        </row>
      </sheetData>
      <sheetData sheetId="7452">
        <row r="1">
          <cell r="J1">
            <v>1.7453292519943295E-2</v>
          </cell>
        </row>
      </sheetData>
      <sheetData sheetId="7453">
        <row r="1">
          <cell r="J1">
            <v>1.7453292519943295E-2</v>
          </cell>
        </row>
      </sheetData>
      <sheetData sheetId="7454">
        <row r="1">
          <cell r="J1">
            <v>1.7453292519943295E-2</v>
          </cell>
        </row>
      </sheetData>
      <sheetData sheetId="7455">
        <row r="1">
          <cell r="J1">
            <v>1.7453292519943295E-2</v>
          </cell>
        </row>
      </sheetData>
      <sheetData sheetId="7456">
        <row r="1">
          <cell r="J1">
            <v>1.7453292519943295E-2</v>
          </cell>
        </row>
      </sheetData>
      <sheetData sheetId="7457">
        <row r="1">
          <cell r="J1">
            <v>1.7453292519943295E-2</v>
          </cell>
        </row>
      </sheetData>
      <sheetData sheetId="7458">
        <row r="1">
          <cell r="J1">
            <v>1.7453292519943295E-2</v>
          </cell>
        </row>
      </sheetData>
      <sheetData sheetId="7459">
        <row r="1">
          <cell r="J1">
            <v>1.7453292519943295E-2</v>
          </cell>
        </row>
      </sheetData>
      <sheetData sheetId="7460">
        <row r="1">
          <cell r="J1">
            <v>1.7453292519943295E-2</v>
          </cell>
        </row>
      </sheetData>
      <sheetData sheetId="7461">
        <row r="1">
          <cell r="J1">
            <v>1.7453292519943295E-2</v>
          </cell>
        </row>
      </sheetData>
      <sheetData sheetId="7462">
        <row r="1">
          <cell r="J1">
            <v>1.7453292519943295E-2</v>
          </cell>
        </row>
      </sheetData>
      <sheetData sheetId="7463">
        <row r="1">
          <cell r="J1">
            <v>1.7453292519943295E-2</v>
          </cell>
        </row>
      </sheetData>
      <sheetData sheetId="7464">
        <row r="1">
          <cell r="J1">
            <v>1.7453292519943295E-2</v>
          </cell>
        </row>
      </sheetData>
      <sheetData sheetId="7465">
        <row r="1">
          <cell r="J1">
            <v>1.7453292519943295E-2</v>
          </cell>
        </row>
      </sheetData>
      <sheetData sheetId="7466">
        <row r="1">
          <cell r="J1">
            <v>1.7453292519943295E-2</v>
          </cell>
        </row>
      </sheetData>
      <sheetData sheetId="7467">
        <row r="1">
          <cell r="J1">
            <v>1.7453292519943295E-2</v>
          </cell>
        </row>
      </sheetData>
      <sheetData sheetId="7468">
        <row r="1">
          <cell r="J1">
            <v>1.7453292519943295E-2</v>
          </cell>
        </row>
      </sheetData>
      <sheetData sheetId="7469">
        <row r="1">
          <cell r="J1">
            <v>1.7453292519943295E-2</v>
          </cell>
        </row>
      </sheetData>
      <sheetData sheetId="7470">
        <row r="1">
          <cell r="J1">
            <v>1.7453292519943295E-2</v>
          </cell>
        </row>
      </sheetData>
      <sheetData sheetId="7471">
        <row r="1">
          <cell r="J1">
            <v>1.7453292519943295E-2</v>
          </cell>
        </row>
      </sheetData>
      <sheetData sheetId="7472">
        <row r="1">
          <cell r="J1">
            <v>1.7453292519943295E-2</v>
          </cell>
        </row>
      </sheetData>
      <sheetData sheetId="7473">
        <row r="1">
          <cell r="J1">
            <v>1.7453292519943295E-2</v>
          </cell>
        </row>
      </sheetData>
      <sheetData sheetId="7474">
        <row r="1">
          <cell r="J1">
            <v>1.7453292519943295E-2</v>
          </cell>
        </row>
      </sheetData>
      <sheetData sheetId="7475">
        <row r="1">
          <cell r="J1">
            <v>1.7453292519943295E-2</v>
          </cell>
        </row>
      </sheetData>
      <sheetData sheetId="7476">
        <row r="1">
          <cell r="J1">
            <v>1.7453292519943295E-2</v>
          </cell>
        </row>
      </sheetData>
      <sheetData sheetId="7477">
        <row r="1">
          <cell r="J1">
            <v>1.7453292519943295E-2</v>
          </cell>
        </row>
      </sheetData>
      <sheetData sheetId="7478">
        <row r="1">
          <cell r="J1">
            <v>1.7453292519943295E-2</v>
          </cell>
        </row>
      </sheetData>
      <sheetData sheetId="7479">
        <row r="1">
          <cell r="J1">
            <v>1.7453292519943295E-2</v>
          </cell>
        </row>
      </sheetData>
      <sheetData sheetId="7480">
        <row r="1">
          <cell r="J1">
            <v>1.7453292519943295E-2</v>
          </cell>
        </row>
      </sheetData>
      <sheetData sheetId="7481">
        <row r="1">
          <cell r="J1">
            <v>1.7453292519943295E-2</v>
          </cell>
        </row>
      </sheetData>
      <sheetData sheetId="7482">
        <row r="1">
          <cell r="J1">
            <v>1.7453292519943295E-2</v>
          </cell>
        </row>
      </sheetData>
      <sheetData sheetId="7483">
        <row r="1">
          <cell r="J1">
            <v>1.7453292519943295E-2</v>
          </cell>
        </row>
      </sheetData>
      <sheetData sheetId="7484">
        <row r="1">
          <cell r="J1">
            <v>1.7453292519943295E-2</v>
          </cell>
        </row>
      </sheetData>
      <sheetData sheetId="7485">
        <row r="1">
          <cell r="J1">
            <v>1.7453292519943295E-2</v>
          </cell>
        </row>
      </sheetData>
      <sheetData sheetId="7486">
        <row r="1">
          <cell r="J1">
            <v>1.7453292519943295E-2</v>
          </cell>
        </row>
      </sheetData>
      <sheetData sheetId="7487">
        <row r="1">
          <cell r="J1">
            <v>1.7453292519943295E-2</v>
          </cell>
        </row>
      </sheetData>
      <sheetData sheetId="7488">
        <row r="1">
          <cell r="J1">
            <v>1.7453292519943295E-2</v>
          </cell>
        </row>
      </sheetData>
      <sheetData sheetId="7489">
        <row r="1">
          <cell r="J1">
            <v>1.7453292519943295E-2</v>
          </cell>
        </row>
      </sheetData>
      <sheetData sheetId="7490">
        <row r="1">
          <cell r="J1">
            <v>1.7453292519943295E-2</v>
          </cell>
        </row>
      </sheetData>
      <sheetData sheetId="7491">
        <row r="1">
          <cell r="J1">
            <v>1.7453292519943295E-2</v>
          </cell>
        </row>
      </sheetData>
      <sheetData sheetId="7492">
        <row r="1">
          <cell r="J1">
            <v>1.7453292519943295E-2</v>
          </cell>
        </row>
      </sheetData>
      <sheetData sheetId="7493">
        <row r="1">
          <cell r="J1">
            <v>1.7453292519943295E-2</v>
          </cell>
        </row>
      </sheetData>
      <sheetData sheetId="7494">
        <row r="1">
          <cell r="J1">
            <v>1.7453292519943295E-2</v>
          </cell>
        </row>
      </sheetData>
      <sheetData sheetId="7495">
        <row r="1">
          <cell r="J1">
            <v>1.7453292519943295E-2</v>
          </cell>
        </row>
      </sheetData>
      <sheetData sheetId="7496">
        <row r="1">
          <cell r="J1">
            <v>1.7453292519943295E-2</v>
          </cell>
        </row>
      </sheetData>
      <sheetData sheetId="7497">
        <row r="1">
          <cell r="J1">
            <v>1.7453292519943295E-2</v>
          </cell>
        </row>
      </sheetData>
      <sheetData sheetId="7498">
        <row r="1">
          <cell r="J1">
            <v>1.7453292519943295E-2</v>
          </cell>
        </row>
      </sheetData>
      <sheetData sheetId="7499">
        <row r="1">
          <cell r="J1">
            <v>1.7453292519943295E-2</v>
          </cell>
        </row>
      </sheetData>
      <sheetData sheetId="7500">
        <row r="1">
          <cell r="J1">
            <v>1.7453292519943295E-2</v>
          </cell>
        </row>
      </sheetData>
      <sheetData sheetId="7501">
        <row r="1">
          <cell r="J1">
            <v>1.7453292519943295E-2</v>
          </cell>
        </row>
      </sheetData>
      <sheetData sheetId="7502">
        <row r="1">
          <cell r="J1">
            <v>1.7453292519943295E-2</v>
          </cell>
        </row>
      </sheetData>
      <sheetData sheetId="7503">
        <row r="1">
          <cell r="J1">
            <v>1.7453292519943295E-2</v>
          </cell>
        </row>
      </sheetData>
      <sheetData sheetId="7504">
        <row r="1">
          <cell r="J1">
            <v>1.7453292519943295E-2</v>
          </cell>
        </row>
      </sheetData>
      <sheetData sheetId="7505">
        <row r="1">
          <cell r="J1">
            <v>1.7453292519943295E-2</v>
          </cell>
        </row>
      </sheetData>
      <sheetData sheetId="7506">
        <row r="1">
          <cell r="J1">
            <v>1.7453292519943295E-2</v>
          </cell>
        </row>
      </sheetData>
      <sheetData sheetId="7507">
        <row r="1">
          <cell r="J1">
            <v>1.7453292519943295E-2</v>
          </cell>
        </row>
      </sheetData>
      <sheetData sheetId="7508">
        <row r="1">
          <cell r="J1">
            <v>1.7453292519943295E-2</v>
          </cell>
        </row>
      </sheetData>
      <sheetData sheetId="7509">
        <row r="1">
          <cell r="J1">
            <v>1.7453292519943295E-2</v>
          </cell>
        </row>
      </sheetData>
      <sheetData sheetId="7510">
        <row r="1">
          <cell r="J1">
            <v>1.7453292519943295E-2</v>
          </cell>
        </row>
      </sheetData>
      <sheetData sheetId="7511">
        <row r="1">
          <cell r="J1">
            <v>1.7453292519943295E-2</v>
          </cell>
        </row>
      </sheetData>
      <sheetData sheetId="7512">
        <row r="1">
          <cell r="J1">
            <v>1.7453292519943295E-2</v>
          </cell>
        </row>
      </sheetData>
      <sheetData sheetId="7513">
        <row r="1">
          <cell r="J1">
            <v>1.7453292519943295E-2</v>
          </cell>
        </row>
      </sheetData>
      <sheetData sheetId="7514">
        <row r="1">
          <cell r="J1">
            <v>1.7453292519943295E-2</v>
          </cell>
        </row>
      </sheetData>
      <sheetData sheetId="7515">
        <row r="1">
          <cell r="J1">
            <v>1.7453292519943295E-2</v>
          </cell>
        </row>
      </sheetData>
      <sheetData sheetId="7516">
        <row r="1">
          <cell r="J1">
            <v>1.7453292519943295E-2</v>
          </cell>
        </row>
      </sheetData>
      <sheetData sheetId="7517">
        <row r="1">
          <cell r="J1">
            <v>1.7453292519943295E-2</v>
          </cell>
        </row>
      </sheetData>
      <sheetData sheetId="7518">
        <row r="1">
          <cell r="J1">
            <v>1.7453292519943295E-2</v>
          </cell>
        </row>
      </sheetData>
      <sheetData sheetId="7519">
        <row r="1">
          <cell r="J1">
            <v>1.7453292519943295E-2</v>
          </cell>
        </row>
      </sheetData>
      <sheetData sheetId="7520">
        <row r="1">
          <cell r="J1">
            <v>1.7453292519943295E-2</v>
          </cell>
        </row>
      </sheetData>
      <sheetData sheetId="7521">
        <row r="1">
          <cell r="J1">
            <v>1.7453292519943295E-2</v>
          </cell>
        </row>
      </sheetData>
      <sheetData sheetId="7522">
        <row r="1">
          <cell r="J1">
            <v>1.7453292519943295E-2</v>
          </cell>
        </row>
      </sheetData>
      <sheetData sheetId="7523">
        <row r="1">
          <cell r="J1">
            <v>1.7453292519943295E-2</v>
          </cell>
        </row>
      </sheetData>
      <sheetData sheetId="7524">
        <row r="1">
          <cell r="J1">
            <v>1.7453292519943295E-2</v>
          </cell>
        </row>
      </sheetData>
      <sheetData sheetId="7525">
        <row r="1">
          <cell r="J1">
            <v>1.7453292519943295E-2</v>
          </cell>
        </row>
      </sheetData>
      <sheetData sheetId="7526">
        <row r="1">
          <cell r="J1">
            <v>1.7453292519943295E-2</v>
          </cell>
        </row>
      </sheetData>
      <sheetData sheetId="7527">
        <row r="1">
          <cell r="J1">
            <v>1.7453292519943295E-2</v>
          </cell>
        </row>
      </sheetData>
      <sheetData sheetId="7528">
        <row r="1">
          <cell r="J1">
            <v>1.7453292519943295E-2</v>
          </cell>
        </row>
      </sheetData>
      <sheetData sheetId="7529">
        <row r="1">
          <cell r="J1">
            <v>1.7453292519943295E-2</v>
          </cell>
        </row>
      </sheetData>
      <sheetData sheetId="7530">
        <row r="1">
          <cell r="J1">
            <v>1.7453292519943295E-2</v>
          </cell>
        </row>
      </sheetData>
      <sheetData sheetId="7531">
        <row r="1">
          <cell r="J1">
            <v>1.7453292519943295E-2</v>
          </cell>
        </row>
      </sheetData>
      <sheetData sheetId="7532">
        <row r="1">
          <cell r="J1">
            <v>1.7453292519943295E-2</v>
          </cell>
        </row>
      </sheetData>
      <sheetData sheetId="7533">
        <row r="1">
          <cell r="J1">
            <v>1.7453292519943295E-2</v>
          </cell>
        </row>
      </sheetData>
      <sheetData sheetId="7534">
        <row r="1">
          <cell r="J1">
            <v>1.7453292519943295E-2</v>
          </cell>
        </row>
      </sheetData>
      <sheetData sheetId="7535">
        <row r="1">
          <cell r="J1">
            <v>1.7453292519943295E-2</v>
          </cell>
        </row>
      </sheetData>
      <sheetData sheetId="7536">
        <row r="1">
          <cell r="J1">
            <v>1.7453292519943295E-2</v>
          </cell>
        </row>
      </sheetData>
      <sheetData sheetId="7537">
        <row r="1">
          <cell r="J1">
            <v>1.7453292519943295E-2</v>
          </cell>
        </row>
      </sheetData>
      <sheetData sheetId="7538">
        <row r="1">
          <cell r="J1">
            <v>1.7453292519943295E-2</v>
          </cell>
        </row>
      </sheetData>
      <sheetData sheetId="7539">
        <row r="1">
          <cell r="J1">
            <v>1.7453292519943295E-2</v>
          </cell>
        </row>
      </sheetData>
      <sheetData sheetId="7540">
        <row r="1">
          <cell r="J1">
            <v>1.7453292519943295E-2</v>
          </cell>
        </row>
      </sheetData>
      <sheetData sheetId="7541">
        <row r="1">
          <cell r="J1">
            <v>1.7453292519943295E-2</v>
          </cell>
        </row>
      </sheetData>
      <sheetData sheetId="7542">
        <row r="1">
          <cell r="J1">
            <v>1.7453292519943295E-2</v>
          </cell>
        </row>
      </sheetData>
      <sheetData sheetId="7543">
        <row r="1">
          <cell r="J1">
            <v>1.7453292519943295E-2</v>
          </cell>
        </row>
      </sheetData>
      <sheetData sheetId="7544">
        <row r="1">
          <cell r="J1">
            <v>1.7453292519943295E-2</v>
          </cell>
        </row>
      </sheetData>
      <sheetData sheetId="7545">
        <row r="1">
          <cell r="J1">
            <v>1.7453292519943295E-2</v>
          </cell>
        </row>
      </sheetData>
      <sheetData sheetId="7546">
        <row r="1">
          <cell r="J1">
            <v>1.7453292519943295E-2</v>
          </cell>
        </row>
      </sheetData>
      <sheetData sheetId="7547">
        <row r="1">
          <cell r="J1">
            <v>1.7453292519943295E-2</v>
          </cell>
        </row>
      </sheetData>
      <sheetData sheetId="7548">
        <row r="1">
          <cell r="J1">
            <v>1.7453292519943295E-2</v>
          </cell>
        </row>
      </sheetData>
      <sheetData sheetId="7549">
        <row r="1">
          <cell r="J1">
            <v>1.7453292519943295E-2</v>
          </cell>
        </row>
      </sheetData>
      <sheetData sheetId="7550">
        <row r="1">
          <cell r="J1">
            <v>1.7453292519943295E-2</v>
          </cell>
        </row>
      </sheetData>
      <sheetData sheetId="7551">
        <row r="1">
          <cell r="J1">
            <v>1.7453292519943295E-2</v>
          </cell>
        </row>
      </sheetData>
      <sheetData sheetId="7552">
        <row r="1">
          <cell r="J1">
            <v>1.7453292519943295E-2</v>
          </cell>
        </row>
      </sheetData>
      <sheetData sheetId="7553">
        <row r="1">
          <cell r="J1">
            <v>1.7453292519943295E-2</v>
          </cell>
        </row>
      </sheetData>
      <sheetData sheetId="7554">
        <row r="1">
          <cell r="J1">
            <v>1.7453292519943295E-2</v>
          </cell>
        </row>
      </sheetData>
      <sheetData sheetId="755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55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557">
        <row r="1">
          <cell r="J1">
            <v>1.7453292519943295E-2</v>
          </cell>
        </row>
      </sheetData>
      <sheetData sheetId="7558">
        <row r="1">
          <cell r="J1">
            <v>1.7453292519943295E-2</v>
          </cell>
        </row>
      </sheetData>
      <sheetData sheetId="7559">
        <row r="1">
          <cell r="J1">
            <v>1.7453292519943295E-2</v>
          </cell>
        </row>
      </sheetData>
      <sheetData sheetId="7560">
        <row r="1">
          <cell r="J1">
            <v>1.7453292519943295E-2</v>
          </cell>
        </row>
      </sheetData>
      <sheetData sheetId="7561">
        <row r="1">
          <cell r="J1">
            <v>1.7453292519943295E-2</v>
          </cell>
        </row>
      </sheetData>
      <sheetData sheetId="7562">
        <row r="1">
          <cell r="J1">
            <v>1.7453292519943295E-2</v>
          </cell>
        </row>
      </sheetData>
      <sheetData sheetId="7563">
        <row r="1">
          <cell r="J1">
            <v>1.7453292519943295E-2</v>
          </cell>
        </row>
      </sheetData>
      <sheetData sheetId="7564">
        <row r="1">
          <cell r="J1">
            <v>1.7453292519943295E-2</v>
          </cell>
        </row>
      </sheetData>
      <sheetData sheetId="7565">
        <row r="1">
          <cell r="J1">
            <v>1.7453292519943295E-2</v>
          </cell>
        </row>
      </sheetData>
      <sheetData sheetId="7566">
        <row r="1">
          <cell r="J1">
            <v>1.7453292519943295E-2</v>
          </cell>
        </row>
      </sheetData>
      <sheetData sheetId="7567">
        <row r="1">
          <cell r="J1">
            <v>1.7453292519943295E-2</v>
          </cell>
        </row>
      </sheetData>
      <sheetData sheetId="7568">
        <row r="1">
          <cell r="J1">
            <v>1.7453292519943295E-2</v>
          </cell>
        </row>
      </sheetData>
      <sheetData sheetId="7569">
        <row r="1">
          <cell r="J1">
            <v>1.7453292519943295E-2</v>
          </cell>
        </row>
      </sheetData>
      <sheetData sheetId="7570">
        <row r="1">
          <cell r="J1">
            <v>1.7453292519943295E-2</v>
          </cell>
        </row>
      </sheetData>
      <sheetData sheetId="7571">
        <row r="1">
          <cell r="J1">
            <v>1.7453292519943295E-2</v>
          </cell>
        </row>
      </sheetData>
      <sheetData sheetId="7572">
        <row r="1">
          <cell r="J1">
            <v>1.7453292519943295E-2</v>
          </cell>
        </row>
      </sheetData>
      <sheetData sheetId="7573">
        <row r="1">
          <cell r="J1">
            <v>1.7453292519943295E-2</v>
          </cell>
        </row>
      </sheetData>
      <sheetData sheetId="7574">
        <row r="1">
          <cell r="J1">
            <v>1.7453292519943295E-2</v>
          </cell>
        </row>
      </sheetData>
      <sheetData sheetId="7575">
        <row r="1">
          <cell r="J1">
            <v>1.7453292519943295E-2</v>
          </cell>
        </row>
      </sheetData>
      <sheetData sheetId="7576">
        <row r="1">
          <cell r="J1">
            <v>1.7453292519943295E-2</v>
          </cell>
        </row>
      </sheetData>
      <sheetData sheetId="7577">
        <row r="1">
          <cell r="J1">
            <v>1.7453292519943295E-2</v>
          </cell>
        </row>
      </sheetData>
      <sheetData sheetId="7578">
        <row r="1">
          <cell r="J1">
            <v>1.7453292519943295E-2</v>
          </cell>
        </row>
      </sheetData>
      <sheetData sheetId="7579">
        <row r="1">
          <cell r="J1">
            <v>1.7453292519943295E-2</v>
          </cell>
        </row>
      </sheetData>
      <sheetData sheetId="7580">
        <row r="1">
          <cell r="J1">
            <v>1.7453292519943295E-2</v>
          </cell>
        </row>
      </sheetData>
      <sheetData sheetId="7581">
        <row r="1">
          <cell r="J1">
            <v>1.7453292519943295E-2</v>
          </cell>
        </row>
      </sheetData>
      <sheetData sheetId="7582">
        <row r="1">
          <cell r="J1">
            <v>1.7453292519943295E-2</v>
          </cell>
        </row>
      </sheetData>
      <sheetData sheetId="7583">
        <row r="1">
          <cell r="J1">
            <v>1.7453292519943295E-2</v>
          </cell>
        </row>
      </sheetData>
      <sheetData sheetId="7584">
        <row r="1">
          <cell r="J1">
            <v>1.7453292519943295E-2</v>
          </cell>
        </row>
      </sheetData>
      <sheetData sheetId="7585">
        <row r="1">
          <cell r="J1">
            <v>1.7453292519943295E-2</v>
          </cell>
        </row>
      </sheetData>
      <sheetData sheetId="7586">
        <row r="1">
          <cell r="J1">
            <v>1.7453292519943295E-2</v>
          </cell>
        </row>
      </sheetData>
      <sheetData sheetId="7587">
        <row r="1">
          <cell r="J1">
            <v>1.7453292519943295E-2</v>
          </cell>
        </row>
      </sheetData>
      <sheetData sheetId="7588">
        <row r="1">
          <cell r="J1">
            <v>1.7453292519943295E-2</v>
          </cell>
        </row>
      </sheetData>
      <sheetData sheetId="7589">
        <row r="1">
          <cell r="J1">
            <v>1.7453292519943295E-2</v>
          </cell>
        </row>
      </sheetData>
      <sheetData sheetId="7590">
        <row r="1">
          <cell r="J1">
            <v>1.7453292519943295E-2</v>
          </cell>
        </row>
      </sheetData>
      <sheetData sheetId="7591">
        <row r="1">
          <cell r="J1">
            <v>1.7453292519943295E-2</v>
          </cell>
        </row>
      </sheetData>
      <sheetData sheetId="7592">
        <row r="1">
          <cell r="J1">
            <v>1.7453292519943295E-2</v>
          </cell>
        </row>
      </sheetData>
      <sheetData sheetId="7593">
        <row r="1">
          <cell r="J1">
            <v>1.7453292519943295E-2</v>
          </cell>
        </row>
      </sheetData>
      <sheetData sheetId="7594">
        <row r="1">
          <cell r="J1">
            <v>1.7453292519943295E-2</v>
          </cell>
        </row>
      </sheetData>
      <sheetData sheetId="7595">
        <row r="1">
          <cell r="J1">
            <v>1.7453292519943295E-2</v>
          </cell>
        </row>
      </sheetData>
      <sheetData sheetId="7596">
        <row r="1">
          <cell r="J1">
            <v>1.7453292519943295E-2</v>
          </cell>
        </row>
      </sheetData>
      <sheetData sheetId="7597">
        <row r="1">
          <cell r="J1">
            <v>1.7453292519943295E-2</v>
          </cell>
        </row>
      </sheetData>
      <sheetData sheetId="7598">
        <row r="1">
          <cell r="J1">
            <v>1.7453292519943295E-2</v>
          </cell>
        </row>
      </sheetData>
      <sheetData sheetId="7599">
        <row r="1">
          <cell r="J1">
            <v>1.7453292519943295E-2</v>
          </cell>
        </row>
      </sheetData>
      <sheetData sheetId="7600">
        <row r="1">
          <cell r="J1">
            <v>1.7453292519943295E-2</v>
          </cell>
        </row>
      </sheetData>
      <sheetData sheetId="7601">
        <row r="1">
          <cell r="J1">
            <v>1.7453292519943295E-2</v>
          </cell>
        </row>
      </sheetData>
      <sheetData sheetId="7602">
        <row r="1">
          <cell r="J1">
            <v>1.7453292519943295E-2</v>
          </cell>
        </row>
      </sheetData>
      <sheetData sheetId="7603">
        <row r="1">
          <cell r="J1">
            <v>1.7453292519943295E-2</v>
          </cell>
        </row>
      </sheetData>
      <sheetData sheetId="7604">
        <row r="1">
          <cell r="J1">
            <v>1.7453292519943295E-2</v>
          </cell>
        </row>
      </sheetData>
      <sheetData sheetId="7605">
        <row r="1">
          <cell r="J1">
            <v>1.7453292519943295E-2</v>
          </cell>
        </row>
      </sheetData>
      <sheetData sheetId="7606">
        <row r="1">
          <cell r="J1">
            <v>1.7453292519943295E-2</v>
          </cell>
        </row>
      </sheetData>
      <sheetData sheetId="7607">
        <row r="1">
          <cell r="J1">
            <v>1.7453292519943295E-2</v>
          </cell>
        </row>
      </sheetData>
      <sheetData sheetId="7608">
        <row r="1">
          <cell r="J1">
            <v>1.7453292519943295E-2</v>
          </cell>
        </row>
      </sheetData>
      <sheetData sheetId="7609">
        <row r="1">
          <cell r="J1">
            <v>1.7453292519943295E-2</v>
          </cell>
        </row>
      </sheetData>
      <sheetData sheetId="7610">
        <row r="1">
          <cell r="J1">
            <v>1.7453292519943295E-2</v>
          </cell>
        </row>
      </sheetData>
      <sheetData sheetId="7611">
        <row r="1">
          <cell r="J1">
            <v>1.7453292519943295E-2</v>
          </cell>
        </row>
      </sheetData>
      <sheetData sheetId="7612">
        <row r="1">
          <cell r="J1">
            <v>1.7453292519943295E-2</v>
          </cell>
        </row>
      </sheetData>
      <sheetData sheetId="7613">
        <row r="1">
          <cell r="J1">
            <v>1.7453292519943295E-2</v>
          </cell>
        </row>
      </sheetData>
      <sheetData sheetId="7614">
        <row r="1">
          <cell r="J1">
            <v>1.7453292519943295E-2</v>
          </cell>
        </row>
      </sheetData>
      <sheetData sheetId="7615">
        <row r="1">
          <cell r="J1">
            <v>1.7453292519943295E-2</v>
          </cell>
        </row>
      </sheetData>
      <sheetData sheetId="7616">
        <row r="1">
          <cell r="J1">
            <v>1.7453292519943295E-2</v>
          </cell>
        </row>
      </sheetData>
      <sheetData sheetId="7617">
        <row r="1">
          <cell r="J1">
            <v>1.7453292519943295E-2</v>
          </cell>
        </row>
      </sheetData>
      <sheetData sheetId="7618">
        <row r="1">
          <cell r="J1">
            <v>1.7453292519943295E-2</v>
          </cell>
        </row>
      </sheetData>
      <sheetData sheetId="7619">
        <row r="1">
          <cell r="J1">
            <v>1.7453292519943295E-2</v>
          </cell>
        </row>
      </sheetData>
      <sheetData sheetId="7620">
        <row r="1">
          <cell r="J1">
            <v>1.7453292519943295E-2</v>
          </cell>
        </row>
      </sheetData>
      <sheetData sheetId="7621">
        <row r="1">
          <cell r="J1">
            <v>1.7453292519943295E-2</v>
          </cell>
        </row>
      </sheetData>
      <sheetData sheetId="7622">
        <row r="1">
          <cell r="J1">
            <v>1.7453292519943295E-2</v>
          </cell>
        </row>
      </sheetData>
      <sheetData sheetId="762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24">
        <row r="1">
          <cell r="J1">
            <v>1.7453292519943295E-2</v>
          </cell>
        </row>
      </sheetData>
      <sheetData sheetId="7625">
        <row r="1">
          <cell r="J1">
            <v>1.7453292519943295E-2</v>
          </cell>
        </row>
      </sheetData>
      <sheetData sheetId="762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27">
        <row r="1">
          <cell r="J1">
            <v>1.7453292519943295E-2</v>
          </cell>
        </row>
      </sheetData>
      <sheetData sheetId="7628">
        <row r="1">
          <cell r="J1">
            <v>1.7453292519943295E-2</v>
          </cell>
        </row>
      </sheetData>
      <sheetData sheetId="762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3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31"/>
      <sheetData sheetId="7632">
        <row r="1">
          <cell r="J1">
            <v>1.7453292519943295E-2</v>
          </cell>
        </row>
      </sheetData>
      <sheetData sheetId="763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34"/>
      <sheetData sheetId="7635">
        <row r="1">
          <cell r="J1">
            <v>1.7453292519943295E-2</v>
          </cell>
        </row>
      </sheetData>
      <sheetData sheetId="763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37"/>
      <sheetData sheetId="7638"/>
      <sheetData sheetId="7639"/>
      <sheetData sheetId="764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41"/>
      <sheetData sheetId="764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4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44"/>
      <sheetData sheetId="7645"/>
      <sheetData sheetId="764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47">
        <row r="1">
          <cell r="J1">
            <v>1.7453292519943295E-2</v>
          </cell>
        </row>
      </sheetData>
      <sheetData sheetId="7648"/>
      <sheetData sheetId="764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50">
        <row r="1">
          <cell r="J1">
            <v>1.7453292519943295E-2</v>
          </cell>
        </row>
      </sheetData>
      <sheetData sheetId="7651"/>
      <sheetData sheetId="7652"/>
      <sheetData sheetId="7653">
        <row r="1">
          <cell r="J1">
            <v>1.7453292519943295E-2</v>
          </cell>
        </row>
      </sheetData>
      <sheetData sheetId="7654"/>
      <sheetData sheetId="7655"/>
      <sheetData sheetId="7656">
        <row r="1">
          <cell r="J1">
            <v>1.7453292519943295E-2</v>
          </cell>
        </row>
      </sheetData>
      <sheetData sheetId="7657"/>
      <sheetData sheetId="7658"/>
      <sheetData sheetId="765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60"/>
      <sheetData sheetId="7661"/>
      <sheetData sheetId="7662"/>
      <sheetData sheetId="766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64"/>
      <sheetData sheetId="7665"/>
      <sheetData sheetId="766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67"/>
      <sheetData sheetId="7668"/>
      <sheetData sheetId="766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70"/>
      <sheetData sheetId="7671"/>
      <sheetData sheetId="767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73"/>
      <sheetData sheetId="7674"/>
      <sheetData sheetId="7675"/>
      <sheetData sheetId="767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77"/>
      <sheetData sheetId="7678"/>
      <sheetData sheetId="767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80"/>
      <sheetData sheetId="7681"/>
      <sheetData sheetId="768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83"/>
      <sheetData sheetId="7684"/>
      <sheetData sheetId="768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86"/>
      <sheetData sheetId="7687"/>
      <sheetData sheetId="7688"/>
      <sheetData sheetId="768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90"/>
      <sheetData sheetId="7691"/>
      <sheetData sheetId="769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93"/>
      <sheetData sheetId="7694"/>
      <sheetData sheetId="769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96"/>
      <sheetData sheetId="7697"/>
      <sheetData sheetId="769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69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00"/>
      <sheetData sheetId="7701">
        <row r="1">
          <cell r="J1">
            <v>1.7453292519943295E-2</v>
          </cell>
        </row>
      </sheetData>
      <sheetData sheetId="770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03"/>
      <sheetData sheetId="7704"/>
      <sheetData sheetId="770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06"/>
      <sheetData sheetId="7707"/>
      <sheetData sheetId="770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09"/>
      <sheetData sheetId="7710"/>
      <sheetData sheetId="771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1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13"/>
      <sheetData sheetId="771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1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16"/>
      <sheetData sheetId="7717"/>
      <sheetData sheetId="771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19"/>
      <sheetData sheetId="772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2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2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23"/>
      <sheetData sheetId="7724"/>
      <sheetData sheetId="772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26"/>
      <sheetData sheetId="7727"/>
      <sheetData sheetId="772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2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30"/>
      <sheetData sheetId="773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32"/>
      <sheetData sheetId="7733"/>
      <sheetData sheetId="773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3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36"/>
      <sheetData sheetId="7737"/>
      <sheetData sheetId="773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39"/>
      <sheetData sheetId="7740"/>
      <sheetData sheetId="774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42"/>
      <sheetData sheetId="7743"/>
      <sheetData sheetId="774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4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46"/>
      <sheetData sheetId="774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48"/>
      <sheetData sheetId="7749"/>
      <sheetData sheetId="7750"/>
      <sheetData sheetId="775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52"/>
      <sheetData sheetId="7753"/>
      <sheetData sheetId="775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5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56"/>
      <sheetData sheetId="775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58"/>
      <sheetData sheetId="7759"/>
      <sheetData sheetId="776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6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62"/>
      <sheetData sheetId="7763"/>
      <sheetData sheetId="776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65"/>
      <sheetData sheetId="7766"/>
      <sheetData sheetId="776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6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69"/>
      <sheetData sheetId="777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7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72"/>
      <sheetData sheetId="777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74">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75"/>
      <sheetData sheetId="7776"/>
      <sheetData sheetId="777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78"/>
      <sheetData sheetId="7779"/>
      <sheetData sheetId="778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81"/>
      <sheetData sheetId="7782"/>
      <sheetData sheetId="778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84"/>
      <sheetData sheetId="7785"/>
      <sheetData sheetId="7786"/>
      <sheetData sheetId="778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8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89"/>
      <sheetData sheetId="779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91">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92"/>
      <sheetData sheetId="779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94"/>
      <sheetData sheetId="7795"/>
      <sheetData sheetId="779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797"/>
      <sheetData sheetId="7798"/>
      <sheetData sheetId="7799"/>
      <sheetData sheetId="780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01"/>
      <sheetData sheetId="7802"/>
      <sheetData sheetId="780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04"/>
      <sheetData sheetId="7805"/>
      <sheetData sheetId="780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07">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0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0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1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11"/>
      <sheetData sheetId="7812"/>
      <sheetData sheetId="781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14">
        <row r="1">
          <cell r="J1">
            <v>1.7453292519943295E-2</v>
          </cell>
        </row>
      </sheetData>
      <sheetData sheetId="7815">
        <row r="1">
          <cell r="J1">
            <v>1.7453292519943295E-2</v>
          </cell>
        </row>
      </sheetData>
      <sheetData sheetId="7816">
        <row r="1">
          <cell r="J1">
            <v>1.7453292519943295E-2</v>
          </cell>
        </row>
      </sheetData>
      <sheetData sheetId="7817">
        <row r="1">
          <cell r="J1">
            <v>1.7453292519943295E-2</v>
          </cell>
        </row>
      </sheetData>
      <sheetData sheetId="7818">
        <row r="1">
          <cell r="J1">
            <v>1.7453292519943295E-2</v>
          </cell>
        </row>
      </sheetData>
      <sheetData sheetId="7819">
        <row r="1">
          <cell r="J1">
            <v>1.7453292519943295E-2</v>
          </cell>
        </row>
      </sheetData>
      <sheetData sheetId="7820">
        <row r="1">
          <cell r="J1">
            <v>1.7453292519943295E-2</v>
          </cell>
        </row>
      </sheetData>
      <sheetData sheetId="7821">
        <row r="1">
          <cell r="J1">
            <v>1.7453292519943295E-2</v>
          </cell>
        </row>
      </sheetData>
      <sheetData sheetId="7822">
        <row r="1">
          <cell r="J1">
            <v>1.7453292519943295E-2</v>
          </cell>
        </row>
      </sheetData>
      <sheetData sheetId="7823">
        <row r="1">
          <cell r="J1">
            <v>1.7453292519943295E-2</v>
          </cell>
        </row>
      </sheetData>
      <sheetData sheetId="7824">
        <row r="1">
          <cell r="J1">
            <v>1.7453292519943295E-2</v>
          </cell>
        </row>
      </sheetData>
      <sheetData sheetId="7825">
        <row r="1">
          <cell r="J1">
            <v>1.7453292519943295E-2</v>
          </cell>
        </row>
      </sheetData>
      <sheetData sheetId="7826">
        <row r="1">
          <cell r="J1">
            <v>1.7453292519943295E-2</v>
          </cell>
        </row>
      </sheetData>
      <sheetData sheetId="7827"/>
      <sheetData sheetId="7828"/>
      <sheetData sheetId="7829">
        <row r="1">
          <cell r="J1">
            <v>1.7453292519943295E-2</v>
          </cell>
        </row>
      </sheetData>
      <sheetData sheetId="7830">
        <row r="1">
          <cell r="J1">
            <v>1.7453292519943295E-2</v>
          </cell>
        </row>
      </sheetData>
      <sheetData sheetId="7831">
        <row r="1">
          <cell r="J1">
            <v>1.7453292519943295E-2</v>
          </cell>
        </row>
      </sheetData>
      <sheetData sheetId="7832">
        <row r="1">
          <cell r="J1">
            <v>1.7453292519943295E-2</v>
          </cell>
        </row>
      </sheetData>
      <sheetData sheetId="7833">
        <row r="1">
          <cell r="J1">
            <v>1.7453292519943295E-2</v>
          </cell>
        </row>
      </sheetData>
      <sheetData sheetId="7834">
        <row r="1">
          <cell r="J1">
            <v>1.7453292519943295E-2</v>
          </cell>
        </row>
      </sheetData>
      <sheetData sheetId="7835">
        <row r="1">
          <cell r="J1">
            <v>1.7453292519943295E-2</v>
          </cell>
        </row>
      </sheetData>
      <sheetData sheetId="7836">
        <row r="1">
          <cell r="J1">
            <v>1.7453292519943295E-2</v>
          </cell>
        </row>
      </sheetData>
      <sheetData sheetId="7837"/>
      <sheetData sheetId="7838"/>
      <sheetData sheetId="783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40">
        <row r="1">
          <cell r="J1">
            <v>1.7453292519943295E-2</v>
          </cell>
        </row>
      </sheetData>
      <sheetData sheetId="7841"/>
      <sheetData sheetId="7842"/>
      <sheetData sheetId="7843">
        <row r="1">
          <cell r="J1">
            <v>1.7453292519943295E-2</v>
          </cell>
        </row>
      </sheetData>
      <sheetData sheetId="7844"/>
      <sheetData sheetId="784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46"/>
      <sheetData sheetId="7847"/>
      <sheetData sheetId="7848"/>
      <sheetData sheetId="7849"/>
      <sheetData sheetId="7850"/>
      <sheetData sheetId="7851"/>
      <sheetData sheetId="785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53"/>
      <sheetData sheetId="7854"/>
      <sheetData sheetId="7855"/>
      <sheetData sheetId="7856"/>
      <sheetData sheetId="7857"/>
      <sheetData sheetId="785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59"/>
      <sheetData sheetId="7860"/>
      <sheetData sheetId="7861"/>
      <sheetData sheetId="7862">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63"/>
      <sheetData sheetId="7864"/>
      <sheetData sheetId="786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81"/>
      <sheetData sheetId="7882"/>
      <sheetData sheetId="7883"/>
      <sheetData sheetId="7884"/>
      <sheetData sheetId="7885"/>
      <sheetData sheetId="7886">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7887"/>
      <sheetData sheetId="7888"/>
      <sheetData sheetId="7889"/>
      <sheetData sheetId="7890"/>
      <sheetData sheetId="7891"/>
      <sheetData sheetId="7892"/>
      <sheetData sheetId="7893"/>
      <sheetData sheetId="7894"/>
      <sheetData sheetId="7895"/>
      <sheetData sheetId="7896"/>
      <sheetData sheetId="7897"/>
      <sheetData sheetId="7898">
        <row r="1">
          <cell r="J1">
            <v>1.7453292519943295E-2</v>
          </cell>
        </row>
      </sheetData>
      <sheetData sheetId="7899"/>
      <sheetData sheetId="7900"/>
      <sheetData sheetId="7901">
        <row r="1">
          <cell r="J1">
            <v>1.7453292519943295E-2</v>
          </cell>
        </row>
      </sheetData>
      <sheetData sheetId="7902"/>
      <sheetData sheetId="7903">
        <row r="1">
          <cell r="J1">
            <v>1.7453292519943295E-2</v>
          </cell>
        </row>
      </sheetData>
      <sheetData sheetId="7904">
        <row r="1">
          <cell r="J1">
            <v>1.7453292519943295E-2</v>
          </cell>
        </row>
      </sheetData>
      <sheetData sheetId="7905"/>
      <sheetData sheetId="7906">
        <row r="1">
          <cell r="J1">
            <v>1.7453292519943295E-2</v>
          </cell>
        </row>
      </sheetData>
      <sheetData sheetId="7907">
        <row r="1">
          <cell r="J1">
            <v>1.7453292519943295E-2</v>
          </cell>
        </row>
      </sheetData>
      <sheetData sheetId="7908"/>
      <sheetData sheetId="7909">
        <row r="1">
          <cell r="J1">
            <v>1.7453292519943295E-2</v>
          </cell>
        </row>
      </sheetData>
      <sheetData sheetId="7910"/>
      <sheetData sheetId="7911"/>
      <sheetData sheetId="7912"/>
      <sheetData sheetId="7913">
        <row r="1">
          <cell r="J1">
            <v>1.7453292519943295E-2</v>
          </cell>
        </row>
      </sheetData>
      <sheetData sheetId="7914"/>
      <sheetData sheetId="7915">
        <row r="1">
          <cell r="J1">
            <v>1.7453292519943295E-2</v>
          </cell>
        </row>
      </sheetData>
      <sheetData sheetId="7916">
        <row r="1">
          <cell r="J1">
            <v>1.7453292519943295E-2</v>
          </cell>
        </row>
      </sheetData>
      <sheetData sheetId="7917">
        <row r="1">
          <cell r="J1">
            <v>1.7453292519943295E-2</v>
          </cell>
        </row>
      </sheetData>
      <sheetData sheetId="7918">
        <row r="1">
          <cell r="J1">
            <v>1.7453292519943295E-2</v>
          </cell>
        </row>
      </sheetData>
      <sheetData sheetId="7919">
        <row r="1">
          <cell r="J1">
            <v>1.7453292519943295E-2</v>
          </cell>
        </row>
      </sheetData>
      <sheetData sheetId="7920"/>
      <sheetData sheetId="7921">
        <row r="1">
          <cell r="J1">
            <v>1.7453292519943295E-2</v>
          </cell>
        </row>
      </sheetData>
      <sheetData sheetId="7922">
        <row r="1">
          <cell r="J1">
            <v>1.7453292519943295E-2</v>
          </cell>
        </row>
      </sheetData>
      <sheetData sheetId="7923">
        <row r="1">
          <cell r="J1">
            <v>1.7453292519943295E-2</v>
          </cell>
        </row>
      </sheetData>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ow r="1">
          <cell r="J1">
            <v>1.7453292519943295E-2</v>
          </cell>
        </row>
      </sheetData>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row r="1">
          <cell r="J1">
            <v>1.7453292519943295E-2</v>
          </cell>
        </row>
      </sheetData>
      <sheetData sheetId="10048"/>
      <sheetData sheetId="10049"/>
      <sheetData sheetId="10050"/>
      <sheetData sheetId="10051"/>
      <sheetData sheetId="10052"/>
      <sheetData sheetId="10053"/>
      <sheetData sheetId="10054"/>
      <sheetData sheetId="1005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69"/>
      <sheetData sheetId="10070"/>
      <sheetData sheetId="10071"/>
      <sheetData sheetId="10072"/>
      <sheetData sheetId="10073">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74"/>
      <sheetData sheetId="1007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76"/>
      <sheetData sheetId="10077"/>
      <sheetData sheetId="10078"/>
      <sheetData sheetId="10079">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80"/>
      <sheetData sheetId="10081"/>
      <sheetData sheetId="10082"/>
      <sheetData sheetId="10083"/>
      <sheetData sheetId="10084"/>
      <sheetData sheetId="1008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10086"/>
      <sheetData sheetId="10087"/>
      <sheetData sheetId="10088"/>
      <sheetData sheetId="10089"/>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sheetData sheetId="10124"/>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sheetData sheetId="11293"/>
      <sheetData sheetId="11294"/>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sheetData sheetId="19514" refreshError="1"/>
      <sheetData sheetId="19515" refreshError="1"/>
      <sheetData sheetId="19516"/>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sheetData sheetId="19527" refreshError="1"/>
      <sheetData sheetId="19528" refreshError="1"/>
      <sheetData sheetId="19529" refreshError="1"/>
      <sheetData sheetId="19530" refreshError="1"/>
      <sheetData sheetId="19531" refreshError="1"/>
      <sheetData sheetId="19532"/>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sheetData sheetId="19655"/>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row r="1">
          <cell r="J1">
            <v>1.7453292519943295E-2</v>
          </cell>
        </row>
      </sheetData>
      <sheetData sheetId="19851">
        <row r="1">
          <cell r="J1">
            <v>1.7453292519943295E-2</v>
          </cell>
        </row>
      </sheetData>
      <sheetData sheetId="19852">
        <row r="1">
          <cell r="J1">
            <v>1.7453292519943295E-2</v>
          </cell>
        </row>
      </sheetData>
      <sheetData sheetId="19853">
        <row r="1">
          <cell r="J1">
            <v>1.7453292519943295E-2</v>
          </cell>
        </row>
      </sheetData>
      <sheetData sheetId="19854"/>
      <sheetData sheetId="19855"/>
      <sheetData sheetId="19856"/>
      <sheetData sheetId="19857"/>
      <sheetData sheetId="19858"/>
      <sheetData sheetId="19859"/>
      <sheetData sheetId="19860">
        <row r="2">
          <cell r="B2">
            <v>1</v>
          </cell>
        </row>
      </sheetData>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row r="1">
          <cell r="J1">
            <v>1.7453292519943295E-2</v>
          </cell>
        </row>
      </sheetData>
      <sheetData sheetId="20065">
        <row r="1">
          <cell r="J1">
            <v>1.7453292519943295E-2</v>
          </cell>
        </row>
      </sheetData>
      <sheetData sheetId="20066">
        <row r="1">
          <cell r="J1">
            <v>1.7453292519943295E-2</v>
          </cell>
        </row>
      </sheetData>
      <sheetData sheetId="20067">
        <row r="1">
          <cell r="J1">
            <v>1.7453292519943295E-2</v>
          </cell>
        </row>
      </sheetData>
      <sheetData sheetId="20068"/>
      <sheetData sheetId="20069"/>
      <sheetData sheetId="20070"/>
      <sheetData sheetId="20071"/>
      <sheetData sheetId="20072"/>
      <sheetData sheetId="20073"/>
      <sheetData sheetId="20074">
        <row r="2">
          <cell r="B2">
            <v>1</v>
          </cell>
        </row>
      </sheetData>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row r="1">
          <cell r="J1">
            <v>1.7453292519943295E-2</v>
          </cell>
        </row>
      </sheetData>
      <sheetData sheetId="20107">
        <row r="1">
          <cell r="J1">
            <v>1.7453292519943295E-2</v>
          </cell>
        </row>
      </sheetData>
      <sheetData sheetId="20108">
        <row r="1">
          <cell r="J1">
            <v>1.7453292519943295E-2</v>
          </cell>
        </row>
      </sheetData>
      <sheetData sheetId="20109">
        <row r="1">
          <cell r="J1">
            <v>1.7453292519943295E-2</v>
          </cell>
        </row>
      </sheetData>
      <sheetData sheetId="20110"/>
      <sheetData sheetId="20111"/>
      <sheetData sheetId="20112"/>
      <sheetData sheetId="20113"/>
      <sheetData sheetId="20114"/>
      <sheetData sheetId="20115"/>
      <sheetData sheetId="20116">
        <row r="2">
          <cell r="B2">
            <v>1</v>
          </cell>
        </row>
      </sheetData>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row r="1">
          <cell r="J1">
            <v>1.7453292519943295E-2</v>
          </cell>
        </row>
      </sheetData>
      <sheetData sheetId="20327">
        <row r="1">
          <cell r="J1">
            <v>1.7453292519943295E-2</v>
          </cell>
        </row>
      </sheetData>
      <sheetData sheetId="20328">
        <row r="1">
          <cell r="J1">
            <v>1.7453292519943295E-2</v>
          </cell>
        </row>
      </sheetData>
      <sheetData sheetId="20329">
        <row r="1">
          <cell r="J1">
            <v>1.7453292519943295E-2</v>
          </cell>
        </row>
      </sheetData>
      <sheetData sheetId="20330"/>
      <sheetData sheetId="20331"/>
      <sheetData sheetId="20332"/>
      <sheetData sheetId="20333"/>
      <sheetData sheetId="20334"/>
      <sheetData sheetId="20335"/>
      <sheetData sheetId="20336">
        <row r="2">
          <cell r="B2">
            <v>1</v>
          </cell>
        </row>
      </sheetData>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row r="1">
          <cell r="J1">
            <v>1.7453292519943295E-2</v>
          </cell>
        </row>
      </sheetData>
      <sheetData sheetId="20547">
        <row r="1">
          <cell r="J1">
            <v>1.7453292519943295E-2</v>
          </cell>
        </row>
      </sheetData>
      <sheetData sheetId="20548">
        <row r="1">
          <cell r="J1">
            <v>1.7453292519943295E-2</v>
          </cell>
        </row>
      </sheetData>
      <sheetData sheetId="20549">
        <row r="1">
          <cell r="J1">
            <v>1.7453292519943295E-2</v>
          </cell>
        </row>
      </sheetData>
      <sheetData sheetId="20550"/>
      <sheetData sheetId="20551"/>
      <sheetData sheetId="20552"/>
      <sheetData sheetId="20553"/>
      <sheetData sheetId="20554"/>
      <sheetData sheetId="20555"/>
      <sheetData sheetId="20556">
        <row r="2">
          <cell r="B2">
            <v>1</v>
          </cell>
        </row>
      </sheetData>
      <sheetData sheetId="20557"/>
      <sheetData sheetId="20558"/>
      <sheetData sheetId="20559"/>
      <sheetData sheetId="20560"/>
      <sheetData sheetId="20561"/>
      <sheetData sheetId="20562"/>
      <sheetData sheetId="20563"/>
      <sheetData sheetId="20564"/>
      <sheetData sheetId="20565">
        <row r="15">
          <cell r="B15" t="str">
            <v>Providing and laying in position to pattern called for 20mm thick Cut to size Tandoor stone flooring size as specified to locations as called for, laid  over 20mm thick or more cement mortar bed (to make up required finished floor level) in mix 1:6, joints shall be pointed with the matching cementitious grout with polished and unpolished surfaces of the slabs shall be  finished with sealer coats as recommended by Laticrete/ Ardex Endura/ Aquamix or approved equivalent make and complete. including final polishing, washing with light acid or approved equivalent make on &amp; under finished surfaces for stain protection etc., as per manufacturers specifications etc. complete.  Slabs, pre-polished shall have the edges machine cut to precise sizes to produce very fine joints.  Allow for plastic sheet and POP protective layers, removal and cleaning up, disposal etc.</v>
          </cell>
        </row>
      </sheetData>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row r="1">
          <cell r="J1">
            <v>1.7453292519943295E-2</v>
          </cell>
        </row>
      </sheetData>
      <sheetData sheetId="20793">
        <row r="1">
          <cell r="J1">
            <v>1.7453292519943295E-2</v>
          </cell>
        </row>
      </sheetData>
      <sheetData sheetId="20794">
        <row r="1">
          <cell r="J1">
            <v>1.7453292519943295E-2</v>
          </cell>
        </row>
      </sheetData>
      <sheetData sheetId="20795">
        <row r="1">
          <cell r="J1">
            <v>1.7453292519943295E-2</v>
          </cell>
        </row>
      </sheetData>
      <sheetData sheetId="20796"/>
      <sheetData sheetId="20797"/>
      <sheetData sheetId="20798"/>
      <sheetData sheetId="20799"/>
      <sheetData sheetId="20800"/>
      <sheetData sheetId="20801"/>
      <sheetData sheetId="20802">
        <row r="2">
          <cell r="B2">
            <v>1</v>
          </cell>
        </row>
      </sheetData>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ow r="1">
          <cell r="J1">
            <v>1.7453292519943295E-2</v>
          </cell>
        </row>
      </sheetData>
      <sheetData sheetId="21088">
        <row r="1">
          <cell r="J1">
            <v>1.7453292519943295E-2</v>
          </cell>
        </row>
      </sheetData>
      <sheetData sheetId="21089">
        <row r="1">
          <cell r="J1">
            <v>1.7453292519943295E-2</v>
          </cell>
        </row>
      </sheetData>
      <sheetData sheetId="21090">
        <row r="1">
          <cell r="J1">
            <v>1.7453292519943295E-2</v>
          </cell>
        </row>
      </sheetData>
      <sheetData sheetId="21091"/>
      <sheetData sheetId="21092"/>
      <sheetData sheetId="21093"/>
      <sheetData sheetId="21094"/>
      <sheetData sheetId="21095"/>
      <sheetData sheetId="21096"/>
      <sheetData sheetId="21097">
        <row r="2">
          <cell r="B2">
            <v>1</v>
          </cell>
        </row>
      </sheetData>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row r="1">
          <cell r="J1">
            <v>1.7453292519943295E-2</v>
          </cell>
        </row>
      </sheetData>
      <sheetData sheetId="21404">
        <row r="1">
          <cell r="J1">
            <v>1.7453292519943295E-2</v>
          </cell>
        </row>
      </sheetData>
      <sheetData sheetId="21405">
        <row r="1">
          <cell r="J1">
            <v>1.7453292519943295E-2</v>
          </cell>
        </row>
      </sheetData>
      <sheetData sheetId="21406">
        <row r="1">
          <cell r="J1">
            <v>1.7453292519943295E-2</v>
          </cell>
        </row>
      </sheetData>
      <sheetData sheetId="21407"/>
      <sheetData sheetId="21408"/>
      <sheetData sheetId="21409"/>
      <sheetData sheetId="21410"/>
      <sheetData sheetId="21411"/>
      <sheetData sheetId="21412"/>
      <sheetData sheetId="21413">
        <row r="2">
          <cell r="B2">
            <v>1</v>
          </cell>
        </row>
      </sheetData>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FIRE BOQ"/>
      <sheetName val="MAKES"/>
    </sheetNames>
    <sheetDataSet>
      <sheetData sheetId="0" refreshError="1"/>
      <sheetData sheetId="1" refreshError="1">
        <row r="4">
          <cell r="B4" t="str">
            <v>FIRE HYDRANT SYSTEM</v>
          </cell>
        </row>
        <row r="61">
          <cell r="B61" t="str">
            <v>CIVIL WORKS</v>
          </cell>
        </row>
        <row r="77">
          <cell r="B77" t="str">
            <v>SIGNAGES ( @ Near Every access entry)</v>
          </cell>
        </row>
        <row r="116">
          <cell r="B116" t="str">
            <v>FIRE EXTINGUISHER SYSTEM</v>
          </cell>
        </row>
        <row r="134">
          <cell r="B134" t="str">
            <v xml:space="preserve">FIRE ALARM SYSTEM </v>
          </cell>
        </row>
        <row r="170">
          <cell r="B170" t="str">
            <v>PUMPS AND ANCILLARIES</v>
          </cell>
        </row>
        <row r="172">
          <cell r="B172" t="str">
            <v>Supply erection testing and commissioning of automatic centrifugal pumpset of approved make(End suction type) for giving discharge of 27 ltrs/sec @ 60M head .when running at suitable rpm when directly coupled to suitable HP  TEFC motor to operate 400/440 volts 3 phase 50 cycles AC supply with a terminal box suitable for the reception of power cable termination, common base plate, necessary foundation bolts and accessories, pressure gauges, test valve connections, squirel cage for motor etc., all as per detailed specification. Rate quoted shall include necessary sluice valves(suction side) and butterfly &amp; non return valves as required on suction , delvery  and testline common header side ., etc complete. Priming tank requirement for the fire negative suction pump is as per the pump supplier's requirement.</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zoomScale="145" zoomScaleNormal="145" workbookViewId="0">
      <selection activeCell="E14" sqref="E14"/>
    </sheetView>
  </sheetViews>
  <sheetFormatPr defaultRowHeight="14.5"/>
  <cols>
    <col min="2" max="2" width="27.453125" customWidth="1"/>
    <col min="3" max="3" width="20.453125" customWidth="1"/>
    <col min="4" max="4" width="15.453125" customWidth="1"/>
    <col min="5" max="5" width="29.54296875" customWidth="1"/>
  </cols>
  <sheetData>
    <row r="1" spans="1:5">
      <c r="A1" s="566" t="s">
        <v>970</v>
      </c>
      <c r="B1" s="566"/>
      <c r="C1" s="566"/>
      <c r="D1" s="566"/>
      <c r="E1" s="566"/>
    </row>
    <row r="2" spans="1:5">
      <c r="A2" s="118"/>
      <c r="B2" s="567"/>
      <c r="C2" s="567"/>
      <c r="D2" s="567"/>
      <c r="E2" s="567"/>
    </row>
    <row r="3" spans="1:5" ht="29">
      <c r="A3" s="89" t="s">
        <v>1</v>
      </c>
      <c r="B3" s="90" t="s">
        <v>2</v>
      </c>
      <c r="C3" s="90" t="s">
        <v>3</v>
      </c>
      <c r="D3" s="90" t="s">
        <v>4</v>
      </c>
      <c r="E3" s="111" t="s">
        <v>5</v>
      </c>
    </row>
    <row r="4" spans="1:5">
      <c r="A4" s="1"/>
      <c r="B4" s="2"/>
      <c r="C4" s="2"/>
      <c r="D4" s="2"/>
      <c r="E4" s="3"/>
    </row>
    <row r="5" spans="1:5">
      <c r="A5" s="82">
        <v>1</v>
      </c>
      <c r="B5" s="83" t="s">
        <v>967</v>
      </c>
      <c r="C5" s="6">
        <f>'Electrical Summary'!C33</f>
        <v>10654432</v>
      </c>
      <c r="D5" s="6">
        <f>'Electrical Summary'!D33</f>
        <v>1975942</v>
      </c>
      <c r="E5" s="84">
        <f>D5+C5</f>
        <v>12630374</v>
      </c>
    </row>
    <row r="6" spans="1:5">
      <c r="A6" s="82"/>
      <c r="B6" s="85"/>
      <c r="C6" s="86"/>
      <c r="D6" s="86"/>
      <c r="E6" s="84"/>
    </row>
    <row r="7" spans="1:5">
      <c r="A7" s="479">
        <v>2</v>
      </c>
      <c r="B7" s="480" t="s">
        <v>968</v>
      </c>
      <c r="C7" s="481">
        <f>'FIRE -SUMMARY'!C22</f>
        <v>2872072</v>
      </c>
      <c r="D7" s="481">
        <f>'FIRE -SUMMARY'!D22</f>
        <v>587790</v>
      </c>
      <c r="E7" s="481">
        <f t="shared" ref="E7" si="0">D7+C7</f>
        <v>3459862</v>
      </c>
    </row>
    <row r="8" spans="1:5" s="507" customFormat="1">
      <c r="A8" s="505"/>
      <c r="B8" s="505" t="s">
        <v>969</v>
      </c>
      <c r="C8" s="506">
        <f>SUM(C5+C7)</f>
        <v>13526504</v>
      </c>
      <c r="D8" s="506">
        <f>SUM(D5+D7)</f>
        <v>2563732</v>
      </c>
      <c r="E8" s="506">
        <f>SUM(E5+E7)</f>
        <v>16090236</v>
      </c>
    </row>
    <row r="14" spans="1:5">
      <c r="E14" t="s">
        <v>548</v>
      </c>
    </row>
  </sheetData>
  <mergeCells count="2">
    <mergeCell ref="A1:E1"/>
    <mergeCell ref="B2:E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2"/>
  <sheetViews>
    <sheetView view="pageBreakPreview" zoomScale="115" zoomScaleNormal="100" zoomScaleSheetLayoutView="115" workbookViewId="0">
      <selection activeCell="C15" sqref="C15"/>
    </sheetView>
  </sheetViews>
  <sheetFormatPr defaultRowHeight="14.5"/>
  <cols>
    <col min="1" max="1" width="11.453125" bestFit="1" customWidth="1"/>
    <col min="2" max="2" width="29.81640625" customWidth="1"/>
    <col min="3" max="5" width="24.54296875" style="504" customWidth="1"/>
    <col min="8" max="8" width="13.26953125" bestFit="1" customWidth="1"/>
    <col min="10" max="10" width="11.26953125" bestFit="1" customWidth="1"/>
  </cols>
  <sheetData>
    <row r="1" spans="1:5">
      <c r="A1" s="4" t="s">
        <v>217</v>
      </c>
      <c r="B1" s="571" t="s">
        <v>538</v>
      </c>
      <c r="C1" s="571"/>
      <c r="D1" s="571"/>
      <c r="E1" s="572"/>
    </row>
    <row r="2" spans="1:5">
      <c r="A2" s="5"/>
      <c r="B2" s="119"/>
      <c r="C2" s="490"/>
      <c r="D2" s="490"/>
      <c r="E2" s="491"/>
    </row>
    <row r="3" spans="1:5">
      <c r="A3" s="566" t="s">
        <v>0</v>
      </c>
      <c r="B3" s="566"/>
      <c r="C3" s="566"/>
      <c r="D3" s="566"/>
      <c r="E3" s="566"/>
    </row>
    <row r="4" spans="1:5">
      <c r="A4" s="118"/>
      <c r="B4" s="567"/>
      <c r="C4" s="567"/>
      <c r="D4" s="567"/>
      <c r="E4" s="567"/>
    </row>
    <row r="5" spans="1:5" ht="29">
      <c r="A5" s="89" t="s">
        <v>1</v>
      </c>
      <c r="B5" s="90" t="s">
        <v>2</v>
      </c>
      <c r="C5" s="492" t="s">
        <v>3</v>
      </c>
      <c r="D5" s="492" t="s">
        <v>4</v>
      </c>
      <c r="E5" s="492" t="s">
        <v>5</v>
      </c>
    </row>
    <row r="6" spans="1:5">
      <c r="A6" s="1"/>
      <c r="B6" s="2"/>
      <c r="C6" s="493"/>
      <c r="D6" s="493"/>
      <c r="E6" s="494"/>
    </row>
    <row r="7" spans="1:5">
      <c r="A7" s="82">
        <v>1</v>
      </c>
      <c r="B7" s="83" t="s">
        <v>227</v>
      </c>
      <c r="C7" s="6">
        <f>'Electrical BOQ'!G98</f>
        <v>2834904</v>
      </c>
      <c r="D7" s="6">
        <f>'Electrical BOQ'!H98</f>
        <v>334506</v>
      </c>
      <c r="E7" s="84">
        <f>D7+C7</f>
        <v>3169410</v>
      </c>
    </row>
    <row r="8" spans="1:5">
      <c r="A8" s="82"/>
      <c r="B8" s="85"/>
      <c r="C8" s="86"/>
      <c r="D8" s="86"/>
      <c r="E8" s="84"/>
    </row>
    <row r="9" spans="1:5">
      <c r="A9" s="82">
        <v>2</v>
      </c>
      <c r="B9" s="83" t="s">
        <v>6</v>
      </c>
      <c r="C9" s="84">
        <f>'Electrical BOQ'!G214</f>
        <v>2703414</v>
      </c>
      <c r="D9" s="84">
        <f>'Electrical BOQ'!H214</f>
        <v>477281</v>
      </c>
      <c r="E9" s="84">
        <f t="shared" ref="E9:E29" si="0">D9+C9</f>
        <v>3180695</v>
      </c>
    </row>
    <row r="10" spans="1:5">
      <c r="A10" s="82"/>
      <c r="B10" s="85"/>
      <c r="C10" s="86"/>
      <c r="D10" s="86"/>
      <c r="E10" s="84"/>
    </row>
    <row r="11" spans="1:5">
      <c r="A11" s="82">
        <v>3</v>
      </c>
      <c r="B11" s="83" t="s">
        <v>7</v>
      </c>
      <c r="C11" s="6">
        <f>'Electrical BOQ'!G313</f>
        <v>140089</v>
      </c>
      <c r="D11" s="6">
        <f>'Electrical BOQ'!H313</f>
        <v>14630</v>
      </c>
      <c r="E11" s="84">
        <f t="shared" si="0"/>
        <v>154719</v>
      </c>
    </row>
    <row r="12" spans="1:5">
      <c r="A12" s="82"/>
      <c r="B12" s="85"/>
      <c r="C12" s="86"/>
      <c r="D12" s="86"/>
      <c r="E12" s="84"/>
    </row>
    <row r="13" spans="1:5">
      <c r="A13" s="82">
        <v>4</v>
      </c>
      <c r="B13" s="87" t="s">
        <v>8</v>
      </c>
      <c r="C13" s="88">
        <f>'Electrical BOQ'!G341</f>
        <v>1395750</v>
      </c>
      <c r="D13" s="88">
        <f>'Electrical BOQ'!H341</f>
        <v>245100</v>
      </c>
      <c r="E13" s="84">
        <f t="shared" si="0"/>
        <v>1640850</v>
      </c>
    </row>
    <row r="14" spans="1:5">
      <c r="A14" s="82"/>
      <c r="B14" s="85"/>
      <c r="C14" s="84"/>
      <c r="D14" s="84"/>
      <c r="E14" s="84"/>
    </row>
    <row r="15" spans="1:5">
      <c r="A15" s="82">
        <v>5</v>
      </c>
      <c r="B15" s="110" t="s">
        <v>9</v>
      </c>
      <c r="C15" s="88">
        <f>'Electrical BOQ'!G386</f>
        <v>555371</v>
      </c>
      <c r="D15" s="88">
        <f>'Electrical BOQ'!H386</f>
        <v>168008</v>
      </c>
      <c r="E15" s="84">
        <f t="shared" si="0"/>
        <v>723379</v>
      </c>
    </row>
    <row r="16" spans="1:5">
      <c r="A16" s="82"/>
      <c r="B16" s="85"/>
      <c r="C16" s="84"/>
      <c r="D16" s="84"/>
      <c r="E16" s="84"/>
    </row>
    <row r="17" spans="1:5">
      <c r="A17" s="82">
        <v>6</v>
      </c>
      <c r="B17" s="83" t="str">
        <f>'Electrical BOQ'!B388</f>
        <v>POINT WIRING</v>
      </c>
      <c r="C17" s="84">
        <f>'Electrical BOQ'!G408</f>
        <v>404708</v>
      </c>
      <c r="D17" s="84">
        <f>'Electrical BOQ'!H408</f>
        <v>86864</v>
      </c>
      <c r="E17" s="84">
        <f t="shared" si="0"/>
        <v>491572</v>
      </c>
    </row>
    <row r="18" spans="1:5">
      <c r="A18" s="82"/>
      <c r="B18" s="85"/>
      <c r="C18" s="84"/>
      <c r="D18" s="84"/>
      <c r="E18" s="84"/>
    </row>
    <row r="19" spans="1:5">
      <c r="A19" s="82">
        <v>7</v>
      </c>
      <c r="B19" s="83" t="s">
        <v>10</v>
      </c>
      <c r="C19" s="84">
        <f>'Electrical BOQ'!G467</f>
        <v>732140</v>
      </c>
      <c r="D19" s="84">
        <f>'Electrical BOQ'!H467</f>
        <v>129343</v>
      </c>
      <c r="E19" s="84">
        <f t="shared" si="0"/>
        <v>861483</v>
      </c>
    </row>
    <row r="20" spans="1:5">
      <c r="A20" s="82"/>
      <c r="B20" s="85"/>
      <c r="C20" s="84"/>
      <c r="D20" s="84"/>
      <c r="E20" s="84"/>
    </row>
    <row r="21" spans="1:5">
      <c r="A21" s="82">
        <v>8</v>
      </c>
      <c r="B21" s="83" t="s">
        <v>11</v>
      </c>
      <c r="C21" s="84">
        <f>'Electrical BOQ'!G497</f>
        <v>422025</v>
      </c>
      <c r="D21" s="84">
        <f>'Electrical BOQ'!H497</f>
        <v>113420</v>
      </c>
      <c r="E21" s="84">
        <f t="shared" si="0"/>
        <v>535445</v>
      </c>
    </row>
    <row r="22" spans="1:5">
      <c r="A22" s="82"/>
      <c r="B22" s="85"/>
      <c r="C22" s="84"/>
      <c r="D22" s="84"/>
      <c r="E22" s="84"/>
    </row>
    <row r="23" spans="1:5">
      <c r="A23" s="82">
        <v>9</v>
      </c>
      <c r="B23" s="83" t="s">
        <v>12</v>
      </c>
      <c r="C23" s="84">
        <f>'Electrical BOQ'!G598</f>
        <v>440490</v>
      </c>
      <c r="D23" s="84">
        <f>'Electrical BOQ'!H598</f>
        <v>163790</v>
      </c>
      <c r="E23" s="84">
        <f t="shared" si="0"/>
        <v>604280</v>
      </c>
    </row>
    <row r="24" spans="1:5">
      <c r="A24" s="82"/>
      <c r="B24" s="85"/>
      <c r="C24" s="84"/>
      <c r="D24" s="84"/>
      <c r="E24" s="84"/>
    </row>
    <row r="25" spans="1:5">
      <c r="A25" s="82">
        <v>10</v>
      </c>
      <c r="B25" s="83" t="s">
        <v>13</v>
      </c>
      <c r="C25" s="84">
        <f>'Electrical BOQ'!G648</f>
        <v>498564</v>
      </c>
      <c r="D25" s="84">
        <f>'Electrical BOQ'!H648</f>
        <v>106440</v>
      </c>
      <c r="E25" s="84">
        <f t="shared" si="0"/>
        <v>605004</v>
      </c>
    </row>
    <row r="26" spans="1:5">
      <c r="A26" s="82"/>
      <c r="B26" s="83"/>
      <c r="C26" s="84"/>
      <c r="D26" s="84"/>
      <c r="E26" s="84"/>
    </row>
    <row r="27" spans="1:5">
      <c r="A27" s="82">
        <v>10</v>
      </c>
      <c r="B27" s="83" t="s">
        <v>408</v>
      </c>
      <c r="C27" s="84">
        <f>'Electrical BOQ'!G687</f>
        <v>273055</v>
      </c>
      <c r="D27" s="84">
        <f>'Electrical BOQ'!H687</f>
        <v>59756</v>
      </c>
      <c r="E27" s="84">
        <f t="shared" ref="E27" si="1">D27+C27</f>
        <v>332811</v>
      </c>
    </row>
    <row r="28" spans="1:5">
      <c r="A28" s="82"/>
      <c r="B28" s="85"/>
      <c r="C28" s="84"/>
      <c r="D28" s="84"/>
      <c r="E28" s="84"/>
    </row>
    <row r="29" spans="1:5">
      <c r="A29" s="82">
        <v>11</v>
      </c>
      <c r="B29" s="83" t="s">
        <v>14</v>
      </c>
      <c r="C29" s="84">
        <f>'Electrical BOQ'!G709</f>
        <v>253922</v>
      </c>
      <c r="D29" s="84">
        <f>'Electrical BOQ'!H709</f>
        <v>76804</v>
      </c>
      <c r="E29" s="84">
        <f t="shared" si="0"/>
        <v>330726</v>
      </c>
    </row>
    <row r="30" spans="1:5">
      <c r="A30" s="82"/>
      <c r="B30" s="83"/>
      <c r="C30" s="84"/>
      <c r="D30" s="84"/>
      <c r="E30" s="84"/>
    </row>
    <row r="31" spans="1:5">
      <c r="A31" s="82">
        <v>11</v>
      </c>
      <c r="B31" s="83" t="s">
        <v>612</v>
      </c>
      <c r="C31" s="84">
        <f>' Lighting protection BOQ'!I29</f>
        <v>0</v>
      </c>
      <c r="D31" s="84">
        <f>' Lighting protection BOQ'!J29</f>
        <v>0</v>
      </c>
      <c r="E31" s="84">
        <f t="shared" ref="E31" si="2">D31+C31</f>
        <v>0</v>
      </c>
    </row>
    <row r="32" spans="1:5">
      <c r="A32" s="82"/>
      <c r="B32" s="83"/>
      <c r="C32" s="84"/>
      <c r="D32" s="84"/>
      <c r="E32" s="84"/>
    </row>
    <row r="33" spans="1:10">
      <c r="A33" s="91"/>
      <c r="B33" s="92" t="s">
        <v>15</v>
      </c>
      <c r="C33" s="93">
        <f>SUM(C7:C32)</f>
        <v>10654432</v>
      </c>
      <c r="D33" s="93">
        <f>SUM(D7:D32)</f>
        <v>1975942</v>
      </c>
      <c r="E33" s="93">
        <f>SUM(E7:E32)</f>
        <v>12630374</v>
      </c>
      <c r="H33" s="482"/>
      <c r="J33" s="482"/>
    </row>
    <row r="34" spans="1:10">
      <c r="A34" s="155"/>
      <c r="B34" s="158"/>
      <c r="C34" s="495"/>
      <c r="D34" s="495"/>
      <c r="E34" s="496"/>
    </row>
    <row r="35" spans="1:10">
      <c r="A35" s="156"/>
      <c r="B35" s="159" t="s">
        <v>16</v>
      </c>
      <c r="C35" s="497"/>
      <c r="D35" s="497"/>
      <c r="E35" s="498"/>
    </row>
    <row r="36" spans="1:10">
      <c r="A36" s="161">
        <v>1</v>
      </c>
      <c r="B36" s="116" t="s">
        <v>234</v>
      </c>
      <c r="C36" s="499"/>
      <c r="D36" s="499"/>
      <c r="E36" s="500"/>
    </row>
    <row r="37" spans="1:10">
      <c r="A37" s="161">
        <f t="shared" ref="A37:A50" si="3">A36+1</f>
        <v>2</v>
      </c>
      <c r="B37" s="157" t="s">
        <v>540</v>
      </c>
      <c r="C37" s="501"/>
      <c r="D37" s="499"/>
      <c r="E37" s="500"/>
    </row>
    <row r="38" spans="1:10">
      <c r="A38" s="161">
        <f t="shared" si="3"/>
        <v>3</v>
      </c>
      <c r="B38" s="157" t="s">
        <v>410</v>
      </c>
      <c r="C38" s="501"/>
      <c r="D38" s="499"/>
      <c r="E38" s="500"/>
    </row>
    <row r="39" spans="1:10">
      <c r="A39" s="161">
        <f t="shared" si="3"/>
        <v>4</v>
      </c>
      <c r="B39" s="116" t="s">
        <v>414</v>
      </c>
      <c r="C39" s="499"/>
      <c r="D39" s="499"/>
      <c r="E39" s="500"/>
    </row>
    <row r="40" spans="1:10" ht="30.75" customHeight="1">
      <c r="A40" s="161">
        <f t="shared" si="3"/>
        <v>5</v>
      </c>
      <c r="B40" s="568" t="s">
        <v>411</v>
      </c>
      <c r="C40" s="569"/>
      <c r="D40" s="569"/>
      <c r="E40" s="570"/>
    </row>
    <row r="41" spans="1:10">
      <c r="A41" s="161">
        <f t="shared" si="3"/>
        <v>6</v>
      </c>
      <c r="B41" s="116" t="s">
        <v>537</v>
      </c>
      <c r="C41" s="499"/>
      <c r="D41" s="499"/>
      <c r="E41" s="500"/>
    </row>
    <row r="42" spans="1:10">
      <c r="A42" s="161">
        <f t="shared" si="3"/>
        <v>7</v>
      </c>
      <c r="B42" s="157" t="s">
        <v>541</v>
      </c>
      <c r="C42" s="501"/>
      <c r="D42" s="499"/>
      <c r="E42" s="500"/>
    </row>
    <row r="43" spans="1:10">
      <c r="A43" s="161">
        <f t="shared" si="3"/>
        <v>8</v>
      </c>
      <c r="B43" s="157" t="s">
        <v>412</v>
      </c>
      <c r="C43" s="501"/>
      <c r="D43" s="499"/>
      <c r="E43" s="500"/>
    </row>
    <row r="44" spans="1:10">
      <c r="A44" s="161">
        <f t="shared" si="3"/>
        <v>9</v>
      </c>
      <c r="B44" s="157" t="s">
        <v>539</v>
      </c>
      <c r="C44" s="501"/>
      <c r="D44" s="499"/>
      <c r="E44" s="500"/>
    </row>
    <row r="45" spans="1:10">
      <c r="A45" s="161">
        <f t="shared" si="3"/>
        <v>10</v>
      </c>
      <c r="B45" s="157" t="s">
        <v>302</v>
      </c>
      <c r="C45" s="501"/>
      <c r="D45" s="499"/>
      <c r="E45" s="500"/>
    </row>
    <row r="46" spans="1:10">
      <c r="A46" s="161">
        <f t="shared" si="3"/>
        <v>11</v>
      </c>
      <c r="B46" s="116" t="s">
        <v>377</v>
      </c>
      <c r="C46" s="499"/>
      <c r="D46" s="499"/>
      <c r="E46" s="500"/>
    </row>
    <row r="47" spans="1:10">
      <c r="A47" s="161">
        <f t="shared" si="3"/>
        <v>12</v>
      </c>
      <c r="B47" s="116" t="s">
        <v>614</v>
      </c>
      <c r="C47" s="499"/>
      <c r="D47" s="499"/>
      <c r="E47" s="500"/>
    </row>
    <row r="48" spans="1:10">
      <c r="A48" s="161">
        <f t="shared" si="3"/>
        <v>13</v>
      </c>
      <c r="B48" s="568" t="s">
        <v>613</v>
      </c>
      <c r="C48" s="569"/>
      <c r="D48" s="569"/>
      <c r="E48" s="570"/>
    </row>
    <row r="49" spans="1:5">
      <c r="A49" s="161">
        <f t="shared" si="3"/>
        <v>14</v>
      </c>
      <c r="B49" s="568" t="s">
        <v>518</v>
      </c>
      <c r="C49" s="569"/>
      <c r="D49" s="569"/>
      <c r="E49" s="570"/>
    </row>
    <row r="50" spans="1:5">
      <c r="A50" s="161">
        <f t="shared" si="3"/>
        <v>15</v>
      </c>
      <c r="B50" s="568" t="s">
        <v>582</v>
      </c>
      <c r="C50" s="569"/>
      <c r="D50" s="569"/>
      <c r="E50" s="570"/>
    </row>
    <row r="51" spans="1:5" ht="29.25" customHeight="1">
      <c r="A51" s="161">
        <v>16</v>
      </c>
      <c r="B51" s="568" t="s">
        <v>617</v>
      </c>
      <c r="C51" s="569"/>
      <c r="D51" s="569"/>
      <c r="E51" s="570"/>
    </row>
    <row r="52" spans="1:5">
      <c r="A52" s="161">
        <v>17</v>
      </c>
      <c r="B52" s="117" t="s">
        <v>413</v>
      </c>
      <c r="C52" s="502"/>
      <c r="D52" s="502"/>
      <c r="E52" s="503"/>
    </row>
  </sheetData>
  <mergeCells count="8">
    <mergeCell ref="B50:E50"/>
    <mergeCell ref="B51:E51"/>
    <mergeCell ref="B4:E4"/>
    <mergeCell ref="B1:E1"/>
    <mergeCell ref="A3:E3"/>
    <mergeCell ref="B40:E40"/>
    <mergeCell ref="B48:E48"/>
    <mergeCell ref="B49:E49"/>
  </mergeCells>
  <pageMargins left="0.70866141732283472" right="0.70866141732283472" top="0.74803149606299213" bottom="0.74803149606299213" header="0.31496062992125984" footer="0.31496062992125984"/>
  <pageSetup paperSize="9" scale="75" fitToHeight="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F714"/>
  <sheetViews>
    <sheetView zoomScaleNormal="100" zoomScaleSheetLayoutView="100" workbookViewId="0">
      <pane ySplit="4" topLeftCell="A668" activePane="bottomLeft" state="frozen"/>
      <selection activeCell="B1" sqref="B1:E1"/>
      <selection pane="bottomLeft" activeCell="B675" sqref="B675"/>
    </sheetView>
  </sheetViews>
  <sheetFormatPr defaultColWidth="8.81640625" defaultRowHeight="14.5"/>
  <cols>
    <col min="1" max="1" width="11.81640625" style="154" customWidth="1"/>
    <col min="2" max="2" width="72.81640625" style="154" bestFit="1" customWidth="1"/>
    <col min="3" max="3" width="7.81640625" style="154" customWidth="1"/>
    <col min="4" max="4" width="8.1796875" style="154" customWidth="1"/>
    <col min="5" max="5" width="16.54296875" style="154" customWidth="1"/>
    <col min="6" max="6" width="12.453125" style="154" customWidth="1"/>
    <col min="7" max="7" width="17.453125" style="154" customWidth="1"/>
    <col min="8" max="8" width="19" style="154" customWidth="1"/>
    <col min="9" max="9" width="16.453125" style="154" bestFit="1" customWidth="1"/>
    <col min="10" max="10" width="11.54296875" style="154" bestFit="1" customWidth="1"/>
    <col min="11" max="11" width="9.54296875" style="154" bestFit="1" customWidth="1"/>
    <col min="12" max="16384" width="8.81640625" style="154"/>
  </cols>
  <sheetData>
    <row r="1" spans="1:8" ht="15" thickBot="1">
      <c r="A1" s="573" t="s">
        <v>628</v>
      </c>
      <c r="B1" s="574"/>
      <c r="C1" s="574"/>
      <c r="D1" s="574"/>
      <c r="E1" s="574"/>
      <c r="F1" s="574"/>
      <c r="G1" s="574"/>
      <c r="H1" s="575"/>
    </row>
    <row r="2" spans="1:8">
      <c r="A2" s="192"/>
      <c r="B2" s="580"/>
      <c r="C2" s="581"/>
      <c r="D2" s="581"/>
      <c r="E2" s="581"/>
      <c r="F2" s="581"/>
      <c r="G2" s="581"/>
      <c r="H2" s="582"/>
    </row>
    <row r="3" spans="1:8">
      <c r="A3" s="583" t="s">
        <v>17</v>
      </c>
      <c r="B3" s="585" t="s">
        <v>18</v>
      </c>
      <c r="C3" s="587" t="s">
        <v>19</v>
      </c>
      <c r="D3" s="589" t="s">
        <v>244</v>
      </c>
      <c r="E3" s="576" t="s">
        <v>20</v>
      </c>
      <c r="F3" s="576" t="s">
        <v>21</v>
      </c>
      <c r="G3" s="576" t="s">
        <v>3</v>
      </c>
      <c r="H3" s="578" t="s">
        <v>4</v>
      </c>
    </row>
    <row r="4" spans="1:8">
      <c r="A4" s="584"/>
      <c r="B4" s="586"/>
      <c r="C4" s="588"/>
      <c r="D4" s="590"/>
      <c r="E4" s="577"/>
      <c r="F4" s="577"/>
      <c r="G4" s="577"/>
      <c r="H4" s="579"/>
    </row>
    <row r="5" spans="1:8">
      <c r="A5" s="193"/>
      <c r="B5" s="7"/>
      <c r="C5" s="8"/>
      <c r="D5" s="9"/>
      <c r="E5" s="10"/>
      <c r="F5" s="10"/>
      <c r="G5" s="10"/>
      <c r="H5" s="194"/>
    </row>
    <row r="6" spans="1:8">
      <c r="A6" s="195">
        <v>1</v>
      </c>
      <c r="B6" s="94" t="s">
        <v>22</v>
      </c>
      <c r="C6" s="95"/>
      <c r="D6" s="96"/>
      <c r="E6" s="97"/>
      <c r="F6" s="97"/>
      <c r="G6" s="97"/>
      <c r="H6" s="196"/>
    </row>
    <row r="7" spans="1:8">
      <c r="A7" s="197"/>
      <c r="B7" s="11"/>
      <c r="C7" s="12"/>
      <c r="D7" s="13"/>
      <c r="E7" s="14"/>
      <c r="F7" s="14"/>
      <c r="G7" s="14"/>
      <c r="H7" s="198"/>
    </row>
    <row r="8" spans="1:8">
      <c r="A8" s="199"/>
      <c r="B8" s="15" t="s">
        <v>23</v>
      </c>
      <c r="C8" s="16"/>
      <c r="D8" s="17"/>
      <c r="E8" s="18"/>
      <c r="F8" s="18"/>
      <c r="G8" s="18"/>
      <c r="H8" s="200"/>
    </row>
    <row r="9" spans="1:8" ht="29">
      <c r="A9" s="199"/>
      <c r="B9" s="15" t="s">
        <v>519</v>
      </c>
      <c r="C9" s="16"/>
      <c r="D9" s="17"/>
      <c r="E9" s="18"/>
      <c r="F9" s="18"/>
      <c r="G9" s="18"/>
      <c r="H9" s="200"/>
    </row>
    <row r="10" spans="1:8" ht="29">
      <c r="A10" s="199"/>
      <c r="B10" s="15" t="s">
        <v>24</v>
      </c>
      <c r="C10" s="16"/>
      <c r="D10" s="17"/>
      <c r="E10" s="18"/>
      <c r="F10" s="18"/>
      <c r="G10" s="18"/>
      <c r="H10" s="200"/>
    </row>
    <row r="11" spans="1:8">
      <c r="A11" s="199"/>
      <c r="B11" s="15" t="s">
        <v>25</v>
      </c>
      <c r="C11" s="16"/>
      <c r="D11" s="17"/>
      <c r="E11" s="18"/>
      <c r="F11" s="18"/>
      <c r="G11" s="18"/>
      <c r="H11" s="200"/>
    </row>
    <row r="12" spans="1:8">
      <c r="A12" s="199"/>
      <c r="B12" s="15" t="s">
        <v>26</v>
      </c>
      <c r="C12" s="16"/>
      <c r="D12" s="17"/>
      <c r="E12" s="18"/>
      <c r="F12" s="18"/>
      <c r="G12" s="18"/>
      <c r="H12" s="200"/>
    </row>
    <row r="13" spans="1:8">
      <c r="A13" s="199"/>
      <c r="B13" s="15" t="s">
        <v>27</v>
      </c>
      <c r="C13" s="16"/>
      <c r="D13" s="17"/>
      <c r="E13" s="18"/>
      <c r="F13" s="18"/>
      <c r="G13" s="18"/>
      <c r="H13" s="200"/>
    </row>
    <row r="14" spans="1:8">
      <c r="A14" s="199"/>
      <c r="B14" s="15" t="s">
        <v>520</v>
      </c>
      <c r="C14" s="16"/>
      <c r="D14" s="17"/>
      <c r="E14" s="18"/>
      <c r="F14" s="18"/>
      <c r="G14" s="18"/>
      <c r="H14" s="200"/>
    </row>
    <row r="15" spans="1:8">
      <c r="A15" s="199"/>
      <c r="B15" s="15" t="s">
        <v>28</v>
      </c>
      <c r="C15" s="16"/>
      <c r="D15" s="17"/>
      <c r="E15" s="18"/>
      <c r="F15" s="18"/>
      <c r="G15" s="18"/>
      <c r="H15" s="200"/>
    </row>
    <row r="16" spans="1:8">
      <c r="A16" s="199"/>
      <c r="B16" s="15" t="s">
        <v>29</v>
      </c>
      <c r="C16" s="16"/>
      <c r="D16" s="17"/>
      <c r="E16" s="18"/>
      <c r="F16" s="18"/>
      <c r="G16" s="18"/>
      <c r="H16" s="200"/>
    </row>
    <row r="17" spans="1:8" ht="29">
      <c r="A17" s="199"/>
      <c r="B17" s="15" t="s">
        <v>521</v>
      </c>
      <c r="C17" s="16"/>
      <c r="D17" s="17"/>
      <c r="E17" s="18"/>
      <c r="F17" s="18"/>
      <c r="G17" s="18"/>
      <c r="H17" s="200"/>
    </row>
    <row r="18" spans="1:8">
      <c r="A18" s="199"/>
      <c r="B18" s="15" t="s">
        <v>30</v>
      </c>
      <c r="C18" s="16"/>
      <c r="D18" s="17"/>
      <c r="E18" s="18"/>
      <c r="F18" s="18"/>
      <c r="G18" s="18"/>
      <c r="H18" s="200"/>
    </row>
    <row r="19" spans="1:8" ht="29">
      <c r="A19" s="199"/>
      <c r="B19" s="15" t="s">
        <v>31</v>
      </c>
      <c r="C19" s="16"/>
      <c r="D19" s="17"/>
      <c r="E19" s="18"/>
      <c r="F19" s="18"/>
      <c r="G19" s="18"/>
      <c r="H19" s="200"/>
    </row>
    <row r="20" spans="1:8">
      <c r="A20" s="199"/>
      <c r="B20" s="15" t="s">
        <v>32</v>
      </c>
      <c r="C20" s="16"/>
      <c r="D20" s="17"/>
      <c r="E20" s="18"/>
      <c r="F20" s="18"/>
      <c r="G20" s="18"/>
      <c r="H20" s="200"/>
    </row>
    <row r="21" spans="1:8">
      <c r="A21" s="199"/>
      <c r="B21" s="15" t="s">
        <v>33</v>
      </c>
      <c r="C21" s="16"/>
      <c r="D21" s="17"/>
      <c r="E21" s="18"/>
      <c r="F21" s="18"/>
      <c r="G21" s="18"/>
      <c r="H21" s="200"/>
    </row>
    <row r="22" spans="1:8">
      <c r="A22" s="199"/>
      <c r="B22" s="15" t="s">
        <v>34</v>
      </c>
      <c r="C22" s="16"/>
      <c r="D22" s="17"/>
      <c r="E22" s="18"/>
      <c r="F22" s="18"/>
      <c r="G22" s="18"/>
      <c r="H22" s="200"/>
    </row>
    <row r="23" spans="1:8">
      <c r="A23" s="199"/>
      <c r="B23" s="15" t="s">
        <v>35</v>
      </c>
      <c r="C23" s="16"/>
      <c r="D23" s="17"/>
      <c r="E23" s="18"/>
      <c r="F23" s="18"/>
      <c r="G23" s="18"/>
      <c r="H23" s="200"/>
    </row>
    <row r="24" spans="1:8" ht="43.5">
      <c r="A24" s="199"/>
      <c r="B24" s="15" t="s">
        <v>36</v>
      </c>
      <c r="C24" s="16"/>
      <c r="D24" s="17"/>
      <c r="E24" s="18"/>
      <c r="F24" s="18"/>
      <c r="G24" s="18"/>
      <c r="H24" s="200"/>
    </row>
    <row r="25" spans="1:8">
      <c r="A25" s="201"/>
      <c r="B25" s="19" t="s">
        <v>37</v>
      </c>
      <c r="C25" s="16"/>
      <c r="D25" s="17"/>
      <c r="E25" s="18"/>
      <c r="F25" s="18"/>
      <c r="G25" s="18"/>
      <c r="H25" s="200"/>
    </row>
    <row r="26" spans="1:8" ht="29">
      <c r="A26" s="201"/>
      <c r="B26" s="20" t="s">
        <v>38</v>
      </c>
      <c r="C26" s="16"/>
      <c r="D26" s="17"/>
      <c r="E26" s="18"/>
      <c r="F26" s="18"/>
      <c r="G26" s="18"/>
      <c r="H26" s="200"/>
    </row>
    <row r="27" spans="1:8" ht="29">
      <c r="A27" s="201"/>
      <c r="B27" s="20" t="s">
        <v>39</v>
      </c>
      <c r="C27" s="16"/>
      <c r="D27" s="17"/>
      <c r="E27" s="18"/>
      <c r="F27" s="18"/>
      <c r="G27" s="18"/>
      <c r="H27" s="200"/>
    </row>
    <row r="28" spans="1:8" ht="29">
      <c r="A28" s="201"/>
      <c r="B28" s="20" t="s">
        <v>40</v>
      </c>
      <c r="C28" s="16"/>
      <c r="D28" s="17"/>
      <c r="E28" s="18"/>
      <c r="F28" s="18"/>
      <c r="G28" s="18"/>
      <c r="H28" s="200"/>
    </row>
    <row r="29" spans="1:8">
      <c r="A29" s="201"/>
      <c r="B29" s="20" t="s">
        <v>41</v>
      </c>
      <c r="C29" s="16"/>
      <c r="D29" s="17"/>
      <c r="E29" s="18"/>
      <c r="F29" s="18"/>
      <c r="G29" s="18"/>
      <c r="H29" s="200"/>
    </row>
    <row r="30" spans="1:8" ht="29">
      <c r="A30" s="201"/>
      <c r="B30" s="20" t="s">
        <v>42</v>
      </c>
      <c r="C30" s="16"/>
      <c r="D30" s="17"/>
      <c r="E30" s="18"/>
      <c r="F30" s="18"/>
      <c r="G30" s="18"/>
      <c r="H30" s="200"/>
    </row>
    <row r="31" spans="1:8">
      <c r="A31" s="201"/>
      <c r="B31" s="20" t="s">
        <v>43</v>
      </c>
      <c r="C31" s="16"/>
      <c r="D31" s="17"/>
      <c r="E31" s="18"/>
      <c r="F31" s="18"/>
      <c r="G31" s="18"/>
      <c r="H31" s="200"/>
    </row>
    <row r="32" spans="1:8" ht="29">
      <c r="A32" s="201"/>
      <c r="B32" s="20" t="s">
        <v>44</v>
      </c>
      <c r="C32" s="16"/>
      <c r="D32" s="17"/>
      <c r="E32" s="18"/>
      <c r="F32" s="18"/>
      <c r="G32" s="18"/>
      <c r="H32" s="200"/>
    </row>
    <row r="33" spans="1:10" ht="29">
      <c r="A33" s="201"/>
      <c r="B33" s="20" t="s">
        <v>45</v>
      </c>
      <c r="C33" s="16"/>
      <c r="D33" s="17"/>
      <c r="E33" s="18"/>
      <c r="F33" s="18"/>
      <c r="G33" s="18"/>
      <c r="H33" s="200"/>
    </row>
    <row r="34" spans="1:10">
      <c r="A34" s="201"/>
      <c r="B34" s="20" t="s">
        <v>46</v>
      </c>
      <c r="C34" s="16"/>
      <c r="D34" s="17"/>
      <c r="E34" s="18"/>
      <c r="F34" s="18"/>
      <c r="G34" s="18"/>
      <c r="H34" s="200"/>
    </row>
    <row r="35" spans="1:10">
      <c r="A35" s="201"/>
      <c r="B35" s="20" t="s">
        <v>47</v>
      </c>
      <c r="C35" s="16"/>
      <c r="D35" s="17"/>
      <c r="E35" s="18"/>
      <c r="F35" s="18"/>
      <c r="G35" s="18"/>
      <c r="H35" s="200"/>
    </row>
    <row r="36" spans="1:10">
      <c r="A36" s="201"/>
      <c r="B36" s="20" t="s">
        <v>48</v>
      </c>
      <c r="C36" s="16"/>
      <c r="D36" s="17"/>
      <c r="E36" s="18"/>
      <c r="F36" s="18"/>
      <c r="G36" s="18"/>
      <c r="H36" s="200"/>
    </row>
    <row r="37" spans="1:10">
      <c r="A37" s="201"/>
      <c r="B37" s="20" t="s">
        <v>49</v>
      </c>
      <c r="C37" s="16"/>
      <c r="D37" s="17"/>
      <c r="E37" s="18"/>
      <c r="F37" s="18"/>
      <c r="G37" s="18"/>
      <c r="H37" s="200"/>
    </row>
    <row r="38" spans="1:10" ht="29">
      <c r="A38" s="201"/>
      <c r="B38" s="20" t="s">
        <v>50</v>
      </c>
      <c r="C38" s="16"/>
      <c r="D38" s="17"/>
      <c r="E38" s="18"/>
      <c r="F38" s="18"/>
      <c r="G38" s="18"/>
      <c r="H38" s="200"/>
    </row>
    <row r="39" spans="1:10">
      <c r="A39" s="201"/>
      <c r="B39" s="20" t="s">
        <v>51</v>
      </c>
      <c r="C39" s="16"/>
      <c r="D39" s="17"/>
      <c r="E39" s="18"/>
      <c r="F39" s="18"/>
      <c r="G39" s="18"/>
      <c r="H39" s="200"/>
    </row>
    <row r="40" spans="1:10">
      <c r="A40" s="201"/>
      <c r="B40" s="20" t="s">
        <v>52</v>
      </c>
      <c r="C40" s="16"/>
      <c r="D40" s="17"/>
      <c r="E40" s="18"/>
      <c r="F40" s="18"/>
      <c r="G40" s="18"/>
      <c r="H40" s="200"/>
    </row>
    <row r="41" spans="1:10">
      <c r="A41" s="201"/>
      <c r="B41" s="20" t="s">
        <v>53</v>
      </c>
      <c r="C41" s="17"/>
      <c r="D41" s="17"/>
      <c r="E41" s="18"/>
      <c r="F41" s="18"/>
      <c r="G41" s="18"/>
      <c r="H41" s="200"/>
    </row>
    <row r="42" spans="1:10">
      <c r="A42" s="201"/>
      <c r="B42" s="21" t="s">
        <v>54</v>
      </c>
      <c r="C42" s="17"/>
      <c r="D42" s="17"/>
      <c r="E42" s="18"/>
      <c r="F42" s="18"/>
      <c r="G42" s="18"/>
      <c r="H42" s="200"/>
    </row>
    <row r="43" spans="1:10">
      <c r="A43" s="201"/>
      <c r="B43" s="19" t="s">
        <v>55</v>
      </c>
      <c r="C43" s="16"/>
      <c r="D43" s="17"/>
      <c r="E43" s="18"/>
      <c r="F43" s="18"/>
      <c r="G43" s="18"/>
      <c r="H43" s="200"/>
    </row>
    <row r="44" spans="1:10">
      <c r="A44" s="201"/>
      <c r="B44" s="19"/>
      <c r="C44" s="16"/>
      <c r="D44" s="17"/>
      <c r="E44" s="18"/>
      <c r="F44" s="18"/>
      <c r="G44" s="18"/>
      <c r="H44" s="200"/>
    </row>
    <row r="45" spans="1:10">
      <c r="A45" s="201"/>
      <c r="B45" s="19"/>
      <c r="C45" s="16"/>
      <c r="D45" s="17"/>
      <c r="E45" s="18"/>
      <c r="F45" s="18"/>
      <c r="G45" s="18"/>
      <c r="H45" s="200"/>
    </row>
    <row r="46" spans="1:10" ht="101.5">
      <c r="A46" s="202">
        <v>1.1000000000000001</v>
      </c>
      <c r="B46" s="23" t="s">
        <v>57</v>
      </c>
      <c r="C46" s="25"/>
      <c r="D46" s="26"/>
      <c r="E46" s="18"/>
      <c r="F46" s="18"/>
      <c r="G46" s="18"/>
      <c r="H46" s="200"/>
    </row>
    <row r="47" spans="1:10">
      <c r="A47" s="203"/>
      <c r="B47" s="23"/>
      <c r="C47" s="25"/>
      <c r="D47" s="26"/>
      <c r="E47" s="18"/>
      <c r="F47" s="18"/>
      <c r="G47" s="18"/>
      <c r="H47" s="200"/>
    </row>
    <row r="48" spans="1:10">
      <c r="A48" s="202">
        <f>A46+0.1</f>
        <v>1.2000000000000002</v>
      </c>
      <c r="B48" s="23" t="s">
        <v>547</v>
      </c>
      <c r="C48" s="16" t="s">
        <v>56</v>
      </c>
      <c r="D48" s="17">
        <v>2</v>
      </c>
      <c r="E48" s="550">
        <v>1316520</v>
      </c>
      <c r="F48" s="550">
        <v>146280</v>
      </c>
      <c r="G48" s="122">
        <f>E48*D48</f>
        <v>2633040</v>
      </c>
      <c r="H48" s="204">
        <f>F48*D48</f>
        <v>292560</v>
      </c>
      <c r="I48" s="162"/>
      <c r="J48" s="162"/>
    </row>
    <row r="49" spans="1:10">
      <c r="A49" s="202"/>
      <c r="B49" s="23"/>
      <c r="C49" s="16"/>
      <c r="D49" s="17"/>
      <c r="E49" s="550">
        <v>0</v>
      </c>
      <c r="F49" s="550">
        <v>0</v>
      </c>
      <c r="G49" s="122">
        <f t="shared" ref="G49:G96" si="0">E49*D49</f>
        <v>0</v>
      </c>
      <c r="H49" s="204">
        <f t="shared" ref="H49:H96" si="1">F49*D49</f>
        <v>0</v>
      </c>
      <c r="I49" s="162"/>
      <c r="J49" s="162"/>
    </row>
    <row r="50" spans="1:10">
      <c r="A50" s="202">
        <f>A48+0.1</f>
        <v>1.3000000000000003</v>
      </c>
      <c r="B50" s="23" t="s">
        <v>554</v>
      </c>
      <c r="C50" s="16" t="s">
        <v>56</v>
      </c>
      <c r="D50" s="17">
        <v>2</v>
      </c>
      <c r="E50" s="550">
        <v>0</v>
      </c>
      <c r="F50" s="550">
        <v>0</v>
      </c>
      <c r="G50" s="122">
        <f t="shared" si="0"/>
        <v>0</v>
      </c>
      <c r="H50" s="204">
        <f t="shared" si="1"/>
        <v>0</v>
      </c>
      <c r="I50" s="162"/>
      <c r="J50" s="162"/>
    </row>
    <row r="51" spans="1:10" ht="116">
      <c r="A51" s="202"/>
      <c r="B51" s="23" t="s">
        <v>569</v>
      </c>
      <c r="C51" s="16"/>
      <c r="D51" s="17"/>
      <c r="E51" s="550">
        <v>0</v>
      </c>
      <c r="F51" s="550">
        <v>0</v>
      </c>
      <c r="G51" s="122">
        <f t="shared" si="0"/>
        <v>0</v>
      </c>
      <c r="H51" s="204">
        <f t="shared" si="1"/>
        <v>0</v>
      </c>
      <c r="I51" s="162"/>
      <c r="J51" s="162"/>
    </row>
    <row r="52" spans="1:10">
      <c r="A52" s="202"/>
      <c r="B52" s="23"/>
      <c r="C52" s="25"/>
      <c r="D52" s="26"/>
      <c r="E52" s="550">
        <v>0</v>
      </c>
      <c r="F52" s="550">
        <v>0</v>
      </c>
      <c r="G52" s="122">
        <f t="shared" si="0"/>
        <v>0</v>
      </c>
      <c r="H52" s="204">
        <f t="shared" si="1"/>
        <v>0</v>
      </c>
    </row>
    <row r="53" spans="1:10" ht="29">
      <c r="A53" s="202">
        <f>A50+0.1</f>
        <v>1.4000000000000004</v>
      </c>
      <c r="B53" s="23" t="s">
        <v>567</v>
      </c>
      <c r="C53" s="16" t="s">
        <v>56</v>
      </c>
      <c r="D53" s="17">
        <v>1</v>
      </c>
      <c r="E53" s="550">
        <v>0</v>
      </c>
      <c r="F53" s="550">
        <v>0</v>
      </c>
      <c r="G53" s="122">
        <f t="shared" si="0"/>
        <v>0</v>
      </c>
      <c r="H53" s="204">
        <f t="shared" si="1"/>
        <v>0</v>
      </c>
      <c r="I53" s="162"/>
      <c r="J53" s="162"/>
    </row>
    <row r="54" spans="1:10">
      <c r="A54" s="202"/>
      <c r="B54" s="23"/>
      <c r="C54" s="16"/>
      <c r="D54" s="17"/>
      <c r="E54" s="550">
        <v>0</v>
      </c>
      <c r="F54" s="550">
        <v>0</v>
      </c>
      <c r="G54" s="122">
        <f t="shared" si="0"/>
        <v>0</v>
      </c>
      <c r="H54" s="204">
        <f t="shared" si="1"/>
        <v>0</v>
      </c>
      <c r="I54" s="162"/>
      <c r="J54" s="162"/>
    </row>
    <row r="55" spans="1:10" ht="29">
      <c r="A55" s="202">
        <f>A53+0.1</f>
        <v>1.5000000000000004</v>
      </c>
      <c r="B55" s="23" t="s">
        <v>568</v>
      </c>
      <c r="C55" s="16" t="s">
        <v>56</v>
      </c>
      <c r="D55" s="17">
        <v>1</v>
      </c>
      <c r="E55" s="550">
        <v>0</v>
      </c>
      <c r="F55" s="550">
        <v>0</v>
      </c>
      <c r="G55" s="122">
        <f t="shared" si="0"/>
        <v>0</v>
      </c>
      <c r="H55" s="204">
        <f t="shared" si="1"/>
        <v>0</v>
      </c>
      <c r="I55" s="162"/>
      <c r="J55" s="162"/>
    </row>
    <row r="56" spans="1:10">
      <c r="A56" s="203"/>
      <c r="B56" s="23"/>
      <c r="C56" s="25"/>
      <c r="D56" s="26"/>
      <c r="E56" s="550">
        <v>0</v>
      </c>
      <c r="F56" s="550">
        <v>0</v>
      </c>
      <c r="G56" s="122">
        <f t="shared" si="0"/>
        <v>0</v>
      </c>
      <c r="H56" s="204">
        <f t="shared" si="1"/>
        <v>0</v>
      </c>
    </row>
    <row r="57" spans="1:10">
      <c r="A57" s="202">
        <f>A55+0.1</f>
        <v>1.6000000000000005</v>
      </c>
      <c r="B57" s="23" t="s">
        <v>549</v>
      </c>
      <c r="C57" s="16" t="s">
        <v>56</v>
      </c>
      <c r="D57" s="17">
        <v>2</v>
      </c>
      <c r="E57" s="550">
        <v>0</v>
      </c>
      <c r="F57" s="550">
        <v>0</v>
      </c>
      <c r="G57" s="122">
        <f t="shared" si="0"/>
        <v>0</v>
      </c>
      <c r="H57" s="204">
        <f t="shared" si="1"/>
        <v>0</v>
      </c>
      <c r="I57" s="162"/>
      <c r="J57" s="162"/>
    </row>
    <row r="58" spans="1:10">
      <c r="A58" s="203"/>
      <c r="B58" s="23" t="s">
        <v>548</v>
      </c>
      <c r="C58" s="25"/>
      <c r="D58" s="26"/>
      <c r="E58" s="550">
        <v>0</v>
      </c>
      <c r="F58" s="550">
        <v>0</v>
      </c>
      <c r="G58" s="122">
        <f t="shared" si="0"/>
        <v>0</v>
      </c>
      <c r="H58" s="204">
        <f t="shared" si="1"/>
        <v>0</v>
      </c>
    </row>
    <row r="59" spans="1:10">
      <c r="A59" s="202">
        <f>A57+0.1</f>
        <v>1.7000000000000006</v>
      </c>
      <c r="B59" s="23" t="s">
        <v>550</v>
      </c>
      <c r="C59" s="16" t="s">
        <v>56</v>
      </c>
      <c r="D59" s="17">
        <v>1</v>
      </c>
      <c r="E59" s="550">
        <v>0</v>
      </c>
      <c r="F59" s="550">
        <v>0</v>
      </c>
      <c r="G59" s="122">
        <f t="shared" si="0"/>
        <v>0</v>
      </c>
      <c r="H59" s="204">
        <f t="shared" si="1"/>
        <v>0</v>
      </c>
      <c r="I59" s="162"/>
      <c r="J59" s="162"/>
    </row>
    <row r="60" spans="1:10">
      <c r="A60" s="202"/>
      <c r="B60" s="23"/>
      <c r="C60" s="16"/>
      <c r="D60" s="17"/>
      <c r="E60" s="550">
        <v>0</v>
      </c>
      <c r="F60" s="550">
        <v>0</v>
      </c>
      <c r="G60" s="122">
        <f t="shared" si="0"/>
        <v>0</v>
      </c>
      <c r="H60" s="204">
        <f t="shared" si="1"/>
        <v>0</v>
      </c>
    </row>
    <row r="61" spans="1:10">
      <c r="A61" s="202">
        <f>A59+0.1</f>
        <v>1.8000000000000007</v>
      </c>
      <c r="B61" s="23" t="s">
        <v>551</v>
      </c>
      <c r="C61" s="16" t="s">
        <v>56</v>
      </c>
      <c r="D61" s="17">
        <v>1</v>
      </c>
      <c r="E61" s="550">
        <v>0</v>
      </c>
      <c r="F61" s="550">
        <v>0</v>
      </c>
      <c r="G61" s="122">
        <f t="shared" si="0"/>
        <v>0</v>
      </c>
      <c r="H61" s="204">
        <f t="shared" si="1"/>
        <v>0</v>
      </c>
      <c r="I61" s="162"/>
      <c r="J61" s="162"/>
    </row>
    <row r="62" spans="1:10">
      <c r="A62" s="202"/>
      <c r="B62" s="23"/>
      <c r="C62" s="16"/>
      <c r="D62" s="17"/>
      <c r="E62" s="550">
        <v>0</v>
      </c>
      <c r="F62" s="550">
        <v>0</v>
      </c>
      <c r="G62" s="122">
        <f t="shared" si="0"/>
        <v>0</v>
      </c>
      <c r="H62" s="204">
        <f t="shared" si="1"/>
        <v>0</v>
      </c>
    </row>
    <row r="63" spans="1:10">
      <c r="A63" s="202">
        <f>A61+0.1</f>
        <v>1.9000000000000008</v>
      </c>
      <c r="B63" s="23" t="s">
        <v>552</v>
      </c>
      <c r="C63" s="16" t="s">
        <v>56</v>
      </c>
      <c r="D63" s="17">
        <v>1</v>
      </c>
      <c r="E63" s="550">
        <v>0</v>
      </c>
      <c r="F63" s="550">
        <v>0</v>
      </c>
      <c r="G63" s="122">
        <f t="shared" si="0"/>
        <v>0</v>
      </c>
      <c r="H63" s="204">
        <f t="shared" si="1"/>
        <v>0</v>
      </c>
      <c r="I63" s="162"/>
      <c r="J63" s="162"/>
    </row>
    <row r="64" spans="1:10">
      <c r="A64" s="203"/>
      <c r="B64" s="23"/>
      <c r="C64" s="16"/>
      <c r="D64" s="17"/>
      <c r="E64" s="550">
        <v>0</v>
      </c>
      <c r="F64" s="550">
        <v>0</v>
      </c>
      <c r="G64" s="122">
        <f t="shared" si="0"/>
        <v>0</v>
      </c>
      <c r="H64" s="204">
        <f t="shared" si="1"/>
        <v>0</v>
      </c>
    </row>
    <row r="65" spans="1:10">
      <c r="A65" s="203">
        <v>1.1000000000000001</v>
      </c>
      <c r="B65" s="23" t="s">
        <v>553</v>
      </c>
      <c r="C65" s="16" t="s">
        <v>56</v>
      </c>
      <c r="D65" s="17">
        <v>1</v>
      </c>
      <c r="E65" s="550">
        <v>0</v>
      </c>
      <c r="F65" s="550">
        <v>0</v>
      </c>
      <c r="G65" s="122">
        <f t="shared" si="0"/>
        <v>0</v>
      </c>
      <c r="H65" s="204">
        <f t="shared" si="1"/>
        <v>0</v>
      </c>
      <c r="I65" s="162"/>
      <c r="J65" s="162"/>
    </row>
    <row r="66" spans="1:10">
      <c r="A66" s="202"/>
      <c r="B66" s="23"/>
      <c r="C66" s="16"/>
      <c r="D66" s="17"/>
      <c r="E66" s="550">
        <v>0</v>
      </c>
      <c r="F66" s="550">
        <v>0</v>
      </c>
      <c r="G66" s="122">
        <f t="shared" si="0"/>
        <v>0</v>
      </c>
      <c r="H66" s="204">
        <f t="shared" si="1"/>
        <v>0</v>
      </c>
    </row>
    <row r="67" spans="1:10">
      <c r="A67" s="203">
        <v>1.1100000000000001</v>
      </c>
      <c r="B67" s="28" t="s">
        <v>59</v>
      </c>
      <c r="C67" s="16"/>
      <c r="D67" s="17"/>
      <c r="E67" s="550">
        <v>0</v>
      </c>
      <c r="F67" s="550">
        <v>0</v>
      </c>
      <c r="G67" s="122">
        <f t="shared" si="0"/>
        <v>0</v>
      </c>
      <c r="H67" s="204">
        <f t="shared" si="1"/>
        <v>0</v>
      </c>
    </row>
    <row r="68" spans="1:10">
      <c r="A68" s="202" t="s">
        <v>472</v>
      </c>
      <c r="B68" s="23" t="s">
        <v>60</v>
      </c>
      <c r="C68" s="16" t="s">
        <v>56</v>
      </c>
      <c r="D68" s="17" t="s">
        <v>228</v>
      </c>
      <c r="E68" s="550">
        <v>0</v>
      </c>
      <c r="F68" s="550">
        <v>0</v>
      </c>
      <c r="G68" s="122"/>
      <c r="H68" s="204"/>
    </row>
    <row r="69" spans="1:10">
      <c r="A69" s="202" t="s">
        <v>473</v>
      </c>
      <c r="B69" s="23" t="s">
        <v>409</v>
      </c>
      <c r="C69" s="16" t="s">
        <v>56</v>
      </c>
      <c r="D69" s="17" t="s">
        <v>228</v>
      </c>
      <c r="E69" s="550">
        <v>0</v>
      </c>
      <c r="F69" s="550">
        <v>0</v>
      </c>
      <c r="G69" s="122"/>
      <c r="H69" s="204"/>
    </row>
    <row r="70" spans="1:10">
      <c r="A70" s="202" t="s">
        <v>474</v>
      </c>
      <c r="B70" s="23" t="s">
        <v>623</v>
      </c>
      <c r="C70" s="16" t="s">
        <v>56</v>
      </c>
      <c r="D70" s="17">
        <v>10</v>
      </c>
      <c r="E70" s="550">
        <v>1950</v>
      </c>
      <c r="F70" s="550">
        <v>488</v>
      </c>
      <c r="G70" s="122">
        <f t="shared" si="0"/>
        <v>19500</v>
      </c>
      <c r="H70" s="204">
        <f t="shared" si="1"/>
        <v>4880</v>
      </c>
    </row>
    <row r="71" spans="1:10">
      <c r="A71" s="202" t="s">
        <v>475</v>
      </c>
      <c r="B71" s="23" t="s">
        <v>303</v>
      </c>
      <c r="C71" s="16" t="s">
        <v>56</v>
      </c>
      <c r="D71" s="17">
        <v>1</v>
      </c>
      <c r="E71" s="550">
        <v>2438</v>
      </c>
      <c r="F71" s="550">
        <v>488</v>
      </c>
      <c r="G71" s="122">
        <f t="shared" si="0"/>
        <v>2438</v>
      </c>
      <c r="H71" s="204">
        <f t="shared" si="1"/>
        <v>488</v>
      </c>
    </row>
    <row r="72" spans="1:10">
      <c r="A72" s="202" t="s">
        <v>476</v>
      </c>
      <c r="B72" s="23" t="s">
        <v>61</v>
      </c>
      <c r="C72" s="16" t="s">
        <v>56</v>
      </c>
      <c r="D72" s="17" t="s">
        <v>228</v>
      </c>
      <c r="E72" s="550">
        <v>0</v>
      </c>
      <c r="F72" s="550">
        <v>0</v>
      </c>
      <c r="G72" s="122"/>
      <c r="H72" s="204"/>
    </row>
    <row r="73" spans="1:10">
      <c r="A73" s="202"/>
      <c r="B73" s="23"/>
      <c r="C73" s="16"/>
      <c r="D73" s="17"/>
      <c r="E73" s="550">
        <v>0</v>
      </c>
      <c r="F73" s="550">
        <v>0</v>
      </c>
      <c r="G73" s="122"/>
      <c r="H73" s="204"/>
    </row>
    <row r="74" spans="1:10">
      <c r="A74" s="203">
        <v>1.1200000000000001</v>
      </c>
      <c r="B74" s="28" t="s">
        <v>452</v>
      </c>
      <c r="C74" s="16"/>
      <c r="D74" s="17"/>
      <c r="E74" s="550">
        <v>0</v>
      </c>
      <c r="F74" s="550">
        <v>0</v>
      </c>
      <c r="G74" s="122"/>
      <c r="H74" s="204"/>
    </row>
    <row r="75" spans="1:10">
      <c r="A75" s="203" t="s">
        <v>555</v>
      </c>
      <c r="B75" s="27" t="s">
        <v>305</v>
      </c>
      <c r="C75" s="16" t="s">
        <v>56</v>
      </c>
      <c r="D75" s="17" t="s">
        <v>228</v>
      </c>
      <c r="E75" s="550">
        <v>0</v>
      </c>
      <c r="F75" s="550">
        <v>0</v>
      </c>
      <c r="G75" s="122"/>
      <c r="H75" s="204"/>
      <c r="I75" s="162"/>
    </row>
    <row r="76" spans="1:10">
      <c r="A76" s="203" t="s">
        <v>556</v>
      </c>
      <c r="B76" s="27" t="s">
        <v>306</v>
      </c>
      <c r="C76" s="16" t="s">
        <v>56</v>
      </c>
      <c r="D76" s="17" t="s">
        <v>228</v>
      </c>
      <c r="E76" s="550">
        <v>0</v>
      </c>
      <c r="F76" s="550">
        <v>0</v>
      </c>
      <c r="G76" s="122"/>
      <c r="H76" s="204"/>
      <c r="I76" s="162"/>
    </row>
    <row r="77" spans="1:10">
      <c r="A77" s="203" t="s">
        <v>557</v>
      </c>
      <c r="B77" s="27" t="s">
        <v>304</v>
      </c>
      <c r="C77" s="16" t="s">
        <v>56</v>
      </c>
      <c r="D77" s="17">
        <v>10</v>
      </c>
      <c r="E77" s="550">
        <v>2438</v>
      </c>
      <c r="F77" s="550">
        <v>488</v>
      </c>
      <c r="G77" s="122">
        <f t="shared" si="0"/>
        <v>24380</v>
      </c>
      <c r="H77" s="204">
        <f t="shared" si="1"/>
        <v>4880</v>
      </c>
      <c r="I77" s="162"/>
    </row>
    <row r="78" spans="1:10">
      <c r="A78" s="203" t="s">
        <v>558</v>
      </c>
      <c r="B78" s="27" t="s">
        <v>301</v>
      </c>
      <c r="C78" s="16" t="s">
        <v>56</v>
      </c>
      <c r="D78" s="17" t="s">
        <v>228</v>
      </c>
      <c r="E78" s="550">
        <v>0</v>
      </c>
      <c r="F78" s="550">
        <v>0</v>
      </c>
      <c r="G78" s="122"/>
      <c r="H78" s="204"/>
      <c r="I78" s="162"/>
    </row>
    <row r="79" spans="1:10">
      <c r="A79" s="203" t="s">
        <v>559</v>
      </c>
      <c r="B79" s="22" t="s">
        <v>62</v>
      </c>
      <c r="C79" s="16" t="s">
        <v>56</v>
      </c>
      <c r="D79" s="17">
        <v>8</v>
      </c>
      <c r="E79" s="550">
        <v>2926</v>
      </c>
      <c r="F79" s="550">
        <v>488</v>
      </c>
      <c r="G79" s="122">
        <f t="shared" si="0"/>
        <v>23408</v>
      </c>
      <c r="H79" s="204">
        <f t="shared" si="1"/>
        <v>3904</v>
      </c>
      <c r="I79" s="162"/>
    </row>
    <row r="80" spans="1:10">
      <c r="A80" s="203"/>
      <c r="B80" s="27"/>
      <c r="C80" s="16"/>
      <c r="D80" s="17"/>
      <c r="E80" s="550">
        <v>0</v>
      </c>
      <c r="F80" s="550">
        <v>0</v>
      </c>
      <c r="G80" s="122">
        <f t="shared" si="0"/>
        <v>0</v>
      </c>
      <c r="H80" s="204">
        <f t="shared" si="1"/>
        <v>0</v>
      </c>
      <c r="I80" s="162"/>
    </row>
    <row r="81" spans="1:9">
      <c r="A81" s="203">
        <v>1.1299999999999999</v>
      </c>
      <c r="B81" s="28" t="s">
        <v>622</v>
      </c>
      <c r="C81" s="16"/>
      <c r="D81" s="17"/>
      <c r="E81" s="550">
        <v>0</v>
      </c>
      <c r="F81" s="550">
        <v>0</v>
      </c>
      <c r="G81" s="122">
        <f t="shared" si="0"/>
        <v>0</v>
      </c>
      <c r="H81" s="204">
        <f t="shared" si="1"/>
        <v>0</v>
      </c>
      <c r="I81" s="162"/>
    </row>
    <row r="82" spans="1:9">
      <c r="A82" s="203" t="s">
        <v>560</v>
      </c>
      <c r="B82" s="27" t="s">
        <v>63</v>
      </c>
      <c r="C82" s="16" t="s">
        <v>56</v>
      </c>
      <c r="D82" s="17">
        <v>4</v>
      </c>
      <c r="E82" s="550">
        <v>8289</v>
      </c>
      <c r="F82" s="550">
        <v>1463</v>
      </c>
      <c r="G82" s="122">
        <f t="shared" si="0"/>
        <v>33156</v>
      </c>
      <c r="H82" s="204">
        <f t="shared" si="1"/>
        <v>5852</v>
      </c>
      <c r="I82" s="162"/>
    </row>
    <row r="83" spans="1:9">
      <c r="A83" s="203" t="s">
        <v>561</v>
      </c>
      <c r="B83" s="27" t="s">
        <v>307</v>
      </c>
      <c r="C83" s="16" t="s">
        <v>56</v>
      </c>
      <c r="D83" s="17" t="s">
        <v>228</v>
      </c>
      <c r="E83" s="550">
        <v>0</v>
      </c>
      <c r="F83" s="550">
        <v>0</v>
      </c>
      <c r="G83" s="122"/>
      <c r="H83" s="204"/>
      <c r="I83" s="162"/>
    </row>
    <row r="84" spans="1:9">
      <c r="A84" s="203" t="s">
        <v>562</v>
      </c>
      <c r="B84" s="27" t="s">
        <v>64</v>
      </c>
      <c r="C84" s="16" t="s">
        <v>56</v>
      </c>
      <c r="D84" s="17" t="s">
        <v>228</v>
      </c>
      <c r="E84" s="550">
        <v>0</v>
      </c>
      <c r="F84" s="550">
        <v>0</v>
      </c>
      <c r="G84" s="122"/>
      <c r="H84" s="204"/>
      <c r="I84" s="162"/>
    </row>
    <row r="85" spans="1:9">
      <c r="A85" s="203" t="s">
        <v>563</v>
      </c>
      <c r="B85" s="27" t="s">
        <v>216</v>
      </c>
      <c r="C85" s="16" t="s">
        <v>56</v>
      </c>
      <c r="D85" s="17" t="s">
        <v>228</v>
      </c>
      <c r="E85" s="550">
        <v>0</v>
      </c>
      <c r="F85" s="550">
        <v>0</v>
      </c>
      <c r="G85" s="122"/>
      <c r="H85" s="204"/>
      <c r="I85" s="162"/>
    </row>
    <row r="86" spans="1:9">
      <c r="A86" s="203" t="s">
        <v>564</v>
      </c>
      <c r="B86" s="27" t="s">
        <v>308</v>
      </c>
      <c r="C86" s="16" t="s">
        <v>56</v>
      </c>
      <c r="D86" s="17" t="s">
        <v>228</v>
      </c>
      <c r="E86" s="550">
        <v>0</v>
      </c>
      <c r="F86" s="550">
        <v>0</v>
      </c>
      <c r="G86" s="122"/>
      <c r="H86" s="204"/>
      <c r="I86" s="162"/>
    </row>
    <row r="87" spans="1:9">
      <c r="A87" s="203" t="s">
        <v>565</v>
      </c>
      <c r="B87" s="27" t="s">
        <v>263</v>
      </c>
      <c r="C87" s="16" t="s">
        <v>56</v>
      </c>
      <c r="D87" s="17" t="s">
        <v>228</v>
      </c>
      <c r="E87" s="550">
        <v>0</v>
      </c>
      <c r="F87" s="550">
        <v>0</v>
      </c>
      <c r="G87" s="122"/>
      <c r="H87" s="204"/>
      <c r="I87" s="162"/>
    </row>
    <row r="88" spans="1:9">
      <c r="A88" s="203" t="s">
        <v>566</v>
      </c>
      <c r="B88" s="27" t="s">
        <v>278</v>
      </c>
      <c r="C88" s="16" t="s">
        <v>56</v>
      </c>
      <c r="D88" s="17" t="s">
        <v>228</v>
      </c>
      <c r="E88" s="550">
        <v>0</v>
      </c>
      <c r="F88" s="550">
        <v>0</v>
      </c>
      <c r="G88" s="122"/>
      <c r="H88" s="204"/>
      <c r="I88" s="162"/>
    </row>
    <row r="89" spans="1:9">
      <c r="A89" s="203"/>
      <c r="B89" s="27"/>
      <c r="C89" s="16"/>
      <c r="D89" s="17"/>
      <c r="E89" s="550">
        <v>0</v>
      </c>
      <c r="F89" s="550">
        <v>0</v>
      </c>
      <c r="G89" s="122"/>
      <c r="H89" s="204"/>
      <c r="I89" s="162"/>
    </row>
    <row r="90" spans="1:9">
      <c r="A90" s="203">
        <v>1.1399999999999999</v>
      </c>
      <c r="B90" s="28" t="s">
        <v>477</v>
      </c>
      <c r="C90" s="16"/>
      <c r="D90" s="17"/>
      <c r="E90" s="550">
        <v>0</v>
      </c>
      <c r="F90" s="550">
        <v>0</v>
      </c>
      <c r="G90" s="122"/>
      <c r="H90" s="204"/>
      <c r="I90" s="162"/>
    </row>
    <row r="91" spans="1:9">
      <c r="A91" s="203"/>
      <c r="B91" s="28"/>
      <c r="C91" s="16"/>
      <c r="D91" s="17"/>
      <c r="E91" s="550">
        <v>0</v>
      </c>
      <c r="F91" s="550">
        <v>0</v>
      </c>
      <c r="G91" s="122"/>
      <c r="H91" s="204"/>
      <c r="I91" s="162"/>
    </row>
    <row r="92" spans="1:9" ht="29">
      <c r="A92" s="203" t="s">
        <v>570</v>
      </c>
      <c r="B92" s="27" t="s">
        <v>500</v>
      </c>
      <c r="C92" s="16" t="s">
        <v>56</v>
      </c>
      <c r="D92" s="17" t="s">
        <v>228</v>
      </c>
      <c r="E92" s="550">
        <v>0</v>
      </c>
      <c r="F92" s="550">
        <v>0</v>
      </c>
      <c r="G92" s="122"/>
      <c r="H92" s="204"/>
      <c r="I92" s="162"/>
    </row>
    <row r="93" spans="1:9" ht="29">
      <c r="A93" s="203" t="s">
        <v>571</v>
      </c>
      <c r="B93" s="27" t="s">
        <v>501</v>
      </c>
      <c r="C93" s="16" t="s">
        <v>56</v>
      </c>
      <c r="D93" s="17">
        <v>1</v>
      </c>
      <c r="E93" s="550">
        <v>7314</v>
      </c>
      <c r="F93" s="550">
        <v>2438</v>
      </c>
      <c r="G93" s="122">
        <f t="shared" si="0"/>
        <v>7314</v>
      </c>
      <c r="H93" s="204">
        <f t="shared" si="1"/>
        <v>2438</v>
      </c>
      <c r="I93" s="162"/>
    </row>
    <row r="94" spans="1:9" ht="29">
      <c r="A94" s="203" t="s">
        <v>572</v>
      </c>
      <c r="B94" s="27" t="s">
        <v>502</v>
      </c>
      <c r="C94" s="16" t="s">
        <v>56</v>
      </c>
      <c r="D94" s="17">
        <v>5</v>
      </c>
      <c r="E94" s="550">
        <v>9264</v>
      </c>
      <c r="F94" s="550">
        <v>2438</v>
      </c>
      <c r="G94" s="122">
        <f t="shared" si="0"/>
        <v>46320</v>
      </c>
      <c r="H94" s="204">
        <f t="shared" si="1"/>
        <v>12190</v>
      </c>
      <c r="I94" s="162"/>
    </row>
    <row r="95" spans="1:9" ht="29">
      <c r="A95" s="203" t="s">
        <v>573</v>
      </c>
      <c r="B95" s="27" t="s">
        <v>503</v>
      </c>
      <c r="C95" s="16" t="s">
        <v>56</v>
      </c>
      <c r="D95" s="17" t="s">
        <v>228</v>
      </c>
      <c r="E95" s="550">
        <v>0</v>
      </c>
      <c r="F95" s="550">
        <v>0</v>
      </c>
      <c r="G95" s="122"/>
      <c r="H95" s="204"/>
      <c r="I95" s="162"/>
    </row>
    <row r="96" spans="1:9" ht="29">
      <c r="A96" s="203" t="s">
        <v>574</v>
      </c>
      <c r="B96" s="27" t="s">
        <v>504</v>
      </c>
      <c r="C96" s="16" t="s">
        <v>56</v>
      </c>
      <c r="D96" s="17">
        <v>3</v>
      </c>
      <c r="E96" s="550">
        <v>15116</v>
      </c>
      <c r="F96" s="550">
        <v>2438</v>
      </c>
      <c r="G96" s="122">
        <f t="shared" si="0"/>
        <v>45348</v>
      </c>
      <c r="H96" s="204">
        <f t="shared" si="1"/>
        <v>7314</v>
      </c>
      <c r="I96" s="162"/>
    </row>
    <row r="97" spans="1:8">
      <c r="A97" s="205"/>
      <c r="B97" s="29"/>
      <c r="C97" s="30"/>
      <c r="D97" s="17"/>
      <c r="E97" s="551">
        <v>0</v>
      </c>
      <c r="F97" s="551">
        <v>0</v>
      </c>
      <c r="G97" s="18"/>
      <c r="H97" s="200"/>
    </row>
    <row r="98" spans="1:8">
      <c r="A98" s="206"/>
      <c r="B98" s="99" t="s">
        <v>65</v>
      </c>
      <c r="C98" s="100"/>
      <c r="D98" s="101"/>
      <c r="E98" s="552">
        <v>0</v>
      </c>
      <c r="F98" s="552">
        <v>0</v>
      </c>
      <c r="G98" s="102">
        <f>SUM(G48:G97)</f>
        <v>2834904</v>
      </c>
      <c r="H98" s="207">
        <f>SUM(H48:H97)</f>
        <v>334506</v>
      </c>
    </row>
    <row r="99" spans="1:8">
      <c r="A99" s="208"/>
      <c r="B99" s="32"/>
      <c r="C99" s="33"/>
      <c r="D99" s="34"/>
      <c r="E99" s="553">
        <v>0</v>
      </c>
      <c r="F99" s="553">
        <v>0</v>
      </c>
      <c r="G99" s="35"/>
      <c r="H99" s="209"/>
    </row>
    <row r="100" spans="1:8">
      <c r="A100" s="195">
        <v>2</v>
      </c>
      <c r="B100" s="94" t="s">
        <v>66</v>
      </c>
      <c r="C100" s="95"/>
      <c r="D100" s="96"/>
      <c r="E100" s="554">
        <v>0</v>
      </c>
      <c r="F100" s="554">
        <v>0</v>
      </c>
      <c r="G100" s="97"/>
      <c r="H100" s="196"/>
    </row>
    <row r="101" spans="1:8">
      <c r="A101" s="210"/>
      <c r="B101" s="36"/>
      <c r="C101" s="12"/>
      <c r="D101" s="13"/>
      <c r="E101" s="555">
        <v>0</v>
      </c>
      <c r="F101" s="555">
        <v>0</v>
      </c>
      <c r="G101" s="18"/>
      <c r="H101" s="200"/>
    </row>
    <row r="102" spans="1:8" ht="72.5">
      <c r="A102" s="199"/>
      <c r="B102" s="23" t="s">
        <v>67</v>
      </c>
      <c r="C102" s="16"/>
      <c r="D102" s="17"/>
      <c r="E102" s="550">
        <v>0</v>
      </c>
      <c r="F102" s="550">
        <v>0</v>
      </c>
      <c r="G102" s="18"/>
      <c r="H102" s="200"/>
    </row>
    <row r="103" spans="1:8" ht="58">
      <c r="A103" s="199"/>
      <c r="B103" s="23" t="s">
        <v>68</v>
      </c>
      <c r="C103" s="16"/>
      <c r="D103" s="17"/>
      <c r="E103" s="550">
        <v>0</v>
      </c>
      <c r="F103" s="550">
        <v>0</v>
      </c>
      <c r="G103" s="18"/>
      <c r="H103" s="200"/>
    </row>
    <row r="104" spans="1:8">
      <c r="A104" s="199"/>
      <c r="B104" s="23" t="s">
        <v>69</v>
      </c>
      <c r="C104" s="16"/>
      <c r="D104" s="17"/>
      <c r="E104" s="550">
        <v>0</v>
      </c>
      <c r="F104" s="550">
        <v>0</v>
      </c>
      <c r="G104" s="18"/>
      <c r="H104" s="200"/>
    </row>
    <row r="105" spans="1:8">
      <c r="A105" s="199"/>
      <c r="B105" s="23" t="s">
        <v>70</v>
      </c>
      <c r="C105" s="16"/>
      <c r="D105" s="17"/>
      <c r="E105" s="550">
        <v>0</v>
      </c>
      <c r="F105" s="550">
        <v>0</v>
      </c>
      <c r="G105" s="18"/>
      <c r="H105" s="200"/>
    </row>
    <row r="106" spans="1:8">
      <c r="A106" s="199"/>
      <c r="B106" s="23" t="s">
        <v>71</v>
      </c>
      <c r="C106" s="16"/>
      <c r="D106" s="17"/>
      <c r="E106" s="550">
        <v>0</v>
      </c>
      <c r="F106" s="550">
        <v>0</v>
      </c>
      <c r="G106" s="18"/>
      <c r="H106" s="200"/>
    </row>
    <row r="107" spans="1:8">
      <c r="A107" s="199"/>
      <c r="B107" s="23" t="s">
        <v>72</v>
      </c>
      <c r="C107" s="16"/>
      <c r="D107" s="17"/>
      <c r="E107" s="550">
        <v>0</v>
      </c>
      <c r="F107" s="550">
        <v>0</v>
      </c>
      <c r="G107" s="18"/>
      <c r="H107" s="200"/>
    </row>
    <row r="108" spans="1:8">
      <c r="A108" s="199"/>
      <c r="B108" s="23" t="s">
        <v>73</v>
      </c>
      <c r="C108" s="16"/>
      <c r="D108" s="17"/>
      <c r="E108" s="550">
        <v>0</v>
      </c>
      <c r="F108" s="550">
        <v>0</v>
      </c>
      <c r="G108" s="18"/>
      <c r="H108" s="200"/>
    </row>
    <row r="109" spans="1:8">
      <c r="A109" s="199"/>
      <c r="B109" s="23" t="s">
        <v>74</v>
      </c>
      <c r="C109" s="16"/>
      <c r="D109" s="17"/>
      <c r="E109" s="550">
        <v>0</v>
      </c>
      <c r="F109" s="550">
        <v>0</v>
      </c>
      <c r="G109" s="18"/>
      <c r="H109" s="200"/>
    </row>
    <row r="110" spans="1:8">
      <c r="A110" s="199"/>
      <c r="B110" s="23" t="s">
        <v>75</v>
      </c>
      <c r="C110" s="16"/>
      <c r="D110" s="17"/>
      <c r="E110" s="550">
        <v>0</v>
      </c>
      <c r="F110" s="550">
        <v>0</v>
      </c>
      <c r="G110" s="18"/>
      <c r="H110" s="200"/>
    </row>
    <row r="111" spans="1:8">
      <c r="A111" s="199"/>
      <c r="B111" s="23" t="s">
        <v>76</v>
      </c>
      <c r="C111" s="16"/>
      <c r="D111" s="17"/>
      <c r="E111" s="550">
        <v>0</v>
      </c>
      <c r="F111" s="550">
        <v>0</v>
      </c>
      <c r="G111" s="18"/>
      <c r="H111" s="200"/>
    </row>
    <row r="112" spans="1:8">
      <c r="A112" s="199"/>
      <c r="B112" s="23" t="s">
        <v>77</v>
      </c>
      <c r="C112" s="16"/>
      <c r="D112" s="17"/>
      <c r="E112" s="550">
        <v>0</v>
      </c>
      <c r="F112" s="550">
        <v>0</v>
      </c>
      <c r="G112" s="18"/>
      <c r="H112" s="200"/>
    </row>
    <row r="113" spans="1:11">
      <c r="A113" s="199"/>
      <c r="B113" s="23"/>
      <c r="C113" s="16"/>
      <c r="D113" s="17"/>
      <c r="E113" s="550">
        <v>0</v>
      </c>
      <c r="F113" s="550">
        <v>0</v>
      </c>
      <c r="G113" s="18"/>
      <c r="H113" s="200"/>
    </row>
    <row r="114" spans="1:11" ht="29">
      <c r="A114" s="211">
        <v>2.1</v>
      </c>
      <c r="B114" s="37" t="s">
        <v>78</v>
      </c>
      <c r="C114" s="16"/>
      <c r="D114" s="17"/>
      <c r="E114" s="550">
        <v>0</v>
      </c>
      <c r="F114" s="550">
        <v>0</v>
      </c>
      <c r="G114" s="18"/>
      <c r="H114" s="200"/>
    </row>
    <row r="115" spans="1:11">
      <c r="A115" s="211"/>
      <c r="B115" s="37"/>
      <c r="C115" s="16"/>
      <c r="D115" s="17"/>
      <c r="E115" s="556">
        <v>0</v>
      </c>
      <c r="F115" s="556">
        <v>0</v>
      </c>
      <c r="G115" s="18"/>
      <c r="H115" s="200"/>
    </row>
    <row r="116" spans="1:11">
      <c r="A116" s="199" t="s">
        <v>282</v>
      </c>
      <c r="B116" s="38" t="s">
        <v>446</v>
      </c>
      <c r="C116" s="16" t="s">
        <v>79</v>
      </c>
      <c r="D116" s="17" t="s">
        <v>228</v>
      </c>
      <c r="E116" s="556">
        <v>0</v>
      </c>
      <c r="F116" s="556">
        <v>0</v>
      </c>
      <c r="G116" s="122"/>
      <c r="H116" s="204"/>
      <c r="J116" s="163"/>
    </row>
    <row r="117" spans="1:11">
      <c r="A117" s="199" t="s">
        <v>283</v>
      </c>
      <c r="B117" s="38" t="s">
        <v>80</v>
      </c>
      <c r="C117" s="16" t="s">
        <v>56</v>
      </c>
      <c r="D117" s="17" t="s">
        <v>228</v>
      </c>
      <c r="E117" s="556">
        <v>0</v>
      </c>
      <c r="F117" s="556">
        <v>0</v>
      </c>
      <c r="G117" s="122"/>
      <c r="H117" s="204"/>
      <c r="J117" s="163"/>
    </row>
    <row r="118" spans="1:11">
      <c r="A118" s="211"/>
      <c r="B118" s="37"/>
      <c r="C118" s="16"/>
      <c r="D118" s="17"/>
      <c r="E118" s="556">
        <v>0</v>
      </c>
      <c r="F118" s="556">
        <v>0</v>
      </c>
      <c r="G118" s="18"/>
      <c r="H118" s="200"/>
    </row>
    <row r="119" spans="1:11">
      <c r="A119" s="199" t="s">
        <v>81</v>
      </c>
      <c r="B119" s="38" t="s">
        <v>447</v>
      </c>
      <c r="C119" s="16" t="s">
        <v>79</v>
      </c>
      <c r="D119" s="17" t="s">
        <v>228</v>
      </c>
      <c r="E119" s="556">
        <v>0</v>
      </c>
      <c r="F119" s="556">
        <v>0</v>
      </c>
      <c r="G119" s="122"/>
      <c r="H119" s="204"/>
      <c r="J119" s="163"/>
    </row>
    <row r="120" spans="1:11">
      <c r="A120" s="199" t="s">
        <v>82</v>
      </c>
      <c r="B120" s="38" t="s">
        <v>80</v>
      </c>
      <c r="C120" s="16" t="s">
        <v>56</v>
      </c>
      <c r="D120" s="17" t="s">
        <v>228</v>
      </c>
      <c r="E120" s="556">
        <v>0</v>
      </c>
      <c r="F120" s="556">
        <v>0</v>
      </c>
      <c r="G120" s="122"/>
      <c r="H120" s="204"/>
      <c r="J120" s="163"/>
    </row>
    <row r="121" spans="1:11">
      <c r="A121" s="211"/>
      <c r="B121" s="37"/>
      <c r="C121" s="16"/>
      <c r="D121" s="17"/>
      <c r="E121" s="556">
        <v>0</v>
      </c>
      <c r="F121" s="556">
        <v>0</v>
      </c>
      <c r="G121" s="18"/>
      <c r="H121" s="200"/>
    </row>
    <row r="122" spans="1:11">
      <c r="A122" s="199" t="s">
        <v>83</v>
      </c>
      <c r="B122" s="38" t="s">
        <v>280</v>
      </c>
      <c r="C122" s="16" t="s">
        <v>79</v>
      </c>
      <c r="D122" s="17">
        <v>320</v>
      </c>
      <c r="E122" s="556">
        <v>1936</v>
      </c>
      <c r="F122" s="556">
        <v>146</v>
      </c>
      <c r="G122" s="122">
        <f t="shared" ref="G122:G123" si="2">E122*D122</f>
        <v>619520</v>
      </c>
      <c r="H122" s="204">
        <f t="shared" ref="H122:H123" si="3">F122*D122</f>
        <v>46720</v>
      </c>
      <c r="J122" s="163">
        <f>4918*35%</f>
        <v>1721.3</v>
      </c>
      <c r="K122" s="483"/>
    </row>
    <row r="123" spans="1:11">
      <c r="A123" s="199" t="s">
        <v>84</v>
      </c>
      <c r="B123" s="38" t="s">
        <v>80</v>
      </c>
      <c r="C123" s="16" t="s">
        <v>56</v>
      </c>
      <c r="D123" s="17">
        <v>10</v>
      </c>
      <c r="E123" s="556">
        <v>1950</v>
      </c>
      <c r="F123" s="556">
        <v>488</v>
      </c>
      <c r="G123" s="122">
        <f t="shared" si="2"/>
        <v>19500</v>
      </c>
      <c r="H123" s="204">
        <f t="shared" si="3"/>
        <v>4880</v>
      </c>
      <c r="J123" s="163"/>
    </row>
    <row r="124" spans="1:11">
      <c r="A124" s="211"/>
      <c r="B124" s="37"/>
      <c r="C124" s="16"/>
      <c r="D124" s="17"/>
      <c r="E124" s="556">
        <v>0</v>
      </c>
      <c r="F124" s="556">
        <v>0</v>
      </c>
      <c r="G124" s="18"/>
      <c r="H124" s="200"/>
    </row>
    <row r="125" spans="1:11">
      <c r="A125" s="199" t="s">
        <v>85</v>
      </c>
      <c r="B125" s="38" t="s">
        <v>406</v>
      </c>
      <c r="C125" s="16" t="s">
        <v>79</v>
      </c>
      <c r="D125" s="17" t="s">
        <v>228</v>
      </c>
      <c r="E125" s="556">
        <v>0</v>
      </c>
      <c r="F125" s="556">
        <v>0</v>
      </c>
      <c r="G125" s="122"/>
      <c r="H125" s="204"/>
      <c r="J125" s="163"/>
    </row>
    <row r="126" spans="1:11">
      <c r="A126" s="199" t="s">
        <v>86</v>
      </c>
      <c r="B126" s="38" t="s">
        <v>80</v>
      </c>
      <c r="C126" s="16" t="s">
        <v>56</v>
      </c>
      <c r="D126" s="17" t="s">
        <v>228</v>
      </c>
      <c r="E126" s="556">
        <v>0</v>
      </c>
      <c r="F126" s="556">
        <v>0</v>
      </c>
      <c r="G126" s="122"/>
      <c r="H126" s="204"/>
      <c r="J126" s="163"/>
    </row>
    <row r="127" spans="1:11">
      <c r="A127" s="199"/>
      <c r="B127" s="37"/>
      <c r="C127" s="16"/>
      <c r="D127" s="17"/>
      <c r="E127" s="556">
        <v>0</v>
      </c>
      <c r="F127" s="556">
        <v>0</v>
      </c>
      <c r="G127" s="18"/>
      <c r="H127" s="200"/>
    </row>
    <row r="128" spans="1:11">
      <c r="A128" s="199" t="s">
        <v>265</v>
      </c>
      <c r="B128" s="38" t="s">
        <v>309</v>
      </c>
      <c r="C128" s="16" t="s">
        <v>79</v>
      </c>
      <c r="D128" s="17" t="s">
        <v>228</v>
      </c>
      <c r="E128" s="556">
        <v>0</v>
      </c>
      <c r="F128" s="556">
        <v>0</v>
      </c>
      <c r="G128" s="122"/>
      <c r="H128" s="204"/>
      <c r="J128" s="163"/>
    </row>
    <row r="129" spans="1:11">
      <c r="A129" s="199" t="s">
        <v>266</v>
      </c>
      <c r="B129" s="38" t="s">
        <v>80</v>
      </c>
      <c r="C129" s="16" t="s">
        <v>56</v>
      </c>
      <c r="D129" s="17" t="s">
        <v>228</v>
      </c>
      <c r="E129" s="556">
        <v>0</v>
      </c>
      <c r="F129" s="556">
        <v>0</v>
      </c>
      <c r="G129" s="122"/>
      <c r="H129" s="204"/>
      <c r="J129" s="163"/>
    </row>
    <row r="130" spans="1:11">
      <c r="A130" s="199"/>
      <c r="B130" s="37"/>
      <c r="C130" s="16"/>
      <c r="D130" s="17"/>
      <c r="E130" s="556">
        <v>0</v>
      </c>
      <c r="F130" s="556">
        <v>0</v>
      </c>
      <c r="G130" s="18"/>
      <c r="H130" s="200"/>
    </row>
    <row r="131" spans="1:11">
      <c r="A131" s="199" t="s">
        <v>87</v>
      </c>
      <c r="B131" s="38" t="s">
        <v>281</v>
      </c>
      <c r="C131" s="16" t="s">
        <v>79</v>
      </c>
      <c r="D131" s="17">
        <v>400</v>
      </c>
      <c r="E131" s="556">
        <v>829</v>
      </c>
      <c r="F131" s="556">
        <v>146</v>
      </c>
      <c r="G131" s="122">
        <f t="shared" ref="G131:G132" si="4">E131*D131</f>
        <v>331600</v>
      </c>
      <c r="H131" s="204">
        <f t="shared" ref="H131:H132" si="5">F131*D131</f>
        <v>58400</v>
      </c>
      <c r="J131" s="163"/>
      <c r="K131" s="483"/>
    </row>
    <row r="132" spans="1:11">
      <c r="A132" s="199" t="s">
        <v>88</v>
      </c>
      <c r="B132" s="38" t="s">
        <v>80</v>
      </c>
      <c r="C132" s="16" t="s">
        <v>56</v>
      </c>
      <c r="D132" s="17">
        <v>14</v>
      </c>
      <c r="E132" s="556">
        <v>1463</v>
      </c>
      <c r="F132" s="556">
        <v>488</v>
      </c>
      <c r="G132" s="122">
        <f t="shared" si="4"/>
        <v>20482</v>
      </c>
      <c r="H132" s="204">
        <f t="shared" si="5"/>
        <v>6832</v>
      </c>
      <c r="J132" s="163"/>
    </row>
    <row r="133" spans="1:11">
      <c r="A133" s="199"/>
      <c r="B133" s="37"/>
      <c r="C133" s="16"/>
      <c r="D133" s="17"/>
      <c r="E133" s="556">
        <v>0</v>
      </c>
      <c r="F133" s="556">
        <v>0</v>
      </c>
      <c r="G133" s="18"/>
      <c r="H133" s="200"/>
    </row>
    <row r="134" spans="1:11">
      <c r="A134" s="199" t="s">
        <v>267</v>
      </c>
      <c r="B134" s="38" t="s">
        <v>264</v>
      </c>
      <c r="C134" s="16" t="s">
        <v>79</v>
      </c>
      <c r="D134" s="17">
        <v>140</v>
      </c>
      <c r="E134" s="556">
        <v>653</v>
      </c>
      <c r="F134" s="556">
        <v>146</v>
      </c>
      <c r="G134" s="122">
        <f t="shared" ref="G134:G135" si="6">E134*D134</f>
        <v>91420</v>
      </c>
      <c r="H134" s="204">
        <f t="shared" ref="H134:H135" si="7">F134*D134</f>
        <v>20440</v>
      </c>
      <c r="J134" s="163"/>
    </row>
    <row r="135" spans="1:11">
      <c r="A135" s="199" t="s">
        <v>268</v>
      </c>
      <c r="B135" s="38" t="s">
        <v>80</v>
      </c>
      <c r="C135" s="16" t="s">
        <v>56</v>
      </c>
      <c r="D135" s="17">
        <v>8</v>
      </c>
      <c r="E135" s="556">
        <v>975</v>
      </c>
      <c r="F135" s="556">
        <v>488</v>
      </c>
      <c r="G135" s="122">
        <f t="shared" si="6"/>
        <v>7800</v>
      </c>
      <c r="H135" s="204">
        <f t="shared" si="7"/>
        <v>3904</v>
      </c>
      <c r="J135" s="163"/>
    </row>
    <row r="136" spans="1:11">
      <c r="A136" s="199"/>
      <c r="B136" s="37"/>
      <c r="C136" s="16"/>
      <c r="D136" s="17"/>
      <c r="E136" s="556">
        <v>0</v>
      </c>
      <c r="F136" s="556">
        <v>0</v>
      </c>
      <c r="G136" s="18"/>
      <c r="H136" s="200"/>
    </row>
    <row r="137" spans="1:11">
      <c r="A137" s="199" t="s">
        <v>269</v>
      </c>
      <c r="B137" s="38" t="s">
        <v>221</v>
      </c>
      <c r="C137" s="16" t="s">
        <v>79</v>
      </c>
      <c r="D137" s="17" t="s">
        <v>228</v>
      </c>
      <c r="E137" s="556">
        <v>0</v>
      </c>
      <c r="F137" s="556">
        <v>0</v>
      </c>
      <c r="G137" s="122"/>
      <c r="H137" s="204"/>
      <c r="J137" s="163"/>
    </row>
    <row r="138" spans="1:11">
      <c r="A138" s="199" t="s">
        <v>270</v>
      </c>
      <c r="B138" s="38" t="s">
        <v>80</v>
      </c>
      <c r="C138" s="16" t="s">
        <v>56</v>
      </c>
      <c r="D138" s="17" t="s">
        <v>228</v>
      </c>
      <c r="E138" s="556">
        <v>0</v>
      </c>
      <c r="F138" s="556">
        <v>0</v>
      </c>
      <c r="G138" s="122"/>
      <c r="H138" s="204"/>
      <c r="J138" s="163"/>
    </row>
    <row r="139" spans="1:11">
      <c r="A139" s="199"/>
      <c r="B139" s="39"/>
      <c r="C139" s="16"/>
      <c r="D139" s="17"/>
      <c r="E139" s="556">
        <v>0</v>
      </c>
      <c r="F139" s="556">
        <v>0</v>
      </c>
      <c r="G139" s="18"/>
      <c r="H139" s="200"/>
      <c r="J139" s="163"/>
    </row>
    <row r="140" spans="1:11">
      <c r="A140" s="199" t="s">
        <v>313</v>
      </c>
      <c r="B140" s="38" t="s">
        <v>222</v>
      </c>
      <c r="C140" s="16" t="s">
        <v>79</v>
      </c>
      <c r="D140" s="17">
        <v>250</v>
      </c>
      <c r="E140" s="556">
        <v>361</v>
      </c>
      <c r="F140" s="556">
        <v>98</v>
      </c>
      <c r="G140" s="122">
        <f t="shared" ref="G140:G141" si="8">E140*D140</f>
        <v>90250</v>
      </c>
      <c r="H140" s="204">
        <f t="shared" ref="H140:H141" si="9">F140*D140</f>
        <v>24500</v>
      </c>
      <c r="J140" s="163"/>
    </row>
    <row r="141" spans="1:11">
      <c r="A141" s="199" t="s">
        <v>314</v>
      </c>
      <c r="B141" s="38" t="s">
        <v>80</v>
      </c>
      <c r="C141" s="16" t="s">
        <v>56</v>
      </c>
      <c r="D141" s="17">
        <v>14</v>
      </c>
      <c r="E141" s="556">
        <v>975</v>
      </c>
      <c r="F141" s="556">
        <v>488</v>
      </c>
      <c r="G141" s="122">
        <f t="shared" si="8"/>
        <v>13650</v>
      </c>
      <c r="H141" s="204">
        <f t="shared" si="9"/>
        <v>6832</v>
      </c>
      <c r="J141" s="163"/>
    </row>
    <row r="142" spans="1:11">
      <c r="A142" s="199"/>
      <c r="B142" s="39"/>
      <c r="C142" s="16"/>
      <c r="D142" s="17"/>
      <c r="E142" s="556">
        <v>0</v>
      </c>
      <c r="F142" s="556">
        <v>0</v>
      </c>
      <c r="G142" s="18"/>
      <c r="H142" s="200"/>
      <c r="J142" s="163"/>
    </row>
    <row r="143" spans="1:11">
      <c r="A143" s="199" t="s">
        <v>315</v>
      </c>
      <c r="B143" s="38" t="s">
        <v>89</v>
      </c>
      <c r="C143" s="16" t="s">
        <v>79</v>
      </c>
      <c r="D143" s="17">
        <v>450</v>
      </c>
      <c r="E143" s="556">
        <v>317</v>
      </c>
      <c r="F143" s="556">
        <v>98</v>
      </c>
      <c r="G143" s="122">
        <f t="shared" ref="G143:G144" si="10">E143*D143</f>
        <v>142650</v>
      </c>
      <c r="H143" s="204">
        <f t="shared" ref="H143:H144" si="11">F143*D143</f>
        <v>44100</v>
      </c>
      <c r="J143" s="163"/>
    </row>
    <row r="144" spans="1:11">
      <c r="A144" s="199" t="s">
        <v>316</v>
      </c>
      <c r="B144" s="38" t="s">
        <v>80</v>
      </c>
      <c r="C144" s="16" t="s">
        <v>56</v>
      </c>
      <c r="D144" s="17">
        <v>18</v>
      </c>
      <c r="E144" s="556">
        <v>780</v>
      </c>
      <c r="F144" s="556">
        <v>390</v>
      </c>
      <c r="G144" s="122">
        <f t="shared" si="10"/>
        <v>14040</v>
      </c>
      <c r="H144" s="204">
        <f t="shared" si="11"/>
        <v>7020</v>
      </c>
      <c r="J144" s="163"/>
    </row>
    <row r="145" spans="1:10">
      <c r="A145" s="199"/>
      <c r="B145" s="38"/>
      <c r="C145" s="16"/>
      <c r="D145" s="17"/>
      <c r="E145" s="556">
        <v>0</v>
      </c>
      <c r="F145" s="556">
        <v>0</v>
      </c>
      <c r="G145" s="18"/>
      <c r="H145" s="200"/>
      <c r="J145" s="163"/>
    </row>
    <row r="146" spans="1:10">
      <c r="A146" s="199" t="s">
        <v>458</v>
      </c>
      <c r="B146" s="38" t="s">
        <v>448</v>
      </c>
      <c r="C146" s="16" t="s">
        <v>79</v>
      </c>
      <c r="D146" s="17" t="s">
        <v>228</v>
      </c>
      <c r="E146" s="556">
        <v>0</v>
      </c>
      <c r="F146" s="556">
        <v>0</v>
      </c>
      <c r="G146" s="122"/>
      <c r="H146" s="204"/>
      <c r="J146" s="163"/>
    </row>
    <row r="147" spans="1:10">
      <c r="A147" s="199" t="s">
        <v>459</v>
      </c>
      <c r="B147" s="38" t="s">
        <v>80</v>
      </c>
      <c r="C147" s="16" t="s">
        <v>56</v>
      </c>
      <c r="D147" s="17" t="s">
        <v>228</v>
      </c>
      <c r="E147" s="556">
        <v>0</v>
      </c>
      <c r="F147" s="556">
        <v>0</v>
      </c>
      <c r="G147" s="122"/>
      <c r="H147" s="204"/>
      <c r="J147" s="163"/>
    </row>
    <row r="148" spans="1:10">
      <c r="A148" s="199"/>
      <c r="B148" s="38"/>
      <c r="C148" s="16"/>
      <c r="D148" s="17"/>
      <c r="E148" s="556">
        <v>0</v>
      </c>
      <c r="F148" s="556">
        <v>0</v>
      </c>
      <c r="G148" s="18"/>
      <c r="H148" s="200"/>
      <c r="J148" s="163"/>
    </row>
    <row r="149" spans="1:10">
      <c r="A149" s="199" t="s">
        <v>454</v>
      </c>
      <c r="B149" s="38" t="s">
        <v>231</v>
      </c>
      <c r="C149" s="16" t="s">
        <v>79</v>
      </c>
      <c r="D149" s="17" t="s">
        <v>228</v>
      </c>
      <c r="E149" s="556">
        <v>0</v>
      </c>
      <c r="F149" s="556">
        <v>0</v>
      </c>
      <c r="G149" s="122"/>
      <c r="H149" s="204"/>
      <c r="J149" s="163"/>
    </row>
    <row r="150" spans="1:10">
      <c r="A150" s="199" t="s">
        <v>455</v>
      </c>
      <c r="B150" s="38" t="s">
        <v>80</v>
      </c>
      <c r="C150" s="16" t="s">
        <v>56</v>
      </c>
      <c r="D150" s="17" t="s">
        <v>228</v>
      </c>
      <c r="E150" s="556">
        <v>0</v>
      </c>
      <c r="F150" s="556">
        <v>0</v>
      </c>
      <c r="G150" s="122"/>
      <c r="H150" s="204"/>
      <c r="J150" s="163"/>
    </row>
    <row r="151" spans="1:10">
      <c r="A151" s="199"/>
      <c r="B151" s="39"/>
      <c r="C151" s="16"/>
      <c r="D151" s="17"/>
      <c r="E151" s="550">
        <v>0</v>
      </c>
      <c r="F151" s="550">
        <v>0</v>
      </c>
      <c r="G151" s="18"/>
      <c r="H151" s="200"/>
      <c r="J151" s="163"/>
    </row>
    <row r="152" spans="1:10">
      <c r="A152" s="212">
        <v>2.2000000000000002</v>
      </c>
      <c r="B152" s="40" t="s">
        <v>90</v>
      </c>
      <c r="C152" s="41"/>
      <c r="D152" s="17"/>
      <c r="E152" s="550">
        <v>0</v>
      </c>
      <c r="F152" s="550">
        <v>0</v>
      </c>
      <c r="G152" s="18"/>
      <c r="H152" s="200"/>
      <c r="J152" s="163"/>
    </row>
    <row r="153" spans="1:10">
      <c r="A153" s="199"/>
      <c r="B153" s="39"/>
      <c r="C153" s="16"/>
      <c r="D153" s="17"/>
      <c r="E153" s="550">
        <v>0</v>
      </c>
      <c r="F153" s="550">
        <v>0</v>
      </c>
      <c r="G153" s="18"/>
      <c r="H153" s="200"/>
      <c r="J153" s="163"/>
    </row>
    <row r="154" spans="1:10">
      <c r="A154" s="212">
        <v>2.2999999999999998</v>
      </c>
      <c r="B154" s="40" t="s">
        <v>91</v>
      </c>
      <c r="C154" s="41"/>
      <c r="D154" s="17"/>
      <c r="E154" s="550">
        <v>0</v>
      </c>
      <c r="F154" s="550">
        <v>0</v>
      </c>
      <c r="G154" s="18"/>
      <c r="H154" s="200"/>
      <c r="J154" s="163"/>
    </row>
    <row r="155" spans="1:10">
      <c r="A155" s="199"/>
      <c r="B155" s="39"/>
      <c r="C155" s="16"/>
      <c r="D155" s="17"/>
      <c r="E155" s="550">
        <v>0</v>
      </c>
      <c r="F155" s="550">
        <v>0</v>
      </c>
      <c r="G155" s="18"/>
      <c r="H155" s="200"/>
      <c r="J155" s="163"/>
    </row>
    <row r="156" spans="1:10">
      <c r="A156" s="199" t="s">
        <v>92</v>
      </c>
      <c r="B156" s="38" t="s">
        <v>224</v>
      </c>
      <c r="C156" s="16" t="s">
        <v>79</v>
      </c>
      <c r="D156" s="17" t="s">
        <v>228</v>
      </c>
      <c r="E156" s="557">
        <v>0</v>
      </c>
      <c r="F156" s="557">
        <v>0</v>
      </c>
      <c r="G156" s="122"/>
      <c r="H156" s="204"/>
      <c r="J156" s="163"/>
    </row>
    <row r="157" spans="1:10">
      <c r="A157" s="199" t="s">
        <v>93</v>
      </c>
      <c r="B157" s="38" t="s">
        <v>80</v>
      </c>
      <c r="C157" s="16" t="s">
        <v>56</v>
      </c>
      <c r="D157" s="17" t="s">
        <v>228</v>
      </c>
      <c r="E157" s="557">
        <v>0</v>
      </c>
      <c r="F157" s="557">
        <v>0</v>
      </c>
      <c r="G157" s="122"/>
      <c r="H157" s="204"/>
      <c r="J157" s="163"/>
    </row>
    <row r="158" spans="1:10">
      <c r="A158" s="199"/>
      <c r="B158" s="39"/>
      <c r="C158" s="16"/>
      <c r="D158" s="17"/>
      <c r="E158" s="550">
        <v>0</v>
      </c>
      <c r="F158" s="550">
        <v>0</v>
      </c>
      <c r="G158" s="18"/>
      <c r="H158" s="200"/>
      <c r="J158" s="163"/>
    </row>
    <row r="159" spans="1:10">
      <c r="A159" s="199" t="s">
        <v>94</v>
      </c>
      <c r="B159" s="38" t="s">
        <v>449</v>
      </c>
      <c r="C159" s="16" t="s">
        <v>79</v>
      </c>
      <c r="D159" s="17">
        <v>12</v>
      </c>
      <c r="E159" s="550">
        <v>2209</v>
      </c>
      <c r="F159" s="550">
        <v>195</v>
      </c>
      <c r="G159" s="122">
        <f t="shared" ref="G159:G160" si="12">E159*D159</f>
        <v>26508</v>
      </c>
      <c r="H159" s="204">
        <f t="shared" ref="H159:H160" si="13">F159*D159</f>
        <v>2340</v>
      </c>
      <c r="J159" s="163"/>
    </row>
    <row r="160" spans="1:10">
      <c r="A160" s="199" t="s">
        <v>95</v>
      </c>
      <c r="B160" s="38" t="s">
        <v>80</v>
      </c>
      <c r="C160" s="16" t="s">
        <v>56</v>
      </c>
      <c r="D160" s="17">
        <v>4</v>
      </c>
      <c r="E160" s="550">
        <v>1950</v>
      </c>
      <c r="F160" s="550">
        <v>488</v>
      </c>
      <c r="G160" s="122">
        <f t="shared" si="12"/>
        <v>7800</v>
      </c>
      <c r="H160" s="204">
        <f t="shared" si="13"/>
        <v>1952</v>
      </c>
      <c r="J160" s="163"/>
    </row>
    <row r="161" spans="1:11">
      <c r="A161" s="199"/>
      <c r="B161" s="39"/>
      <c r="C161" s="16"/>
      <c r="D161" s="17"/>
      <c r="E161" s="550">
        <v>0</v>
      </c>
      <c r="F161" s="550">
        <v>0</v>
      </c>
      <c r="G161" s="18"/>
      <c r="H161" s="200"/>
      <c r="J161" s="163"/>
    </row>
    <row r="162" spans="1:11">
      <c r="A162" s="199" t="s">
        <v>96</v>
      </c>
      <c r="B162" s="38" t="s">
        <v>223</v>
      </c>
      <c r="C162" s="16" t="s">
        <v>79</v>
      </c>
      <c r="D162" s="17" t="s">
        <v>228</v>
      </c>
      <c r="E162" s="557">
        <v>0</v>
      </c>
      <c r="F162" s="557">
        <v>0</v>
      </c>
      <c r="G162" s="122"/>
      <c r="H162" s="204"/>
      <c r="J162" s="163"/>
    </row>
    <row r="163" spans="1:11">
      <c r="A163" s="199" t="s">
        <v>97</v>
      </c>
      <c r="B163" s="38" t="s">
        <v>80</v>
      </c>
      <c r="C163" s="16" t="s">
        <v>56</v>
      </c>
      <c r="D163" s="17" t="s">
        <v>228</v>
      </c>
      <c r="E163" s="557">
        <v>0</v>
      </c>
      <c r="F163" s="557">
        <v>0</v>
      </c>
      <c r="G163" s="122"/>
      <c r="H163" s="204"/>
      <c r="J163" s="163"/>
    </row>
    <row r="164" spans="1:11">
      <c r="A164" s="199"/>
      <c r="B164" s="39"/>
      <c r="C164" s="16"/>
      <c r="D164" s="17"/>
      <c r="E164" s="550">
        <v>0</v>
      </c>
      <c r="F164" s="550">
        <v>0</v>
      </c>
      <c r="G164" s="18"/>
      <c r="H164" s="200"/>
      <c r="J164" s="163"/>
    </row>
    <row r="165" spans="1:11">
      <c r="A165" s="199" t="s">
        <v>285</v>
      </c>
      <c r="B165" s="38" t="s">
        <v>451</v>
      </c>
      <c r="C165" s="16" t="s">
        <v>79</v>
      </c>
      <c r="D165" s="17">
        <v>325</v>
      </c>
      <c r="E165" s="550">
        <v>1336</v>
      </c>
      <c r="F165" s="550">
        <v>195</v>
      </c>
      <c r="G165" s="122">
        <f t="shared" ref="G165:G166" si="14">E165*D165</f>
        <v>434200</v>
      </c>
      <c r="H165" s="204">
        <f t="shared" ref="H165:H166" si="15">F165*D165</f>
        <v>63375</v>
      </c>
      <c r="J165" s="163"/>
      <c r="K165" s="483"/>
    </row>
    <row r="166" spans="1:11">
      <c r="A166" s="199" t="s">
        <v>286</v>
      </c>
      <c r="B166" s="38" t="s">
        <v>80</v>
      </c>
      <c r="C166" s="16" t="s">
        <v>56</v>
      </c>
      <c r="D166" s="17">
        <v>42</v>
      </c>
      <c r="E166" s="550">
        <v>1950</v>
      </c>
      <c r="F166" s="550">
        <v>488</v>
      </c>
      <c r="G166" s="122">
        <f t="shared" si="14"/>
        <v>81900</v>
      </c>
      <c r="H166" s="204">
        <f t="shared" si="15"/>
        <v>20496</v>
      </c>
      <c r="J166" s="163"/>
    </row>
    <row r="167" spans="1:11">
      <c r="A167" s="199"/>
      <c r="B167" s="38"/>
      <c r="C167" s="16"/>
      <c r="D167" s="17"/>
      <c r="E167" s="550">
        <v>0</v>
      </c>
      <c r="F167" s="550">
        <v>0</v>
      </c>
      <c r="G167" s="18"/>
      <c r="H167" s="200"/>
      <c r="J167" s="163"/>
    </row>
    <row r="168" spans="1:11">
      <c r="A168" s="199" t="s">
        <v>287</v>
      </c>
      <c r="B168" s="38" t="s">
        <v>450</v>
      </c>
      <c r="C168" s="16" t="s">
        <v>79</v>
      </c>
      <c r="D168" s="17" t="s">
        <v>228</v>
      </c>
      <c r="E168" s="550">
        <v>0</v>
      </c>
      <c r="F168" s="550">
        <v>0</v>
      </c>
      <c r="G168" s="122"/>
      <c r="H168" s="204"/>
      <c r="J168" s="163"/>
    </row>
    <row r="169" spans="1:11">
      <c r="A169" s="199" t="s">
        <v>288</v>
      </c>
      <c r="B169" s="38" t="s">
        <v>80</v>
      </c>
      <c r="C169" s="16" t="s">
        <v>56</v>
      </c>
      <c r="D169" s="17" t="s">
        <v>228</v>
      </c>
      <c r="E169" s="550">
        <v>0</v>
      </c>
      <c r="F169" s="550">
        <v>0</v>
      </c>
      <c r="G169" s="122"/>
      <c r="H169" s="204"/>
      <c r="J169" s="163"/>
    </row>
    <row r="170" spans="1:11">
      <c r="A170" s="199"/>
      <c r="B170" s="38"/>
      <c r="C170" s="16"/>
      <c r="D170" s="17"/>
      <c r="E170" s="550">
        <v>0</v>
      </c>
      <c r="F170" s="550">
        <v>0</v>
      </c>
      <c r="G170" s="18"/>
      <c r="H170" s="200"/>
      <c r="J170" s="163"/>
    </row>
    <row r="171" spans="1:11">
      <c r="A171" s="199" t="s">
        <v>289</v>
      </c>
      <c r="B171" s="38" t="s">
        <v>312</v>
      </c>
      <c r="C171" s="16" t="s">
        <v>79</v>
      </c>
      <c r="D171" s="17">
        <v>60</v>
      </c>
      <c r="E171" s="550">
        <v>903</v>
      </c>
      <c r="F171" s="550">
        <v>146</v>
      </c>
      <c r="G171" s="122">
        <f t="shared" ref="G171:G172" si="16">E171*D171</f>
        <v>54180</v>
      </c>
      <c r="H171" s="204">
        <f t="shared" ref="H171:H172" si="17">F171*D171</f>
        <v>8760</v>
      </c>
      <c r="J171" s="163"/>
    </row>
    <row r="172" spans="1:11">
      <c r="A172" s="199" t="s">
        <v>320</v>
      </c>
      <c r="B172" s="38" t="s">
        <v>80</v>
      </c>
      <c r="C172" s="16" t="s">
        <v>56</v>
      </c>
      <c r="D172" s="17">
        <v>2</v>
      </c>
      <c r="E172" s="550">
        <v>1463</v>
      </c>
      <c r="F172" s="550">
        <v>488</v>
      </c>
      <c r="G172" s="122">
        <f t="shared" si="16"/>
        <v>2926</v>
      </c>
      <c r="H172" s="204">
        <f t="shared" si="17"/>
        <v>976</v>
      </c>
      <c r="J172" s="163"/>
    </row>
    <row r="173" spans="1:11">
      <c r="A173" s="199"/>
      <c r="B173" s="38"/>
      <c r="C173" s="16"/>
      <c r="D173" s="17"/>
      <c r="E173" s="550">
        <v>0</v>
      </c>
      <c r="F173" s="550">
        <v>0</v>
      </c>
      <c r="G173" s="18"/>
      <c r="H173" s="200"/>
      <c r="J173" s="163"/>
    </row>
    <row r="174" spans="1:11">
      <c r="A174" s="199" t="s">
        <v>290</v>
      </c>
      <c r="B174" s="38" t="s">
        <v>311</v>
      </c>
      <c r="C174" s="16" t="s">
        <v>79</v>
      </c>
      <c r="D174" s="17">
        <v>650</v>
      </c>
      <c r="E174" s="550">
        <v>561</v>
      </c>
      <c r="F174" s="550">
        <v>117</v>
      </c>
      <c r="G174" s="122">
        <f t="shared" ref="G174:G175" si="18">E174*D174</f>
        <v>364650</v>
      </c>
      <c r="H174" s="204">
        <f t="shared" ref="H174:H175" si="19">F174*D174</f>
        <v>76050</v>
      </c>
      <c r="J174" s="163"/>
      <c r="K174" s="483"/>
    </row>
    <row r="175" spans="1:11">
      <c r="A175" s="199" t="s">
        <v>319</v>
      </c>
      <c r="B175" s="38" t="s">
        <v>80</v>
      </c>
      <c r="C175" s="16" t="s">
        <v>56</v>
      </c>
      <c r="D175" s="17">
        <v>74</v>
      </c>
      <c r="E175" s="550">
        <v>1170</v>
      </c>
      <c r="F175" s="550">
        <v>488</v>
      </c>
      <c r="G175" s="122">
        <f t="shared" si="18"/>
        <v>86580</v>
      </c>
      <c r="H175" s="204">
        <f t="shared" si="19"/>
        <v>36112</v>
      </c>
      <c r="J175" s="163"/>
    </row>
    <row r="176" spans="1:11">
      <c r="A176" s="199"/>
      <c r="B176" s="38"/>
      <c r="C176" s="16"/>
      <c r="D176" s="17"/>
      <c r="E176" s="550">
        <v>0</v>
      </c>
      <c r="F176" s="550">
        <v>0</v>
      </c>
      <c r="G176" s="18"/>
      <c r="H176" s="200"/>
      <c r="J176" s="163"/>
    </row>
    <row r="177" spans="1:10">
      <c r="A177" s="199" t="s">
        <v>291</v>
      </c>
      <c r="B177" s="38" t="s">
        <v>98</v>
      </c>
      <c r="C177" s="16" t="s">
        <v>79</v>
      </c>
      <c r="D177" s="17" t="s">
        <v>228</v>
      </c>
      <c r="E177" s="550">
        <v>0</v>
      </c>
      <c r="F177" s="550">
        <v>0</v>
      </c>
      <c r="G177" s="122"/>
      <c r="H177" s="204"/>
      <c r="J177" s="163"/>
    </row>
    <row r="178" spans="1:10">
      <c r="A178" s="199" t="s">
        <v>318</v>
      </c>
      <c r="B178" s="38" t="s">
        <v>80</v>
      </c>
      <c r="C178" s="16" t="s">
        <v>56</v>
      </c>
      <c r="D178" s="17" t="s">
        <v>228</v>
      </c>
      <c r="E178" s="550">
        <v>0</v>
      </c>
      <c r="F178" s="550">
        <v>0</v>
      </c>
      <c r="G178" s="122"/>
      <c r="H178" s="204"/>
      <c r="J178" s="163"/>
    </row>
    <row r="179" spans="1:10">
      <c r="A179" s="199"/>
      <c r="B179" s="38"/>
      <c r="C179" s="16"/>
      <c r="D179" s="17"/>
      <c r="E179" s="550">
        <v>0</v>
      </c>
      <c r="F179" s="550">
        <v>0</v>
      </c>
      <c r="G179" s="18"/>
      <c r="H179" s="200"/>
      <c r="J179" s="163"/>
    </row>
    <row r="180" spans="1:10">
      <c r="A180" s="199" t="s">
        <v>317</v>
      </c>
      <c r="B180" s="38" t="s">
        <v>407</v>
      </c>
      <c r="C180" s="16" t="s">
        <v>79</v>
      </c>
      <c r="D180" s="17">
        <v>700</v>
      </c>
      <c r="E180" s="550">
        <v>380</v>
      </c>
      <c r="F180" s="550">
        <v>49</v>
      </c>
      <c r="G180" s="122">
        <f t="shared" ref="G180" si="20">E180*D180</f>
        <v>266000</v>
      </c>
      <c r="H180" s="204">
        <f t="shared" ref="H180" si="21">F180*D180</f>
        <v>34300</v>
      </c>
      <c r="J180" s="163"/>
    </row>
    <row r="181" spans="1:10">
      <c r="A181" s="199"/>
      <c r="B181" s="38"/>
      <c r="C181" s="16"/>
      <c r="D181" s="17"/>
      <c r="E181" s="550">
        <v>0</v>
      </c>
      <c r="F181" s="550">
        <v>0</v>
      </c>
      <c r="G181" s="18"/>
      <c r="H181" s="200"/>
      <c r="J181" s="163"/>
    </row>
    <row r="182" spans="1:10">
      <c r="A182" s="199" t="s">
        <v>460</v>
      </c>
      <c r="B182" s="38" t="s">
        <v>284</v>
      </c>
      <c r="C182" s="16" t="s">
        <v>79</v>
      </c>
      <c r="D182" s="17" t="s">
        <v>228</v>
      </c>
      <c r="E182" s="550">
        <v>0</v>
      </c>
      <c r="F182" s="550">
        <v>0</v>
      </c>
      <c r="G182" s="122"/>
      <c r="H182" s="204"/>
      <c r="J182" s="163"/>
    </row>
    <row r="183" spans="1:10">
      <c r="A183" s="199" t="s">
        <v>461</v>
      </c>
      <c r="B183" s="38" t="s">
        <v>80</v>
      </c>
      <c r="C183" s="16" t="s">
        <v>56</v>
      </c>
      <c r="D183" s="17" t="s">
        <v>228</v>
      </c>
      <c r="E183" s="550">
        <v>0</v>
      </c>
      <c r="F183" s="550">
        <v>0</v>
      </c>
      <c r="G183" s="122"/>
      <c r="H183" s="204"/>
      <c r="J183" s="163"/>
    </row>
    <row r="184" spans="1:10">
      <c r="A184" s="199"/>
      <c r="B184" s="38"/>
      <c r="C184" s="16"/>
      <c r="D184" s="17"/>
      <c r="E184" s="550">
        <v>0</v>
      </c>
      <c r="F184" s="550">
        <v>0</v>
      </c>
      <c r="G184" s="18"/>
      <c r="H184" s="200"/>
      <c r="J184" s="163"/>
    </row>
    <row r="185" spans="1:10">
      <c r="A185" s="199" t="s">
        <v>462</v>
      </c>
      <c r="B185" s="38" t="s">
        <v>241</v>
      </c>
      <c r="C185" s="16" t="s">
        <v>79</v>
      </c>
      <c r="D185" s="17" t="s">
        <v>228</v>
      </c>
      <c r="E185" s="550">
        <v>0</v>
      </c>
      <c r="F185" s="550">
        <v>0</v>
      </c>
      <c r="G185" s="122"/>
      <c r="H185" s="204"/>
      <c r="J185" s="163"/>
    </row>
    <row r="186" spans="1:10">
      <c r="A186" s="199" t="s">
        <v>463</v>
      </c>
      <c r="B186" s="38" t="s">
        <v>80</v>
      </c>
      <c r="C186" s="16" t="s">
        <v>56</v>
      </c>
      <c r="D186" s="17" t="s">
        <v>228</v>
      </c>
      <c r="E186" s="550">
        <v>0</v>
      </c>
      <c r="F186" s="550">
        <v>0</v>
      </c>
      <c r="G186" s="122"/>
      <c r="H186" s="204"/>
      <c r="J186" s="163"/>
    </row>
    <row r="187" spans="1:10">
      <c r="A187" s="199"/>
      <c r="B187" s="38"/>
      <c r="C187" s="16"/>
      <c r="D187" s="17"/>
      <c r="E187" s="550">
        <v>0</v>
      </c>
      <c r="F187" s="550">
        <v>0</v>
      </c>
      <c r="G187" s="18"/>
      <c r="H187" s="200"/>
      <c r="J187" s="163"/>
    </row>
    <row r="188" spans="1:10">
      <c r="A188" s="199" t="s">
        <v>464</v>
      </c>
      <c r="B188" s="38" t="s">
        <v>226</v>
      </c>
      <c r="C188" s="16" t="s">
        <v>79</v>
      </c>
      <c r="D188" s="17" t="s">
        <v>228</v>
      </c>
      <c r="E188" s="550">
        <v>0</v>
      </c>
      <c r="F188" s="550">
        <v>0</v>
      </c>
      <c r="G188" s="122"/>
      <c r="H188" s="204"/>
      <c r="J188" s="163"/>
    </row>
    <row r="189" spans="1:10">
      <c r="A189" s="199" t="s">
        <v>465</v>
      </c>
      <c r="B189" s="38" t="s">
        <v>80</v>
      </c>
      <c r="C189" s="16" t="s">
        <v>56</v>
      </c>
      <c r="D189" s="17" t="s">
        <v>228</v>
      </c>
      <c r="E189" s="550">
        <v>0</v>
      </c>
      <c r="F189" s="550">
        <v>0</v>
      </c>
      <c r="G189" s="122"/>
      <c r="H189" s="204"/>
      <c r="J189" s="163"/>
    </row>
    <row r="190" spans="1:10">
      <c r="A190" s="199"/>
      <c r="B190" s="38"/>
      <c r="C190" s="16"/>
      <c r="D190" s="17"/>
      <c r="E190" s="550">
        <v>0</v>
      </c>
      <c r="F190" s="550">
        <v>0</v>
      </c>
      <c r="G190" s="18"/>
      <c r="H190" s="200"/>
      <c r="J190" s="163"/>
    </row>
    <row r="191" spans="1:10" ht="29">
      <c r="A191" s="212">
        <v>2.4</v>
      </c>
      <c r="B191" s="40" t="s">
        <v>99</v>
      </c>
      <c r="C191" s="16"/>
      <c r="D191" s="17"/>
      <c r="E191" s="550">
        <v>0</v>
      </c>
      <c r="F191" s="550">
        <v>0</v>
      </c>
      <c r="G191" s="18"/>
      <c r="H191" s="200"/>
      <c r="J191" s="163"/>
    </row>
    <row r="192" spans="1:10">
      <c r="A192" s="199"/>
      <c r="B192" s="39"/>
      <c r="C192" s="16"/>
      <c r="D192" s="17"/>
      <c r="E192" s="550">
        <v>0</v>
      </c>
      <c r="F192" s="550">
        <v>0</v>
      </c>
      <c r="G192" s="18"/>
      <c r="H192" s="200"/>
      <c r="J192" s="163"/>
    </row>
    <row r="193" spans="1:10">
      <c r="A193" s="199" t="s">
        <v>100</v>
      </c>
      <c r="B193" s="38" t="s">
        <v>279</v>
      </c>
      <c r="C193" s="16" t="s">
        <v>79</v>
      </c>
      <c r="D193" s="17" t="s">
        <v>228</v>
      </c>
      <c r="E193" s="550">
        <v>0</v>
      </c>
      <c r="F193" s="550">
        <v>0</v>
      </c>
      <c r="G193" s="122"/>
      <c r="H193" s="204"/>
      <c r="J193" s="163"/>
    </row>
    <row r="194" spans="1:10">
      <c r="A194" s="199" t="s">
        <v>101</v>
      </c>
      <c r="B194" s="38" t="s">
        <v>80</v>
      </c>
      <c r="C194" s="16" t="s">
        <v>56</v>
      </c>
      <c r="D194" s="17" t="s">
        <v>228</v>
      </c>
      <c r="E194" s="556">
        <v>0</v>
      </c>
      <c r="F194" s="550">
        <v>0</v>
      </c>
      <c r="G194" s="122"/>
      <c r="H194" s="204"/>
      <c r="J194" s="163"/>
    </row>
    <row r="195" spans="1:10">
      <c r="A195" s="199"/>
      <c r="B195" s="39"/>
      <c r="C195" s="16"/>
      <c r="D195" s="17"/>
      <c r="E195" s="550">
        <v>0</v>
      </c>
      <c r="F195" s="550">
        <v>0</v>
      </c>
      <c r="G195" s="18"/>
      <c r="H195" s="200"/>
      <c r="J195" s="163"/>
    </row>
    <row r="196" spans="1:10">
      <c r="A196" s="199" t="s">
        <v>102</v>
      </c>
      <c r="B196" s="38" t="s">
        <v>242</v>
      </c>
      <c r="C196" s="16" t="s">
        <v>79</v>
      </c>
      <c r="D196" s="17" t="s">
        <v>228</v>
      </c>
      <c r="E196" s="550">
        <v>0</v>
      </c>
      <c r="F196" s="550">
        <v>0</v>
      </c>
      <c r="G196" s="122"/>
      <c r="H196" s="204"/>
      <c r="J196" s="163"/>
    </row>
    <row r="197" spans="1:10">
      <c r="A197" s="199" t="s">
        <v>104</v>
      </c>
      <c r="B197" s="38" t="s">
        <v>80</v>
      </c>
      <c r="C197" s="16" t="s">
        <v>56</v>
      </c>
      <c r="D197" s="17" t="s">
        <v>228</v>
      </c>
      <c r="E197" s="556">
        <v>0</v>
      </c>
      <c r="F197" s="550">
        <v>0</v>
      </c>
      <c r="G197" s="122"/>
      <c r="H197" s="204"/>
      <c r="J197" s="163"/>
    </row>
    <row r="198" spans="1:10">
      <c r="A198" s="199"/>
      <c r="B198" s="39"/>
      <c r="C198" s="16"/>
      <c r="D198" s="17"/>
      <c r="E198" s="550">
        <v>0</v>
      </c>
      <c r="F198" s="550">
        <v>0</v>
      </c>
      <c r="G198" s="18"/>
      <c r="H198" s="200"/>
      <c r="J198" s="163"/>
    </row>
    <row r="199" spans="1:10">
      <c r="A199" s="199" t="s">
        <v>105</v>
      </c>
      <c r="B199" s="38" t="s">
        <v>310</v>
      </c>
      <c r="C199" s="16" t="s">
        <v>79</v>
      </c>
      <c r="D199" s="17" t="s">
        <v>228</v>
      </c>
      <c r="E199" s="550">
        <v>0</v>
      </c>
      <c r="F199" s="550">
        <v>0</v>
      </c>
      <c r="G199" s="122"/>
      <c r="H199" s="204"/>
      <c r="J199" s="163"/>
    </row>
    <row r="200" spans="1:10">
      <c r="A200" s="199" t="s">
        <v>106</v>
      </c>
      <c r="B200" s="38" t="s">
        <v>80</v>
      </c>
      <c r="C200" s="16" t="s">
        <v>56</v>
      </c>
      <c r="D200" s="17" t="s">
        <v>228</v>
      </c>
      <c r="E200" s="550">
        <v>0</v>
      </c>
      <c r="F200" s="550">
        <v>0</v>
      </c>
      <c r="G200" s="122"/>
      <c r="H200" s="204"/>
      <c r="J200" s="163"/>
    </row>
    <row r="201" spans="1:10">
      <c r="A201" s="199"/>
      <c r="B201" s="39"/>
      <c r="C201" s="16"/>
      <c r="D201" s="17"/>
      <c r="E201" s="550">
        <v>0</v>
      </c>
      <c r="F201" s="550">
        <v>0</v>
      </c>
      <c r="G201" s="18"/>
      <c r="H201" s="200"/>
      <c r="J201" s="163"/>
    </row>
    <row r="202" spans="1:10">
      <c r="A202" s="199" t="s">
        <v>271</v>
      </c>
      <c r="B202" s="38" t="s">
        <v>225</v>
      </c>
      <c r="C202" s="16" t="s">
        <v>79</v>
      </c>
      <c r="D202" s="17" t="s">
        <v>228</v>
      </c>
      <c r="E202" s="550">
        <v>0</v>
      </c>
      <c r="F202" s="550">
        <v>0</v>
      </c>
      <c r="G202" s="122"/>
      <c r="H202" s="204"/>
      <c r="J202" s="163"/>
    </row>
    <row r="203" spans="1:10">
      <c r="A203" s="199" t="s">
        <v>272</v>
      </c>
      <c r="B203" s="38" t="s">
        <v>80</v>
      </c>
      <c r="C203" s="16" t="s">
        <v>56</v>
      </c>
      <c r="D203" s="17" t="s">
        <v>228</v>
      </c>
      <c r="E203" s="550">
        <v>0</v>
      </c>
      <c r="F203" s="550">
        <v>0</v>
      </c>
      <c r="G203" s="122"/>
      <c r="H203" s="204"/>
      <c r="J203" s="163"/>
    </row>
    <row r="204" spans="1:10">
      <c r="A204" s="199"/>
      <c r="B204" s="38"/>
      <c r="C204" s="16"/>
      <c r="D204" s="17"/>
      <c r="E204" s="550">
        <v>0</v>
      </c>
      <c r="F204" s="550">
        <v>0</v>
      </c>
      <c r="G204" s="18"/>
      <c r="H204" s="200"/>
      <c r="J204" s="163"/>
    </row>
    <row r="205" spans="1:10">
      <c r="A205" s="199" t="s">
        <v>273</v>
      </c>
      <c r="B205" s="38" t="s">
        <v>103</v>
      </c>
      <c r="C205" s="16" t="s">
        <v>79</v>
      </c>
      <c r="D205" s="17" t="s">
        <v>228</v>
      </c>
      <c r="E205" s="550">
        <v>0</v>
      </c>
      <c r="F205" s="550">
        <v>0</v>
      </c>
      <c r="G205" s="122"/>
      <c r="H205" s="204"/>
      <c r="J205" s="163"/>
    </row>
    <row r="206" spans="1:10">
      <c r="A206" s="199" t="s">
        <v>274</v>
      </c>
      <c r="B206" s="38" t="s">
        <v>80</v>
      </c>
      <c r="C206" s="16" t="s">
        <v>56</v>
      </c>
      <c r="D206" s="17" t="s">
        <v>228</v>
      </c>
      <c r="E206" s="550">
        <v>0</v>
      </c>
      <c r="F206" s="550">
        <v>0</v>
      </c>
      <c r="G206" s="122"/>
      <c r="H206" s="204"/>
      <c r="J206" s="163"/>
    </row>
    <row r="207" spans="1:10">
      <c r="A207" s="199"/>
      <c r="B207" s="38"/>
      <c r="C207" s="16"/>
      <c r="D207" s="17"/>
      <c r="E207" s="550">
        <v>0</v>
      </c>
      <c r="F207" s="550">
        <v>0</v>
      </c>
      <c r="G207" s="18"/>
      <c r="H207" s="200"/>
      <c r="J207" s="163"/>
    </row>
    <row r="208" spans="1:10">
      <c r="A208" s="199" t="s">
        <v>275</v>
      </c>
      <c r="B208" s="38" t="s">
        <v>229</v>
      </c>
      <c r="C208" s="16" t="s">
        <v>79</v>
      </c>
      <c r="D208" s="17">
        <v>100</v>
      </c>
      <c r="E208" s="550">
        <v>146</v>
      </c>
      <c r="F208" s="550">
        <v>49</v>
      </c>
      <c r="G208" s="122">
        <f t="shared" ref="G208:G209" si="22">E208*D208</f>
        <v>14600</v>
      </c>
      <c r="H208" s="204">
        <f t="shared" ref="H208:H209" si="23">F208*D208</f>
        <v>4900</v>
      </c>
      <c r="J208" s="163"/>
    </row>
    <row r="209" spans="1:10">
      <c r="A209" s="199" t="s">
        <v>276</v>
      </c>
      <c r="B209" s="38" t="s">
        <v>80</v>
      </c>
      <c r="C209" s="16" t="s">
        <v>56</v>
      </c>
      <c r="D209" s="17">
        <v>18</v>
      </c>
      <c r="E209" s="550">
        <v>731</v>
      </c>
      <c r="F209" s="550">
        <v>244</v>
      </c>
      <c r="G209" s="122">
        <f t="shared" si="22"/>
        <v>13158</v>
      </c>
      <c r="H209" s="204">
        <f t="shared" si="23"/>
        <v>4392</v>
      </c>
      <c r="J209" s="163"/>
    </row>
    <row r="210" spans="1:10">
      <c r="A210" s="199"/>
      <c r="B210" s="38"/>
      <c r="C210" s="16"/>
      <c r="D210" s="17"/>
      <c r="E210" s="550">
        <v>0</v>
      </c>
      <c r="F210" s="550">
        <v>0</v>
      </c>
      <c r="G210" s="18"/>
      <c r="H210" s="200"/>
      <c r="J210" s="163"/>
    </row>
    <row r="211" spans="1:10">
      <c r="A211" s="199" t="s">
        <v>321</v>
      </c>
      <c r="B211" s="38" t="s">
        <v>230</v>
      </c>
      <c r="C211" s="16" t="s">
        <v>79</v>
      </c>
      <c r="D211" s="17" t="s">
        <v>228</v>
      </c>
      <c r="E211" s="550">
        <v>0</v>
      </c>
      <c r="F211" s="550">
        <v>0</v>
      </c>
      <c r="G211" s="122"/>
      <c r="H211" s="204"/>
      <c r="J211" s="163"/>
    </row>
    <row r="212" spans="1:10">
      <c r="A212" s="199" t="s">
        <v>322</v>
      </c>
      <c r="B212" s="38" t="s">
        <v>80</v>
      </c>
      <c r="C212" s="16" t="s">
        <v>56</v>
      </c>
      <c r="D212" s="17" t="s">
        <v>228</v>
      </c>
      <c r="E212" s="550">
        <v>0</v>
      </c>
      <c r="F212" s="550">
        <v>0</v>
      </c>
      <c r="G212" s="122"/>
      <c r="H212" s="204"/>
      <c r="J212" s="163"/>
    </row>
    <row r="213" spans="1:10">
      <c r="A213" s="199"/>
      <c r="B213" s="38"/>
      <c r="C213" s="16"/>
      <c r="D213" s="17"/>
      <c r="E213" s="550">
        <v>0</v>
      </c>
      <c r="F213" s="550">
        <v>0</v>
      </c>
      <c r="G213" s="18"/>
      <c r="H213" s="200"/>
      <c r="J213" s="163"/>
    </row>
    <row r="214" spans="1:10">
      <c r="A214" s="206"/>
      <c r="B214" s="103" t="s">
        <v>107</v>
      </c>
      <c r="C214" s="100"/>
      <c r="D214" s="101"/>
      <c r="E214" s="552">
        <v>0</v>
      </c>
      <c r="F214" s="552">
        <v>0</v>
      </c>
      <c r="G214" s="102">
        <f>SUM(G122:G213)</f>
        <v>2703414</v>
      </c>
      <c r="H214" s="207">
        <f>SUM(H122:H213)</f>
        <v>477281</v>
      </c>
      <c r="J214" s="163"/>
    </row>
    <row r="215" spans="1:10">
      <c r="A215" s="208"/>
      <c r="B215" s="32"/>
      <c r="C215" s="33"/>
      <c r="D215" s="34"/>
      <c r="E215" s="553">
        <v>0</v>
      </c>
      <c r="F215" s="553">
        <v>0</v>
      </c>
      <c r="G215" s="35"/>
      <c r="H215" s="209"/>
      <c r="J215" s="163"/>
    </row>
    <row r="216" spans="1:10">
      <c r="A216" s="195">
        <v>3</v>
      </c>
      <c r="B216" s="94" t="s">
        <v>108</v>
      </c>
      <c r="C216" s="95"/>
      <c r="D216" s="96"/>
      <c r="E216" s="554">
        <v>0</v>
      </c>
      <c r="F216" s="554">
        <v>0</v>
      </c>
      <c r="G216" s="97"/>
      <c r="H216" s="196"/>
      <c r="J216" s="163"/>
    </row>
    <row r="217" spans="1:10" ht="29">
      <c r="A217" s="213"/>
      <c r="B217" s="36" t="s">
        <v>109</v>
      </c>
      <c r="C217" s="12"/>
      <c r="D217" s="13"/>
      <c r="E217" s="555">
        <v>0</v>
      </c>
      <c r="F217" s="555">
        <v>0</v>
      </c>
      <c r="G217" s="18"/>
      <c r="H217" s="200"/>
      <c r="J217" s="163"/>
    </row>
    <row r="218" spans="1:10" ht="43.5">
      <c r="A218" s="199"/>
      <c r="B218" s="23" t="s">
        <v>110</v>
      </c>
      <c r="C218" s="16"/>
      <c r="D218" s="17"/>
      <c r="E218" s="550">
        <v>0</v>
      </c>
      <c r="F218" s="550">
        <v>0</v>
      </c>
      <c r="G218" s="18"/>
      <c r="H218" s="200"/>
      <c r="J218" s="163"/>
    </row>
    <row r="219" spans="1:10">
      <c r="A219" s="199"/>
      <c r="B219" s="23" t="s">
        <v>111</v>
      </c>
      <c r="C219" s="16"/>
      <c r="D219" s="17"/>
      <c r="E219" s="550">
        <v>0</v>
      </c>
      <c r="F219" s="550">
        <v>0</v>
      </c>
      <c r="G219" s="18"/>
      <c r="H219" s="200"/>
      <c r="J219" s="163"/>
    </row>
    <row r="220" spans="1:10">
      <c r="A220" s="199"/>
      <c r="B220" s="23" t="s">
        <v>112</v>
      </c>
      <c r="C220" s="16"/>
      <c r="D220" s="17"/>
      <c r="E220" s="550">
        <v>0</v>
      </c>
      <c r="F220" s="550">
        <v>0</v>
      </c>
      <c r="G220" s="18"/>
      <c r="H220" s="200"/>
      <c r="J220" s="163"/>
    </row>
    <row r="221" spans="1:10">
      <c r="A221" s="199"/>
      <c r="B221" s="23" t="s">
        <v>483</v>
      </c>
      <c r="C221" s="16"/>
      <c r="D221" s="17"/>
      <c r="E221" s="550">
        <v>0</v>
      </c>
      <c r="F221" s="550">
        <v>0</v>
      </c>
      <c r="G221" s="18"/>
      <c r="H221" s="200"/>
      <c r="J221" s="163"/>
    </row>
    <row r="222" spans="1:10">
      <c r="A222" s="199"/>
      <c r="B222" s="23" t="s">
        <v>113</v>
      </c>
      <c r="C222" s="16"/>
      <c r="D222" s="17"/>
      <c r="E222" s="550">
        <v>0</v>
      </c>
      <c r="F222" s="550">
        <v>0</v>
      </c>
      <c r="G222" s="18"/>
      <c r="H222" s="200"/>
      <c r="J222" s="163"/>
    </row>
    <row r="223" spans="1:10">
      <c r="A223" s="199"/>
      <c r="B223" s="23" t="s">
        <v>114</v>
      </c>
      <c r="C223" s="16"/>
      <c r="D223" s="17"/>
      <c r="E223" s="550">
        <v>0</v>
      </c>
      <c r="F223" s="550">
        <v>0</v>
      </c>
      <c r="G223" s="18"/>
      <c r="H223" s="200"/>
      <c r="J223" s="163"/>
    </row>
    <row r="224" spans="1:10">
      <c r="A224" s="199"/>
      <c r="B224" s="23" t="s">
        <v>115</v>
      </c>
      <c r="C224" s="16"/>
      <c r="D224" s="17"/>
      <c r="E224" s="550">
        <v>0</v>
      </c>
      <c r="F224" s="550">
        <v>0</v>
      </c>
      <c r="G224" s="18"/>
      <c r="H224" s="200"/>
      <c r="J224" s="163"/>
    </row>
    <row r="225" spans="1:10">
      <c r="A225" s="199"/>
      <c r="B225" s="28" t="s">
        <v>116</v>
      </c>
      <c r="C225" s="16"/>
      <c r="D225" s="17"/>
      <c r="E225" s="550">
        <v>0</v>
      </c>
      <c r="F225" s="550">
        <v>0</v>
      </c>
      <c r="G225" s="18"/>
      <c r="H225" s="200"/>
      <c r="J225" s="163"/>
    </row>
    <row r="226" spans="1:10">
      <c r="A226" s="199"/>
      <c r="B226" s="23" t="s">
        <v>117</v>
      </c>
      <c r="C226" s="16"/>
      <c r="D226" s="17"/>
      <c r="E226" s="550">
        <v>0</v>
      </c>
      <c r="F226" s="550">
        <v>0</v>
      </c>
      <c r="G226" s="18"/>
      <c r="H226" s="200"/>
      <c r="J226" s="163"/>
    </row>
    <row r="227" spans="1:10">
      <c r="A227" s="199"/>
      <c r="B227" s="23" t="s">
        <v>118</v>
      </c>
      <c r="C227" s="16"/>
      <c r="D227" s="17"/>
      <c r="E227" s="550">
        <v>0</v>
      </c>
      <c r="F227" s="550">
        <v>0</v>
      </c>
      <c r="G227" s="18"/>
      <c r="H227" s="200"/>
      <c r="J227" s="163"/>
    </row>
    <row r="228" spans="1:10" ht="29">
      <c r="A228" s="199"/>
      <c r="B228" s="23" t="s">
        <v>119</v>
      </c>
      <c r="C228" s="16"/>
      <c r="D228" s="17"/>
      <c r="E228" s="550">
        <v>0</v>
      </c>
      <c r="F228" s="550">
        <v>0</v>
      </c>
      <c r="G228" s="18"/>
      <c r="H228" s="200"/>
      <c r="J228" s="163"/>
    </row>
    <row r="229" spans="1:10" ht="43.5">
      <c r="A229" s="199"/>
      <c r="B229" s="23" t="s">
        <v>120</v>
      </c>
      <c r="C229" s="16"/>
      <c r="D229" s="17"/>
      <c r="E229" s="550">
        <v>0</v>
      </c>
      <c r="F229" s="550">
        <v>0</v>
      </c>
      <c r="G229" s="18"/>
      <c r="H229" s="200"/>
      <c r="J229" s="163"/>
    </row>
    <row r="230" spans="1:10">
      <c r="A230" s="199"/>
      <c r="B230" s="23" t="s">
        <v>121</v>
      </c>
      <c r="C230" s="16"/>
      <c r="D230" s="17"/>
      <c r="E230" s="550">
        <v>0</v>
      </c>
      <c r="F230" s="550">
        <v>0</v>
      </c>
      <c r="G230" s="18"/>
      <c r="H230" s="200"/>
      <c r="J230" s="163"/>
    </row>
    <row r="231" spans="1:10">
      <c r="A231" s="199"/>
      <c r="B231" s="23" t="s">
        <v>122</v>
      </c>
      <c r="C231" s="16"/>
      <c r="D231" s="17"/>
      <c r="E231" s="550">
        <v>0</v>
      </c>
      <c r="F231" s="550">
        <v>0</v>
      </c>
      <c r="G231" s="18"/>
      <c r="H231" s="200"/>
      <c r="J231" s="163"/>
    </row>
    <row r="232" spans="1:10">
      <c r="A232" s="199"/>
      <c r="B232" s="23" t="s">
        <v>123</v>
      </c>
      <c r="C232" s="16"/>
      <c r="D232" s="17"/>
      <c r="E232" s="550">
        <v>0</v>
      </c>
      <c r="F232" s="550">
        <v>0</v>
      </c>
      <c r="G232" s="18"/>
      <c r="H232" s="200"/>
      <c r="J232" s="163"/>
    </row>
    <row r="233" spans="1:10">
      <c r="A233" s="199"/>
      <c r="B233" s="28"/>
      <c r="C233" s="16"/>
      <c r="D233" s="17"/>
      <c r="E233" s="550">
        <v>0</v>
      </c>
      <c r="F233" s="550">
        <v>0</v>
      </c>
      <c r="G233" s="18"/>
      <c r="H233" s="200"/>
      <c r="J233" s="163"/>
    </row>
    <row r="234" spans="1:10" ht="29">
      <c r="A234" s="199">
        <v>3.1</v>
      </c>
      <c r="B234" s="27" t="s">
        <v>505</v>
      </c>
      <c r="C234" s="16"/>
      <c r="D234" s="17"/>
      <c r="E234" s="550">
        <v>0</v>
      </c>
      <c r="F234" s="550">
        <v>0</v>
      </c>
      <c r="G234" s="18"/>
      <c r="H234" s="200"/>
      <c r="J234" s="163"/>
    </row>
    <row r="235" spans="1:10">
      <c r="A235" s="199"/>
      <c r="B235" s="27" t="s">
        <v>381</v>
      </c>
      <c r="C235" s="16"/>
      <c r="D235" s="17"/>
      <c r="E235" s="550">
        <v>0</v>
      </c>
      <c r="F235" s="550">
        <v>0</v>
      </c>
      <c r="G235" s="18"/>
      <c r="H235" s="200"/>
      <c r="J235" s="163"/>
    </row>
    <row r="236" spans="1:10">
      <c r="A236" s="199"/>
      <c r="B236" s="27" t="s">
        <v>416</v>
      </c>
      <c r="C236" s="16"/>
      <c r="D236" s="17"/>
      <c r="E236" s="550">
        <v>0</v>
      </c>
      <c r="F236" s="550">
        <v>0</v>
      </c>
      <c r="G236" s="18"/>
      <c r="H236" s="200"/>
      <c r="J236" s="163"/>
    </row>
    <row r="237" spans="1:10">
      <c r="A237" s="199"/>
      <c r="B237" s="27" t="s">
        <v>417</v>
      </c>
      <c r="C237" s="16" t="s">
        <v>58</v>
      </c>
      <c r="D237" s="17">
        <v>1</v>
      </c>
      <c r="E237" s="550">
        <v>25989</v>
      </c>
      <c r="F237" s="550">
        <v>2926</v>
      </c>
      <c r="G237" s="122">
        <f t="shared" ref="G237" si="24">E237*D237</f>
        <v>25989</v>
      </c>
      <c r="H237" s="204">
        <f t="shared" ref="H237" si="25">F237*D237</f>
        <v>2926</v>
      </c>
      <c r="J237" s="163"/>
    </row>
    <row r="238" spans="1:10">
      <c r="A238" s="199"/>
      <c r="B238" s="27"/>
      <c r="C238" s="16"/>
      <c r="D238" s="17"/>
      <c r="E238" s="550">
        <v>0</v>
      </c>
      <c r="F238" s="550">
        <v>0</v>
      </c>
      <c r="G238" s="18"/>
      <c r="H238" s="200"/>
      <c r="J238" s="163"/>
    </row>
    <row r="239" spans="1:10" ht="29">
      <c r="A239" s="199">
        <f>A234+0.1</f>
        <v>3.2</v>
      </c>
      <c r="B239" s="27" t="s">
        <v>506</v>
      </c>
      <c r="C239" s="16"/>
      <c r="D239" s="17"/>
      <c r="E239" s="550">
        <v>0</v>
      </c>
      <c r="F239" s="550">
        <v>0</v>
      </c>
      <c r="G239" s="18"/>
      <c r="H239" s="200"/>
      <c r="J239" s="163"/>
    </row>
    <row r="240" spans="1:10">
      <c r="A240" s="199"/>
      <c r="B240" s="27" t="s">
        <v>381</v>
      </c>
      <c r="C240" s="16"/>
      <c r="D240" s="17"/>
      <c r="E240" s="550">
        <v>0</v>
      </c>
      <c r="F240" s="550">
        <v>0</v>
      </c>
      <c r="G240" s="18"/>
      <c r="H240" s="200"/>
      <c r="J240" s="163"/>
    </row>
    <row r="241" spans="1:10">
      <c r="A241" s="199"/>
      <c r="B241" s="27" t="s">
        <v>416</v>
      </c>
      <c r="C241" s="16"/>
      <c r="D241" s="17"/>
      <c r="E241" s="550">
        <v>0</v>
      </c>
      <c r="F241" s="550">
        <v>0</v>
      </c>
      <c r="G241" s="18"/>
      <c r="H241" s="200"/>
      <c r="J241" s="163"/>
    </row>
    <row r="242" spans="1:10">
      <c r="A242" s="199"/>
      <c r="B242" s="27" t="s">
        <v>418</v>
      </c>
      <c r="C242" s="16" t="s">
        <v>58</v>
      </c>
      <c r="D242" s="17" t="s">
        <v>228</v>
      </c>
      <c r="E242" s="550">
        <v>0</v>
      </c>
      <c r="F242" s="550">
        <v>0</v>
      </c>
      <c r="G242" s="122"/>
      <c r="H242" s="204"/>
      <c r="J242" s="163"/>
    </row>
    <row r="243" spans="1:10">
      <c r="A243" s="199"/>
      <c r="B243" s="27"/>
      <c r="C243" s="16"/>
      <c r="D243" s="17"/>
      <c r="E243" s="550">
        <v>0</v>
      </c>
      <c r="F243" s="550">
        <v>0</v>
      </c>
      <c r="G243" s="18"/>
      <c r="H243" s="200"/>
      <c r="J243" s="163"/>
    </row>
    <row r="244" spans="1:10" ht="29">
      <c r="A244" s="199">
        <f>A239+0.1</f>
        <v>3.3000000000000003</v>
      </c>
      <c r="B244" s="27" t="s">
        <v>507</v>
      </c>
      <c r="C244" s="16"/>
      <c r="D244" s="17"/>
      <c r="E244" s="550">
        <v>0</v>
      </c>
      <c r="F244" s="550">
        <v>0</v>
      </c>
      <c r="G244" s="18"/>
      <c r="H244" s="200"/>
      <c r="J244" s="163"/>
    </row>
    <row r="245" spans="1:10">
      <c r="A245" s="199"/>
      <c r="B245" s="27" t="s">
        <v>420</v>
      </c>
      <c r="C245" s="16"/>
      <c r="D245" s="17"/>
      <c r="E245" s="550">
        <v>0</v>
      </c>
      <c r="F245" s="550">
        <v>0</v>
      </c>
      <c r="G245" s="18"/>
      <c r="H245" s="200"/>
      <c r="J245" s="163"/>
    </row>
    <row r="246" spans="1:10">
      <c r="A246" s="199"/>
      <c r="B246" s="27" t="s">
        <v>419</v>
      </c>
      <c r="C246" s="16" t="s">
        <v>58</v>
      </c>
      <c r="D246" s="17" t="s">
        <v>228</v>
      </c>
      <c r="E246" s="550">
        <v>0</v>
      </c>
      <c r="F246" s="550">
        <v>0</v>
      </c>
      <c r="G246" s="122"/>
      <c r="H246" s="204"/>
      <c r="J246" s="163"/>
    </row>
    <row r="247" spans="1:10">
      <c r="A247" s="199"/>
      <c r="B247" s="27"/>
      <c r="C247" s="16"/>
      <c r="D247" s="17"/>
      <c r="E247" s="550">
        <v>0</v>
      </c>
      <c r="F247" s="550">
        <v>0</v>
      </c>
      <c r="G247" s="18"/>
      <c r="H247" s="200"/>
      <c r="J247" s="163"/>
    </row>
    <row r="248" spans="1:10" ht="29">
      <c r="A248" s="199">
        <f>A244+0.1</f>
        <v>3.4000000000000004</v>
      </c>
      <c r="B248" s="27" t="s">
        <v>508</v>
      </c>
      <c r="C248" s="16"/>
      <c r="D248" s="17"/>
      <c r="E248" s="550">
        <v>0</v>
      </c>
      <c r="F248" s="550">
        <v>0</v>
      </c>
      <c r="G248" s="18"/>
      <c r="H248" s="200"/>
      <c r="J248" s="163"/>
    </row>
    <row r="249" spans="1:10">
      <c r="A249" s="199"/>
      <c r="B249" s="27" t="s">
        <v>421</v>
      </c>
      <c r="C249" s="16"/>
      <c r="D249" s="17"/>
      <c r="E249" s="550">
        <v>0</v>
      </c>
      <c r="F249" s="550">
        <v>0</v>
      </c>
      <c r="G249" s="18"/>
      <c r="H249" s="200"/>
      <c r="J249" s="163"/>
    </row>
    <row r="250" spans="1:10">
      <c r="A250" s="199"/>
      <c r="B250" s="27" t="s">
        <v>415</v>
      </c>
      <c r="C250" s="16" t="s">
        <v>58</v>
      </c>
      <c r="D250" s="17" t="s">
        <v>228</v>
      </c>
      <c r="E250" s="550">
        <v>0</v>
      </c>
      <c r="F250" s="550">
        <v>0</v>
      </c>
      <c r="G250" s="122"/>
      <c r="H250" s="204"/>
      <c r="J250" s="163"/>
    </row>
    <row r="251" spans="1:10">
      <c r="A251" s="199"/>
      <c r="B251" s="27"/>
      <c r="C251" s="16"/>
      <c r="D251" s="17"/>
      <c r="E251" s="550">
        <v>0</v>
      </c>
      <c r="F251" s="550">
        <v>0</v>
      </c>
      <c r="G251" s="18"/>
      <c r="H251" s="200"/>
      <c r="J251" s="163"/>
    </row>
    <row r="252" spans="1:10" ht="43.5">
      <c r="A252" s="199">
        <f>A248+0.1</f>
        <v>3.5000000000000004</v>
      </c>
      <c r="B252" s="27" t="s">
        <v>509</v>
      </c>
      <c r="C252" s="16"/>
      <c r="D252" s="17"/>
      <c r="E252" s="550">
        <v>0</v>
      </c>
      <c r="F252" s="550">
        <v>0</v>
      </c>
      <c r="G252" s="18"/>
      <c r="H252" s="200"/>
      <c r="J252" s="163"/>
    </row>
    <row r="253" spans="1:10" ht="29">
      <c r="A253" s="199"/>
      <c r="B253" s="27" t="s">
        <v>383</v>
      </c>
      <c r="C253" s="16"/>
      <c r="D253" s="17"/>
      <c r="E253" s="550">
        <v>0</v>
      </c>
      <c r="F253" s="550">
        <v>0</v>
      </c>
      <c r="G253" s="18"/>
      <c r="H253" s="200"/>
      <c r="J253" s="163"/>
    </row>
    <row r="254" spans="1:10">
      <c r="A254" s="199"/>
      <c r="B254" s="27" t="s">
        <v>386</v>
      </c>
      <c r="C254" s="16"/>
      <c r="D254" s="17"/>
      <c r="E254" s="550">
        <v>0</v>
      </c>
      <c r="F254" s="550">
        <v>0</v>
      </c>
      <c r="G254" s="18"/>
      <c r="H254" s="200"/>
      <c r="J254" s="163"/>
    </row>
    <row r="255" spans="1:10">
      <c r="A255" s="199"/>
      <c r="B255" s="27" t="s">
        <v>384</v>
      </c>
      <c r="C255" s="16"/>
      <c r="D255" s="17"/>
      <c r="E255" s="550">
        <v>0</v>
      </c>
      <c r="F255" s="550">
        <v>0</v>
      </c>
      <c r="G255" s="18"/>
      <c r="H255" s="200"/>
      <c r="J255" s="163"/>
    </row>
    <row r="256" spans="1:10">
      <c r="A256" s="199"/>
      <c r="B256" s="27" t="s">
        <v>385</v>
      </c>
      <c r="C256" s="16"/>
      <c r="D256" s="17"/>
      <c r="E256" s="550">
        <v>0</v>
      </c>
      <c r="F256" s="550">
        <v>0</v>
      </c>
      <c r="G256" s="18"/>
      <c r="H256" s="200"/>
      <c r="J256" s="163"/>
    </row>
    <row r="257" spans="1:10">
      <c r="A257" s="199"/>
      <c r="B257" s="27" t="s">
        <v>423</v>
      </c>
      <c r="C257" s="16"/>
      <c r="D257" s="17"/>
      <c r="E257" s="550">
        <v>0</v>
      </c>
      <c r="F257" s="550">
        <v>0</v>
      </c>
      <c r="G257" s="18"/>
      <c r="H257" s="200"/>
      <c r="J257" s="163"/>
    </row>
    <row r="258" spans="1:10">
      <c r="A258" s="199"/>
      <c r="B258" s="27" t="s">
        <v>422</v>
      </c>
      <c r="C258" s="16" t="s">
        <v>58</v>
      </c>
      <c r="D258" s="17" t="s">
        <v>228</v>
      </c>
      <c r="E258" s="550">
        <v>0</v>
      </c>
      <c r="F258" s="550">
        <v>0</v>
      </c>
      <c r="G258" s="122"/>
      <c r="H258" s="204"/>
      <c r="J258" s="163"/>
    </row>
    <row r="259" spans="1:10">
      <c r="A259" s="199"/>
      <c r="B259" s="27"/>
      <c r="C259" s="16"/>
      <c r="D259" s="17"/>
      <c r="E259" s="550">
        <v>0</v>
      </c>
      <c r="F259" s="550">
        <v>0</v>
      </c>
      <c r="G259" s="18"/>
      <c r="H259" s="200"/>
      <c r="J259" s="163"/>
    </row>
    <row r="260" spans="1:10" ht="29">
      <c r="A260" s="199">
        <f>A252+0.1</f>
        <v>3.6000000000000005</v>
      </c>
      <c r="B260" s="27" t="s">
        <v>576</v>
      </c>
      <c r="C260" s="16"/>
      <c r="D260" s="17"/>
      <c r="E260" s="550">
        <v>0</v>
      </c>
      <c r="F260" s="550">
        <v>0</v>
      </c>
      <c r="G260" s="18"/>
      <c r="H260" s="200"/>
      <c r="J260" s="163"/>
    </row>
    <row r="261" spans="1:10">
      <c r="A261" s="199"/>
      <c r="B261" s="27" t="s">
        <v>425</v>
      </c>
      <c r="C261" s="16"/>
      <c r="D261" s="17"/>
      <c r="E261" s="550">
        <v>0</v>
      </c>
      <c r="F261" s="550">
        <v>0</v>
      </c>
      <c r="G261" s="18"/>
      <c r="H261" s="200"/>
      <c r="J261" s="163"/>
    </row>
    <row r="262" spans="1:10">
      <c r="A262" s="199"/>
      <c r="B262" s="27" t="s">
        <v>427</v>
      </c>
      <c r="C262" s="16"/>
      <c r="D262" s="17"/>
      <c r="E262" s="550">
        <v>0</v>
      </c>
      <c r="F262" s="550">
        <v>0</v>
      </c>
      <c r="G262" s="18"/>
      <c r="H262" s="200"/>
      <c r="J262" s="163"/>
    </row>
    <row r="263" spans="1:10">
      <c r="A263" s="199"/>
      <c r="B263" s="27" t="s">
        <v>424</v>
      </c>
      <c r="C263" s="16" t="s">
        <v>58</v>
      </c>
      <c r="D263" s="17" t="s">
        <v>228</v>
      </c>
      <c r="E263" s="550">
        <v>0</v>
      </c>
      <c r="F263" s="550">
        <v>0</v>
      </c>
      <c r="G263" s="122"/>
      <c r="H263" s="204"/>
      <c r="J263" s="163"/>
    </row>
    <row r="264" spans="1:10">
      <c r="A264" s="199"/>
      <c r="B264" s="27"/>
      <c r="C264" s="16"/>
      <c r="D264" s="17"/>
      <c r="E264" s="550">
        <v>0</v>
      </c>
      <c r="F264" s="550">
        <v>0</v>
      </c>
      <c r="G264" s="18"/>
      <c r="H264" s="200"/>
      <c r="J264" s="163"/>
    </row>
    <row r="265" spans="1:10" ht="29">
      <c r="A265" s="199">
        <f>A260+0.1</f>
        <v>3.7000000000000006</v>
      </c>
      <c r="B265" s="27" t="s">
        <v>577</v>
      </c>
      <c r="C265" s="16"/>
      <c r="D265" s="17"/>
      <c r="E265" s="550">
        <v>0</v>
      </c>
      <c r="F265" s="550">
        <v>0</v>
      </c>
      <c r="G265" s="18"/>
      <c r="H265" s="200"/>
      <c r="J265" s="163"/>
    </row>
    <row r="266" spans="1:10">
      <c r="A266" s="199"/>
      <c r="B266" s="27" t="s">
        <v>425</v>
      </c>
      <c r="C266" s="16"/>
      <c r="D266" s="17"/>
      <c r="E266" s="550">
        <v>0</v>
      </c>
      <c r="F266" s="550">
        <v>0</v>
      </c>
      <c r="G266" s="18"/>
      <c r="H266" s="200"/>
      <c r="J266" s="163"/>
    </row>
    <row r="267" spans="1:10">
      <c r="A267" s="199"/>
      <c r="B267" s="27" t="s">
        <v>426</v>
      </c>
      <c r="C267" s="16"/>
      <c r="D267" s="17"/>
      <c r="E267" s="550">
        <v>0</v>
      </c>
      <c r="F267" s="550">
        <v>0</v>
      </c>
      <c r="G267" s="18"/>
      <c r="H267" s="200"/>
      <c r="J267" s="163"/>
    </row>
    <row r="268" spans="1:10">
      <c r="A268" s="199"/>
      <c r="B268" s="27" t="s">
        <v>292</v>
      </c>
      <c r="C268" s="16" t="s">
        <v>58</v>
      </c>
      <c r="D268" s="17" t="s">
        <v>228</v>
      </c>
      <c r="E268" s="550">
        <v>0</v>
      </c>
      <c r="F268" s="550">
        <v>0</v>
      </c>
      <c r="G268" s="122"/>
      <c r="H268" s="204"/>
      <c r="J268" s="163"/>
    </row>
    <row r="269" spans="1:10">
      <c r="A269" s="199"/>
      <c r="B269" s="27"/>
      <c r="C269" s="16"/>
      <c r="D269" s="17"/>
      <c r="E269" s="550">
        <v>0</v>
      </c>
      <c r="F269" s="550">
        <v>0</v>
      </c>
      <c r="G269" s="18"/>
      <c r="H269" s="200"/>
      <c r="J269" s="163"/>
    </row>
    <row r="270" spans="1:10" ht="29">
      <c r="A270" s="199">
        <f>A265+0.1</f>
        <v>3.8000000000000007</v>
      </c>
      <c r="B270" s="27" t="s">
        <v>578</v>
      </c>
      <c r="C270" s="16"/>
      <c r="D270" s="17"/>
      <c r="E270" s="550">
        <v>0</v>
      </c>
      <c r="F270" s="550">
        <v>0</v>
      </c>
      <c r="G270" s="18"/>
      <c r="H270" s="200"/>
      <c r="J270" s="163"/>
    </row>
    <row r="271" spans="1:10">
      <c r="A271" s="199"/>
      <c r="B271" s="27" t="s">
        <v>381</v>
      </c>
      <c r="C271" s="16"/>
      <c r="D271" s="17"/>
      <c r="E271" s="550">
        <v>0</v>
      </c>
      <c r="F271" s="550">
        <v>0</v>
      </c>
      <c r="G271" s="18"/>
      <c r="H271" s="200"/>
      <c r="J271" s="163"/>
    </row>
    <row r="272" spans="1:10">
      <c r="A272" s="199"/>
      <c r="B272" s="27" t="s">
        <v>382</v>
      </c>
      <c r="C272" s="16"/>
      <c r="D272" s="17"/>
      <c r="E272" s="550">
        <v>0</v>
      </c>
      <c r="F272" s="550">
        <v>0</v>
      </c>
      <c r="G272" s="18"/>
      <c r="H272" s="200"/>
      <c r="J272" s="163"/>
    </row>
    <row r="273" spans="1:10">
      <c r="A273" s="199"/>
      <c r="B273" s="27" t="s">
        <v>428</v>
      </c>
      <c r="C273" s="16" t="s">
        <v>58</v>
      </c>
      <c r="D273" s="17" t="s">
        <v>228</v>
      </c>
      <c r="E273" s="550">
        <v>0</v>
      </c>
      <c r="F273" s="550">
        <v>0</v>
      </c>
      <c r="G273" s="122"/>
      <c r="H273" s="204"/>
      <c r="J273" s="163"/>
    </row>
    <row r="274" spans="1:10">
      <c r="A274" s="199"/>
      <c r="B274" s="27"/>
      <c r="C274" s="16"/>
      <c r="D274" s="17"/>
      <c r="E274" s="550">
        <v>0</v>
      </c>
      <c r="F274" s="550">
        <v>0</v>
      </c>
      <c r="G274" s="18"/>
      <c r="H274" s="200"/>
      <c r="J274" s="163"/>
    </row>
    <row r="275" spans="1:10" ht="29">
      <c r="A275" s="199">
        <f>A270+0.1</f>
        <v>3.9000000000000008</v>
      </c>
      <c r="B275" s="27" t="s">
        <v>510</v>
      </c>
      <c r="C275" s="16"/>
      <c r="D275" s="17"/>
      <c r="E275" s="550">
        <v>0</v>
      </c>
      <c r="F275" s="550">
        <v>0</v>
      </c>
      <c r="G275" s="18"/>
      <c r="H275" s="200"/>
      <c r="J275" s="163"/>
    </row>
    <row r="276" spans="1:10">
      <c r="A276" s="199"/>
      <c r="B276" s="27" t="s">
        <v>430</v>
      </c>
      <c r="C276" s="16"/>
      <c r="D276" s="17"/>
      <c r="E276" s="550">
        <v>0</v>
      </c>
      <c r="F276" s="550">
        <v>0</v>
      </c>
      <c r="G276" s="18"/>
      <c r="H276" s="200"/>
      <c r="J276" s="163"/>
    </row>
    <row r="277" spans="1:10">
      <c r="A277" s="199"/>
      <c r="B277" s="27" t="s">
        <v>431</v>
      </c>
      <c r="C277" s="16"/>
      <c r="D277" s="17"/>
      <c r="E277" s="550">
        <v>0</v>
      </c>
      <c r="F277" s="550">
        <v>0</v>
      </c>
      <c r="G277" s="18"/>
      <c r="H277" s="200"/>
      <c r="J277" s="163"/>
    </row>
    <row r="278" spans="1:10">
      <c r="A278" s="199"/>
      <c r="B278" s="27" t="s">
        <v>378</v>
      </c>
      <c r="C278" s="16" t="s">
        <v>58</v>
      </c>
      <c r="D278" s="17" t="s">
        <v>228</v>
      </c>
      <c r="E278" s="550">
        <v>0</v>
      </c>
      <c r="F278" s="550">
        <v>0</v>
      </c>
      <c r="G278" s="122"/>
      <c r="H278" s="204"/>
      <c r="J278" s="163"/>
    </row>
    <row r="279" spans="1:10">
      <c r="A279" s="199"/>
      <c r="B279" s="27"/>
      <c r="C279" s="16"/>
      <c r="D279" s="17"/>
      <c r="E279" s="550">
        <v>0</v>
      </c>
      <c r="F279" s="550">
        <v>0</v>
      </c>
      <c r="G279" s="18"/>
      <c r="H279" s="200"/>
      <c r="J279" s="163"/>
    </row>
    <row r="280" spans="1:10" ht="29">
      <c r="A280" s="203">
        <v>3.1</v>
      </c>
      <c r="B280" s="27" t="s">
        <v>511</v>
      </c>
      <c r="C280" s="16"/>
      <c r="D280" s="17"/>
      <c r="E280" s="550">
        <v>0</v>
      </c>
      <c r="F280" s="550">
        <v>0</v>
      </c>
      <c r="G280" s="18"/>
      <c r="H280" s="200"/>
      <c r="J280" s="163"/>
    </row>
    <row r="281" spans="1:10">
      <c r="A281" s="199"/>
      <c r="B281" s="27" t="s">
        <v>429</v>
      </c>
      <c r="C281" s="16"/>
      <c r="D281" s="17"/>
      <c r="E281" s="550">
        <v>0</v>
      </c>
      <c r="F281" s="550">
        <v>0</v>
      </c>
      <c r="G281" s="18"/>
      <c r="H281" s="200"/>
      <c r="J281" s="163"/>
    </row>
    <row r="282" spans="1:10">
      <c r="A282" s="199"/>
      <c r="B282" s="27" t="s">
        <v>432</v>
      </c>
      <c r="C282" s="16"/>
      <c r="D282" s="17"/>
      <c r="E282" s="550">
        <v>0</v>
      </c>
      <c r="F282" s="550">
        <v>0</v>
      </c>
      <c r="G282" s="18"/>
      <c r="H282" s="200"/>
      <c r="J282" s="163"/>
    </row>
    <row r="283" spans="1:10">
      <c r="A283" s="199"/>
      <c r="B283" s="27" t="s">
        <v>433</v>
      </c>
      <c r="C283" s="16" t="s">
        <v>58</v>
      </c>
      <c r="D283" s="17" t="s">
        <v>228</v>
      </c>
      <c r="E283" s="550">
        <v>0</v>
      </c>
      <c r="F283" s="550">
        <v>0</v>
      </c>
      <c r="G283" s="122"/>
      <c r="H283" s="204"/>
      <c r="J283" s="163"/>
    </row>
    <row r="284" spans="1:10">
      <c r="A284" s="199"/>
      <c r="B284" s="27"/>
      <c r="C284" s="16"/>
      <c r="D284" s="17"/>
      <c r="E284" s="550">
        <v>0</v>
      </c>
      <c r="F284" s="550">
        <v>0</v>
      </c>
      <c r="G284" s="18"/>
      <c r="H284" s="200"/>
      <c r="J284" s="163"/>
    </row>
    <row r="285" spans="1:10" ht="29">
      <c r="A285" s="203">
        <f>A280+0.01</f>
        <v>3.11</v>
      </c>
      <c r="B285" s="27" t="s">
        <v>512</v>
      </c>
      <c r="C285" s="16"/>
      <c r="D285" s="17"/>
      <c r="E285" s="550">
        <v>0</v>
      </c>
      <c r="F285" s="550">
        <v>0</v>
      </c>
      <c r="G285" s="18"/>
      <c r="H285" s="200"/>
      <c r="J285" s="163"/>
    </row>
    <row r="286" spans="1:10">
      <c r="A286" s="199"/>
      <c r="B286" s="27" t="s">
        <v>430</v>
      </c>
      <c r="C286" s="16"/>
      <c r="D286" s="17"/>
      <c r="E286" s="550">
        <v>0</v>
      </c>
      <c r="F286" s="550">
        <v>0</v>
      </c>
      <c r="G286" s="18"/>
      <c r="H286" s="200"/>
      <c r="J286" s="163"/>
    </row>
    <row r="287" spans="1:10">
      <c r="A287" s="199"/>
      <c r="B287" s="27" t="s">
        <v>431</v>
      </c>
      <c r="C287" s="16"/>
      <c r="D287" s="17"/>
      <c r="E287" s="550">
        <v>0</v>
      </c>
      <c r="F287" s="550">
        <v>0</v>
      </c>
      <c r="G287" s="18"/>
      <c r="H287" s="200"/>
      <c r="J287" s="163"/>
    </row>
    <row r="288" spans="1:10">
      <c r="A288" s="199"/>
      <c r="B288" s="27" t="s">
        <v>433</v>
      </c>
      <c r="C288" s="16" t="s">
        <v>58</v>
      </c>
      <c r="D288" s="17" t="s">
        <v>228</v>
      </c>
      <c r="E288" s="550">
        <v>0</v>
      </c>
      <c r="F288" s="550">
        <v>0</v>
      </c>
      <c r="G288" s="122"/>
      <c r="H288" s="204"/>
      <c r="J288" s="163"/>
    </row>
    <row r="289" spans="1:10">
      <c r="A289" s="199"/>
      <c r="B289" s="27"/>
      <c r="C289" s="16"/>
      <c r="D289" s="17"/>
      <c r="E289" s="550">
        <v>0</v>
      </c>
      <c r="F289" s="550">
        <v>0</v>
      </c>
      <c r="G289" s="18"/>
      <c r="H289" s="200"/>
      <c r="J289" s="163"/>
    </row>
    <row r="290" spans="1:10" ht="29">
      <c r="A290" s="203">
        <f>A285+0.01</f>
        <v>3.1199999999999997</v>
      </c>
      <c r="B290" s="27" t="s">
        <v>513</v>
      </c>
      <c r="C290" s="16"/>
      <c r="D290" s="17"/>
      <c r="E290" s="550">
        <v>0</v>
      </c>
      <c r="F290" s="550">
        <v>0</v>
      </c>
      <c r="G290" s="18"/>
      <c r="H290" s="200"/>
      <c r="J290" s="163"/>
    </row>
    <row r="291" spans="1:10">
      <c r="A291" s="199"/>
      <c r="B291" s="27" t="s">
        <v>522</v>
      </c>
      <c r="C291" s="16"/>
      <c r="D291" s="17"/>
      <c r="E291" s="550">
        <v>0</v>
      </c>
      <c r="F291" s="550">
        <v>0</v>
      </c>
      <c r="G291" s="18"/>
      <c r="H291" s="200"/>
      <c r="J291" s="163"/>
    </row>
    <row r="292" spans="1:10">
      <c r="A292" s="199"/>
      <c r="B292" s="27" t="s">
        <v>293</v>
      </c>
      <c r="C292" s="16"/>
      <c r="D292" s="17"/>
      <c r="E292" s="550">
        <v>0</v>
      </c>
      <c r="F292" s="550">
        <v>0</v>
      </c>
      <c r="G292" s="18"/>
      <c r="H292" s="200"/>
      <c r="J292" s="163"/>
    </row>
    <row r="293" spans="1:10">
      <c r="A293" s="199"/>
      <c r="B293" s="27" t="s">
        <v>294</v>
      </c>
      <c r="C293" s="16" t="s">
        <v>58</v>
      </c>
      <c r="D293" s="17" t="s">
        <v>228</v>
      </c>
      <c r="E293" s="550">
        <v>0</v>
      </c>
      <c r="F293" s="550">
        <v>0</v>
      </c>
      <c r="G293" s="122"/>
      <c r="H293" s="204"/>
      <c r="J293" s="163"/>
    </row>
    <row r="294" spans="1:10">
      <c r="A294" s="199"/>
      <c r="B294" s="27"/>
      <c r="C294" s="16"/>
      <c r="D294" s="17"/>
      <c r="E294" s="550">
        <v>0</v>
      </c>
      <c r="F294" s="550">
        <v>0</v>
      </c>
      <c r="G294" s="18"/>
      <c r="H294" s="200"/>
      <c r="J294" s="163"/>
    </row>
    <row r="295" spans="1:10" ht="29">
      <c r="A295" s="203">
        <f>A290+0.01</f>
        <v>3.1299999999999994</v>
      </c>
      <c r="B295" s="27" t="s">
        <v>514</v>
      </c>
      <c r="C295" s="16"/>
      <c r="D295" s="17"/>
      <c r="E295" s="550">
        <v>0</v>
      </c>
      <c r="F295" s="550">
        <v>0</v>
      </c>
      <c r="G295" s="18"/>
      <c r="H295" s="200"/>
      <c r="J295" s="163"/>
    </row>
    <row r="296" spans="1:10">
      <c r="A296" s="199"/>
      <c r="B296" s="27" t="s">
        <v>379</v>
      </c>
      <c r="C296" s="16"/>
      <c r="D296" s="17"/>
      <c r="E296" s="550">
        <v>0</v>
      </c>
      <c r="F296" s="550">
        <v>0</v>
      </c>
      <c r="G296" s="18"/>
      <c r="H296" s="200"/>
      <c r="J296" s="163"/>
    </row>
    <row r="297" spans="1:10">
      <c r="A297" s="199"/>
      <c r="B297" s="27" t="s">
        <v>380</v>
      </c>
      <c r="C297" s="16" t="s">
        <v>58</v>
      </c>
      <c r="D297" s="17" t="s">
        <v>228</v>
      </c>
      <c r="E297" s="550">
        <v>0</v>
      </c>
      <c r="F297" s="550">
        <v>0</v>
      </c>
      <c r="G297" s="122"/>
      <c r="H297" s="204"/>
      <c r="J297" s="163"/>
    </row>
    <row r="298" spans="1:10">
      <c r="A298" s="199"/>
      <c r="B298" s="27"/>
      <c r="C298" s="16"/>
      <c r="D298" s="17"/>
      <c r="E298" s="550">
        <v>0</v>
      </c>
      <c r="F298" s="550">
        <v>0</v>
      </c>
      <c r="G298" s="18"/>
      <c r="H298" s="200"/>
      <c r="J298" s="163"/>
    </row>
    <row r="299" spans="1:10" ht="29">
      <c r="A299" s="203">
        <f>A295+0.01</f>
        <v>3.1399999999999992</v>
      </c>
      <c r="B299" s="27" t="s">
        <v>515</v>
      </c>
      <c r="C299" s="16"/>
      <c r="D299" s="17"/>
      <c r="E299" s="550">
        <v>0</v>
      </c>
      <c r="F299" s="550">
        <v>0</v>
      </c>
      <c r="G299" s="18"/>
      <c r="H299" s="200"/>
      <c r="J299" s="163"/>
    </row>
    <row r="300" spans="1:10">
      <c r="A300" s="199"/>
      <c r="B300" s="27" t="s">
        <v>425</v>
      </c>
      <c r="C300" s="16"/>
      <c r="D300" s="17"/>
      <c r="E300" s="550">
        <v>0</v>
      </c>
      <c r="F300" s="550">
        <v>0</v>
      </c>
      <c r="G300" s="18"/>
      <c r="H300" s="200"/>
      <c r="J300" s="163"/>
    </row>
    <row r="301" spans="1:10">
      <c r="A301" s="199"/>
      <c r="B301" s="27" t="s">
        <v>427</v>
      </c>
      <c r="C301" s="16"/>
      <c r="D301" s="17"/>
      <c r="E301" s="550">
        <v>0</v>
      </c>
      <c r="F301" s="550">
        <v>0</v>
      </c>
      <c r="G301" s="18"/>
      <c r="H301" s="200"/>
      <c r="J301" s="163"/>
    </row>
    <row r="302" spans="1:10">
      <c r="A302" s="199"/>
      <c r="B302" s="27" t="s">
        <v>424</v>
      </c>
      <c r="C302" s="16" t="s">
        <v>58</v>
      </c>
      <c r="D302" s="17">
        <v>2</v>
      </c>
      <c r="E302" s="550">
        <v>28525</v>
      </c>
      <c r="F302" s="550">
        <v>2926</v>
      </c>
      <c r="G302" s="122">
        <f t="shared" ref="G302" si="26">E302*D302</f>
        <v>57050</v>
      </c>
      <c r="H302" s="204">
        <f t="shared" ref="H302" si="27">F302*D302</f>
        <v>5852</v>
      </c>
      <c r="J302" s="163"/>
    </row>
    <row r="303" spans="1:10">
      <c r="A303" s="199"/>
      <c r="B303" s="27"/>
      <c r="C303" s="16"/>
      <c r="D303" s="17"/>
      <c r="E303" s="550">
        <v>0</v>
      </c>
      <c r="F303" s="550">
        <v>0</v>
      </c>
      <c r="G303" s="18"/>
      <c r="H303" s="200"/>
      <c r="J303" s="163"/>
    </row>
    <row r="304" spans="1:10" ht="29">
      <c r="A304" s="203">
        <f>A299+0.01</f>
        <v>3.149999999999999</v>
      </c>
      <c r="B304" s="27" t="s">
        <v>516</v>
      </c>
      <c r="C304" s="16"/>
      <c r="D304" s="17"/>
      <c r="E304" s="550">
        <v>0</v>
      </c>
      <c r="F304" s="550">
        <v>0</v>
      </c>
      <c r="G304" s="18"/>
      <c r="H304" s="200"/>
      <c r="J304" s="163"/>
    </row>
    <row r="305" spans="1:10">
      <c r="A305" s="199"/>
      <c r="B305" s="27" t="s">
        <v>579</v>
      </c>
      <c r="C305" s="16"/>
      <c r="D305" s="17"/>
      <c r="E305" s="550">
        <v>0</v>
      </c>
      <c r="F305" s="550">
        <v>0</v>
      </c>
      <c r="G305" s="18"/>
      <c r="H305" s="200"/>
      <c r="J305" s="163"/>
    </row>
    <row r="306" spans="1:10">
      <c r="A306" s="199"/>
      <c r="B306" s="27" t="s">
        <v>580</v>
      </c>
      <c r="C306" s="16"/>
      <c r="D306" s="17"/>
      <c r="E306" s="550">
        <v>0</v>
      </c>
      <c r="F306" s="550">
        <v>0</v>
      </c>
      <c r="G306" s="18"/>
      <c r="H306" s="200"/>
      <c r="J306" s="163"/>
    </row>
    <row r="307" spans="1:10">
      <c r="A307" s="199"/>
      <c r="B307" s="27" t="s">
        <v>378</v>
      </c>
      <c r="C307" s="16" t="s">
        <v>58</v>
      </c>
      <c r="D307" s="17">
        <v>2</v>
      </c>
      <c r="E307" s="550">
        <v>28525</v>
      </c>
      <c r="F307" s="550">
        <v>2926</v>
      </c>
      <c r="G307" s="122">
        <f t="shared" ref="G307" si="28">E307*D307</f>
        <v>57050</v>
      </c>
      <c r="H307" s="204">
        <f t="shared" ref="H307" si="29">F307*D307</f>
        <v>5852</v>
      </c>
      <c r="J307" s="163"/>
    </row>
    <row r="308" spans="1:10">
      <c r="A308" s="199"/>
      <c r="B308" s="27"/>
      <c r="C308" s="16"/>
      <c r="D308" s="17"/>
      <c r="E308" s="550">
        <v>0</v>
      </c>
      <c r="F308" s="550">
        <v>0</v>
      </c>
      <c r="G308" s="18"/>
      <c r="H308" s="200"/>
      <c r="J308" s="163"/>
    </row>
    <row r="309" spans="1:10" ht="29">
      <c r="A309" s="203">
        <f>A304+0.01</f>
        <v>3.1599999999999988</v>
      </c>
      <c r="B309" s="27" t="s">
        <v>517</v>
      </c>
      <c r="C309" s="16"/>
      <c r="D309" s="17"/>
      <c r="E309" s="550">
        <v>0</v>
      </c>
      <c r="F309" s="550">
        <v>0</v>
      </c>
      <c r="G309" s="18"/>
      <c r="H309" s="200"/>
      <c r="J309" s="163"/>
    </row>
    <row r="310" spans="1:10">
      <c r="A310" s="199"/>
      <c r="B310" s="27" t="s">
        <v>240</v>
      </c>
      <c r="C310" s="16"/>
      <c r="D310" s="17"/>
      <c r="E310" s="550">
        <v>0</v>
      </c>
      <c r="F310" s="550">
        <v>0</v>
      </c>
      <c r="G310" s="18"/>
      <c r="H310" s="200"/>
      <c r="J310" s="163"/>
    </row>
    <row r="311" spans="1:10">
      <c r="A311" s="199"/>
      <c r="B311" s="27" t="s">
        <v>243</v>
      </c>
      <c r="C311" s="16" t="s">
        <v>58</v>
      </c>
      <c r="D311" s="17" t="s">
        <v>228</v>
      </c>
      <c r="E311" s="550">
        <v>0</v>
      </c>
      <c r="F311" s="550">
        <v>0</v>
      </c>
      <c r="G311" s="122"/>
      <c r="H311" s="204"/>
      <c r="J311" s="163"/>
    </row>
    <row r="312" spans="1:10">
      <c r="A312" s="199"/>
      <c r="B312" s="27"/>
      <c r="C312" s="16"/>
      <c r="D312" s="17"/>
      <c r="E312" s="550">
        <v>0</v>
      </c>
      <c r="F312" s="550">
        <v>0</v>
      </c>
      <c r="G312" s="18"/>
      <c r="H312" s="200"/>
      <c r="J312" s="163"/>
    </row>
    <row r="313" spans="1:10">
      <c r="A313" s="206"/>
      <c r="B313" s="103" t="s">
        <v>124</v>
      </c>
      <c r="C313" s="100"/>
      <c r="D313" s="101"/>
      <c r="E313" s="552">
        <v>0</v>
      </c>
      <c r="F313" s="552">
        <v>0</v>
      </c>
      <c r="G313" s="102">
        <f>SUM(G237:G312)</f>
        <v>140089</v>
      </c>
      <c r="H313" s="207">
        <f>SUM(H237:H312)</f>
        <v>14630</v>
      </c>
      <c r="J313" s="163"/>
    </row>
    <row r="314" spans="1:10">
      <c r="A314" s="208"/>
      <c r="B314" s="43"/>
      <c r="C314" s="33"/>
      <c r="D314" s="34"/>
      <c r="E314" s="553">
        <v>0</v>
      </c>
      <c r="F314" s="553">
        <v>0</v>
      </c>
      <c r="G314" s="35"/>
      <c r="H314" s="209"/>
      <c r="J314" s="163"/>
    </row>
    <row r="315" spans="1:10">
      <c r="A315" s="195">
        <v>4</v>
      </c>
      <c r="B315" s="94" t="s">
        <v>125</v>
      </c>
      <c r="C315" s="95"/>
      <c r="D315" s="96"/>
      <c r="E315" s="554">
        <v>0</v>
      </c>
      <c r="F315" s="554">
        <v>0</v>
      </c>
      <c r="G315" s="97"/>
      <c r="H315" s="196"/>
      <c r="J315" s="163"/>
    </row>
    <row r="316" spans="1:10" ht="174">
      <c r="A316" s="210"/>
      <c r="B316" s="36" t="s">
        <v>624</v>
      </c>
      <c r="C316" s="12"/>
      <c r="D316" s="13"/>
      <c r="E316" s="555">
        <v>0</v>
      </c>
      <c r="F316" s="555">
        <v>0</v>
      </c>
      <c r="G316" s="18"/>
      <c r="H316" s="200"/>
      <c r="J316" s="163"/>
    </row>
    <row r="317" spans="1:10">
      <c r="A317" s="199"/>
      <c r="B317" s="28" t="s">
        <v>126</v>
      </c>
      <c r="C317" s="16"/>
      <c r="D317" s="17"/>
      <c r="E317" s="550">
        <v>0</v>
      </c>
      <c r="F317" s="550">
        <v>0</v>
      </c>
      <c r="G317" s="18"/>
      <c r="H317" s="200"/>
      <c r="J317" s="163"/>
    </row>
    <row r="318" spans="1:10" ht="43.5">
      <c r="A318" s="199"/>
      <c r="B318" s="23" t="s">
        <v>127</v>
      </c>
      <c r="C318" s="16"/>
      <c r="D318" s="17"/>
      <c r="E318" s="550">
        <v>0</v>
      </c>
      <c r="F318" s="550">
        <v>0</v>
      </c>
      <c r="G318" s="18"/>
      <c r="H318" s="200"/>
      <c r="J318" s="163"/>
    </row>
    <row r="319" spans="1:10" ht="29">
      <c r="A319" s="199"/>
      <c r="B319" s="23" t="s">
        <v>128</v>
      </c>
      <c r="C319" s="16"/>
      <c r="D319" s="17"/>
      <c r="E319" s="550">
        <v>0</v>
      </c>
      <c r="F319" s="550">
        <v>0</v>
      </c>
      <c r="G319" s="18"/>
      <c r="H319" s="200"/>
      <c r="J319" s="163"/>
    </row>
    <row r="320" spans="1:10">
      <c r="A320" s="199"/>
      <c r="B320" s="23" t="s">
        <v>129</v>
      </c>
      <c r="C320" s="16"/>
      <c r="D320" s="17"/>
      <c r="E320" s="550">
        <v>0</v>
      </c>
      <c r="F320" s="550">
        <v>0</v>
      </c>
      <c r="G320" s="18"/>
      <c r="H320" s="200"/>
      <c r="J320" s="163"/>
    </row>
    <row r="321" spans="1:10">
      <c r="A321" s="199"/>
      <c r="B321" s="23" t="s">
        <v>130</v>
      </c>
      <c r="C321" s="16"/>
      <c r="D321" s="17"/>
      <c r="E321" s="550">
        <v>0</v>
      </c>
      <c r="F321" s="550">
        <v>0</v>
      </c>
      <c r="G321" s="18"/>
      <c r="H321" s="200"/>
      <c r="J321" s="163"/>
    </row>
    <row r="322" spans="1:10">
      <c r="A322" s="199"/>
      <c r="B322" s="23" t="s">
        <v>131</v>
      </c>
      <c r="C322" s="16"/>
      <c r="D322" s="17"/>
      <c r="E322" s="550">
        <v>0</v>
      </c>
      <c r="F322" s="550">
        <v>0</v>
      </c>
      <c r="G322" s="18"/>
      <c r="H322" s="200"/>
      <c r="J322" s="163"/>
    </row>
    <row r="323" spans="1:10">
      <c r="A323" s="199"/>
      <c r="B323" s="23" t="s">
        <v>132</v>
      </c>
      <c r="C323" s="16"/>
      <c r="D323" s="17"/>
      <c r="E323" s="550">
        <v>0</v>
      </c>
      <c r="F323" s="550">
        <v>0</v>
      </c>
      <c r="G323" s="18"/>
      <c r="H323" s="200"/>
      <c r="J323" s="163"/>
    </row>
    <row r="324" spans="1:10">
      <c r="A324" s="199"/>
      <c r="B324" s="23"/>
      <c r="C324" s="16"/>
      <c r="D324" s="17"/>
      <c r="E324" s="550">
        <v>0</v>
      </c>
      <c r="F324" s="550">
        <v>0</v>
      </c>
      <c r="G324" s="18"/>
      <c r="H324" s="200"/>
      <c r="J324" s="163"/>
    </row>
    <row r="325" spans="1:10" ht="29">
      <c r="A325" s="199">
        <v>4.01</v>
      </c>
      <c r="B325" s="44" t="s">
        <v>615</v>
      </c>
      <c r="C325" s="16" t="s">
        <v>79</v>
      </c>
      <c r="D325" s="17">
        <v>2150</v>
      </c>
      <c r="E325" s="550">
        <v>98</v>
      </c>
      <c r="F325" s="550">
        <v>25</v>
      </c>
      <c r="G325" s="122">
        <f t="shared" ref="G325" si="30">E325*D325</f>
        <v>210700</v>
      </c>
      <c r="H325" s="204">
        <f t="shared" ref="H325" si="31">F325*D325</f>
        <v>53750</v>
      </c>
      <c r="J325" s="163"/>
    </row>
    <row r="326" spans="1:10">
      <c r="A326" s="199"/>
      <c r="B326" s="15"/>
      <c r="C326" s="16"/>
      <c r="D326" s="17"/>
      <c r="E326" s="550">
        <v>0</v>
      </c>
      <c r="F326" s="550">
        <v>0</v>
      </c>
      <c r="G326" s="18"/>
      <c r="H326" s="200"/>
      <c r="J326" s="163"/>
    </row>
    <row r="327" spans="1:10">
      <c r="A327" s="199">
        <f>A325+0.01</f>
        <v>4.0199999999999996</v>
      </c>
      <c r="B327" s="44" t="s">
        <v>133</v>
      </c>
      <c r="C327" s="16" t="s">
        <v>79</v>
      </c>
      <c r="D327" s="17" t="s">
        <v>228</v>
      </c>
      <c r="E327" s="550">
        <v>0</v>
      </c>
      <c r="F327" s="550">
        <v>0</v>
      </c>
      <c r="G327" s="122"/>
      <c r="H327" s="204"/>
      <c r="J327" s="163"/>
    </row>
    <row r="328" spans="1:10">
      <c r="A328" s="199"/>
      <c r="B328" s="15"/>
      <c r="C328" s="16"/>
      <c r="D328" s="17"/>
      <c r="E328" s="550">
        <v>0</v>
      </c>
      <c r="F328" s="550">
        <v>0</v>
      </c>
      <c r="G328" s="18"/>
      <c r="H328" s="200"/>
      <c r="J328" s="163"/>
    </row>
    <row r="329" spans="1:10">
      <c r="A329" s="199">
        <f>A327+0.01</f>
        <v>4.0299999999999994</v>
      </c>
      <c r="B329" s="44" t="s">
        <v>625</v>
      </c>
      <c r="C329" s="16" t="s">
        <v>79</v>
      </c>
      <c r="D329" s="17">
        <v>500</v>
      </c>
      <c r="E329" s="550">
        <v>87</v>
      </c>
      <c r="F329" s="550">
        <v>25</v>
      </c>
      <c r="G329" s="122">
        <f t="shared" ref="G329" si="32">E329*D329</f>
        <v>43500</v>
      </c>
      <c r="H329" s="204">
        <f t="shared" ref="H329" si="33">F329*D329</f>
        <v>12500</v>
      </c>
      <c r="J329" s="163"/>
    </row>
    <row r="330" spans="1:10">
      <c r="A330" s="199"/>
      <c r="B330" s="15"/>
      <c r="C330" s="16"/>
      <c r="D330" s="17"/>
      <c r="E330" s="550">
        <v>0</v>
      </c>
      <c r="F330" s="550">
        <v>0</v>
      </c>
      <c r="G330" s="18"/>
      <c r="H330" s="200"/>
      <c r="J330" s="163"/>
    </row>
    <row r="331" spans="1:10">
      <c r="A331" s="199">
        <f>A329+0.01</f>
        <v>4.0399999999999991</v>
      </c>
      <c r="B331" s="45" t="s">
        <v>616</v>
      </c>
      <c r="C331" s="16" t="s">
        <v>79</v>
      </c>
      <c r="D331" s="17" t="s">
        <v>228</v>
      </c>
      <c r="E331" s="550">
        <v>0</v>
      </c>
      <c r="F331" s="550">
        <v>0</v>
      </c>
      <c r="G331" s="122"/>
      <c r="H331" s="204"/>
      <c r="J331" s="163"/>
    </row>
    <row r="332" spans="1:10">
      <c r="A332" s="199"/>
      <c r="B332" s="15"/>
      <c r="C332" s="16"/>
      <c r="D332" s="17"/>
      <c r="E332" s="550">
        <v>0</v>
      </c>
      <c r="F332" s="550">
        <v>0</v>
      </c>
      <c r="G332" s="18"/>
      <c r="H332" s="200"/>
      <c r="J332" s="163"/>
    </row>
    <row r="333" spans="1:10" ht="43.5">
      <c r="A333" s="199">
        <f>A331+0.01</f>
        <v>4.0499999999999989</v>
      </c>
      <c r="B333" s="45" t="s">
        <v>134</v>
      </c>
      <c r="C333" s="16" t="s">
        <v>79</v>
      </c>
      <c r="D333" s="17" t="s">
        <v>228</v>
      </c>
      <c r="E333" s="550">
        <v>0</v>
      </c>
      <c r="F333" s="550">
        <v>0</v>
      </c>
      <c r="G333" s="122"/>
      <c r="H333" s="204"/>
      <c r="J333" s="163"/>
    </row>
    <row r="334" spans="1:10">
      <c r="A334" s="199"/>
      <c r="B334" s="15"/>
      <c r="C334" s="16"/>
      <c r="D334" s="17"/>
      <c r="E334" s="550">
        <v>0</v>
      </c>
      <c r="F334" s="550">
        <v>0</v>
      </c>
      <c r="G334" s="18"/>
      <c r="H334" s="200"/>
      <c r="J334" s="163"/>
    </row>
    <row r="335" spans="1:10">
      <c r="A335" s="199">
        <f>A333+0.01</f>
        <v>4.0599999999999987</v>
      </c>
      <c r="B335" s="45" t="s">
        <v>626</v>
      </c>
      <c r="C335" s="16" t="s">
        <v>79</v>
      </c>
      <c r="D335" s="17">
        <v>2950</v>
      </c>
      <c r="E335" s="550">
        <v>293</v>
      </c>
      <c r="F335" s="550">
        <v>39</v>
      </c>
      <c r="G335" s="122">
        <f t="shared" ref="G335" si="34">E335*D335</f>
        <v>864350</v>
      </c>
      <c r="H335" s="204">
        <f t="shared" ref="H335" si="35">F335*D335</f>
        <v>115050</v>
      </c>
      <c r="J335" s="163"/>
    </row>
    <row r="336" spans="1:10">
      <c r="A336" s="199"/>
      <c r="B336" s="27"/>
      <c r="C336" s="16"/>
      <c r="D336" s="17"/>
      <c r="E336" s="550">
        <v>0</v>
      </c>
      <c r="F336" s="550">
        <v>0</v>
      </c>
      <c r="G336" s="18"/>
      <c r="H336" s="200"/>
      <c r="J336" s="163"/>
    </row>
    <row r="337" spans="1:10" ht="29">
      <c r="A337" s="199">
        <f>A335+0.01</f>
        <v>4.0699999999999985</v>
      </c>
      <c r="B337" s="46" t="s">
        <v>575</v>
      </c>
      <c r="C337" s="16" t="s">
        <v>79</v>
      </c>
      <c r="D337" s="17">
        <v>1450</v>
      </c>
      <c r="E337" s="551">
        <v>171</v>
      </c>
      <c r="F337" s="551">
        <v>39</v>
      </c>
      <c r="G337" s="122">
        <f t="shared" ref="G337" si="36">E337*D337</f>
        <v>247950</v>
      </c>
      <c r="H337" s="204">
        <f t="shared" ref="H337" si="37">F337*D337</f>
        <v>56550</v>
      </c>
      <c r="J337" s="163"/>
    </row>
    <row r="338" spans="1:10">
      <c r="A338" s="214"/>
      <c r="B338" s="46"/>
      <c r="C338" s="30"/>
      <c r="D338" s="31"/>
      <c r="E338" s="551">
        <v>0</v>
      </c>
      <c r="F338" s="551">
        <v>0</v>
      </c>
      <c r="G338" s="18"/>
      <c r="H338" s="200"/>
      <c r="J338" s="163"/>
    </row>
    <row r="339" spans="1:10" ht="29">
      <c r="A339" s="199">
        <f>A337+0.01</f>
        <v>4.0799999999999983</v>
      </c>
      <c r="B339" s="46" t="s">
        <v>277</v>
      </c>
      <c r="C339" s="16" t="s">
        <v>79</v>
      </c>
      <c r="D339" s="17">
        <v>250</v>
      </c>
      <c r="E339" s="551">
        <v>117</v>
      </c>
      <c r="F339" s="551">
        <v>29</v>
      </c>
      <c r="G339" s="122">
        <f t="shared" ref="G339" si="38">E339*D339</f>
        <v>29250</v>
      </c>
      <c r="H339" s="204">
        <f t="shared" ref="H339" si="39">F339*D339</f>
        <v>7250</v>
      </c>
      <c r="J339" s="163"/>
    </row>
    <row r="340" spans="1:10">
      <c r="A340" s="214"/>
      <c r="B340" s="46"/>
      <c r="C340" s="30"/>
      <c r="D340" s="31"/>
      <c r="E340" s="551">
        <v>0</v>
      </c>
      <c r="F340" s="551">
        <v>0</v>
      </c>
      <c r="G340" s="18"/>
      <c r="H340" s="200"/>
      <c r="J340" s="163"/>
    </row>
    <row r="341" spans="1:10">
      <c r="A341" s="206"/>
      <c r="B341" s="103" t="s">
        <v>135</v>
      </c>
      <c r="C341" s="100"/>
      <c r="D341" s="101"/>
      <c r="E341" s="552">
        <v>0</v>
      </c>
      <c r="F341" s="552">
        <v>0</v>
      </c>
      <c r="G341" s="102">
        <f>SUM(G325:G340)</f>
        <v>1395750</v>
      </c>
      <c r="H341" s="207">
        <f>SUM(H325:H340)</f>
        <v>245100</v>
      </c>
      <c r="J341" s="163"/>
    </row>
    <row r="342" spans="1:10">
      <c r="A342" s="208"/>
      <c r="B342" s="43"/>
      <c r="C342" s="33"/>
      <c r="D342" s="34"/>
      <c r="E342" s="553">
        <v>0</v>
      </c>
      <c r="F342" s="553">
        <v>0</v>
      </c>
      <c r="G342" s="35"/>
      <c r="H342" s="209"/>
      <c r="J342" s="163"/>
    </row>
    <row r="343" spans="1:10">
      <c r="A343" s="215">
        <v>5</v>
      </c>
      <c r="B343" s="104" t="s">
        <v>136</v>
      </c>
      <c r="C343" s="95"/>
      <c r="D343" s="96"/>
      <c r="E343" s="554">
        <v>0</v>
      </c>
      <c r="F343" s="554">
        <v>0</v>
      </c>
      <c r="G343" s="97"/>
      <c r="H343" s="196"/>
      <c r="J343" s="163"/>
    </row>
    <row r="344" spans="1:10" ht="29">
      <c r="A344" s="216"/>
      <c r="B344" s="47" t="s">
        <v>137</v>
      </c>
      <c r="C344" s="12"/>
      <c r="D344" s="13"/>
      <c r="E344" s="555">
        <v>0</v>
      </c>
      <c r="F344" s="555">
        <v>0</v>
      </c>
      <c r="G344" s="18"/>
      <c r="H344" s="200"/>
      <c r="J344" s="163"/>
    </row>
    <row r="345" spans="1:10" ht="72.5">
      <c r="A345" s="217"/>
      <c r="B345" s="44" t="s">
        <v>523</v>
      </c>
      <c r="C345" s="16"/>
      <c r="D345" s="17"/>
      <c r="E345" s="550">
        <v>0</v>
      </c>
      <c r="F345" s="550">
        <v>0</v>
      </c>
      <c r="G345" s="18"/>
      <c r="H345" s="200"/>
      <c r="J345" s="163"/>
    </row>
    <row r="346" spans="1:10" ht="87">
      <c r="A346" s="217"/>
      <c r="B346" s="44" t="s">
        <v>138</v>
      </c>
      <c r="C346" s="16"/>
      <c r="D346" s="17"/>
      <c r="E346" s="550">
        <v>0</v>
      </c>
      <c r="F346" s="550">
        <v>0</v>
      </c>
      <c r="G346" s="18"/>
      <c r="H346" s="200"/>
      <c r="J346" s="163"/>
    </row>
    <row r="347" spans="1:10" ht="29">
      <c r="A347" s="217"/>
      <c r="B347" s="44" t="s">
        <v>139</v>
      </c>
      <c r="C347" s="16"/>
      <c r="D347" s="17"/>
      <c r="E347" s="550">
        <v>0</v>
      </c>
      <c r="F347" s="550">
        <v>0</v>
      </c>
      <c r="G347" s="18"/>
      <c r="H347" s="200"/>
      <c r="J347" s="163"/>
    </row>
    <row r="348" spans="1:10">
      <c r="A348" s="217"/>
      <c r="B348" s="48"/>
      <c r="C348" s="16"/>
      <c r="D348" s="17"/>
      <c r="E348" s="550">
        <v>0</v>
      </c>
      <c r="F348" s="550">
        <v>0</v>
      </c>
      <c r="G348" s="18"/>
      <c r="H348" s="200"/>
      <c r="J348" s="163"/>
    </row>
    <row r="349" spans="1:10">
      <c r="A349" s="217"/>
      <c r="B349" s="42" t="s">
        <v>140</v>
      </c>
      <c r="C349" s="16"/>
      <c r="D349" s="17"/>
      <c r="E349" s="550">
        <v>0</v>
      </c>
      <c r="F349" s="550">
        <v>0</v>
      </c>
      <c r="G349" s="18"/>
      <c r="H349" s="200"/>
      <c r="J349" s="163"/>
    </row>
    <row r="350" spans="1:10">
      <c r="A350" s="217"/>
      <c r="B350" s="27"/>
      <c r="C350" s="16"/>
      <c r="D350" s="17"/>
      <c r="E350" s="550">
        <v>0</v>
      </c>
      <c r="F350" s="550">
        <v>0</v>
      </c>
      <c r="G350" s="18"/>
      <c r="H350" s="200"/>
      <c r="J350" s="163"/>
    </row>
    <row r="351" spans="1:10">
      <c r="A351" s="217">
        <v>5.0999999999999996</v>
      </c>
      <c r="B351" s="44" t="s">
        <v>478</v>
      </c>
      <c r="C351" s="16" t="s">
        <v>58</v>
      </c>
      <c r="D351" s="17">
        <v>100</v>
      </c>
      <c r="E351" s="550">
        <v>975</v>
      </c>
      <c r="F351" s="550">
        <v>244</v>
      </c>
      <c r="G351" s="122">
        <f t="shared" ref="G351" si="40">E351*D351</f>
        <v>97500</v>
      </c>
      <c r="H351" s="204">
        <f t="shared" ref="H351" si="41">F351*D351</f>
        <v>24400</v>
      </c>
      <c r="J351" s="163"/>
    </row>
    <row r="352" spans="1:10">
      <c r="A352" s="217"/>
      <c r="B352" s="44"/>
      <c r="C352" s="16"/>
      <c r="D352" s="17"/>
      <c r="E352" s="550">
        <v>0</v>
      </c>
      <c r="F352" s="550">
        <v>0</v>
      </c>
      <c r="G352" s="18"/>
      <c r="H352" s="200"/>
      <c r="J352" s="163"/>
    </row>
    <row r="353" spans="1:10">
      <c r="A353" s="217">
        <f>A351+0.1</f>
        <v>5.1999999999999993</v>
      </c>
      <c r="B353" s="44" t="s">
        <v>296</v>
      </c>
      <c r="C353" s="16" t="s">
        <v>58</v>
      </c>
      <c r="D353" s="17">
        <v>60</v>
      </c>
      <c r="E353" s="550">
        <v>878</v>
      </c>
      <c r="F353" s="550">
        <v>244</v>
      </c>
      <c r="G353" s="122">
        <f t="shared" ref="G353" si="42">E353*D353</f>
        <v>52680</v>
      </c>
      <c r="H353" s="204">
        <f t="shared" ref="H353" si="43">F353*D353</f>
        <v>14640</v>
      </c>
      <c r="J353" s="163"/>
    </row>
    <row r="354" spans="1:10">
      <c r="A354" s="217"/>
      <c r="B354" s="44"/>
      <c r="C354" s="16"/>
      <c r="D354" s="17"/>
      <c r="E354" s="550">
        <v>0</v>
      </c>
      <c r="F354" s="550">
        <v>0</v>
      </c>
      <c r="G354" s="18"/>
      <c r="H354" s="200"/>
      <c r="J354" s="163"/>
    </row>
    <row r="355" spans="1:10">
      <c r="A355" s="217">
        <f>A353+0.1</f>
        <v>5.2999999999999989</v>
      </c>
      <c r="B355" s="44" t="s">
        <v>141</v>
      </c>
      <c r="C355" s="16" t="s">
        <v>58</v>
      </c>
      <c r="D355" s="17">
        <v>15</v>
      </c>
      <c r="E355" s="550">
        <v>975</v>
      </c>
      <c r="F355" s="550">
        <v>244</v>
      </c>
      <c r="G355" s="122">
        <f t="shared" ref="G355" si="44">E355*D355</f>
        <v>14625</v>
      </c>
      <c r="H355" s="204">
        <f t="shared" ref="H355" si="45">F355*D355</f>
        <v>3660</v>
      </c>
      <c r="J355" s="163"/>
    </row>
    <row r="356" spans="1:10">
      <c r="A356" s="217"/>
      <c r="B356" s="44"/>
      <c r="C356" s="16"/>
      <c r="D356" s="17"/>
      <c r="E356" s="550">
        <v>0</v>
      </c>
      <c r="F356" s="550">
        <v>0</v>
      </c>
      <c r="H356" s="200"/>
      <c r="J356" s="163"/>
    </row>
    <row r="357" spans="1:10">
      <c r="A357" s="217">
        <f>A355+0.1</f>
        <v>5.3999999999999986</v>
      </c>
      <c r="B357" s="44" t="s">
        <v>524</v>
      </c>
      <c r="C357" s="16" t="s">
        <v>58</v>
      </c>
      <c r="D357" s="17" t="s">
        <v>228</v>
      </c>
      <c r="E357" s="550">
        <v>0</v>
      </c>
      <c r="F357" s="550">
        <v>0</v>
      </c>
      <c r="G357" s="122"/>
      <c r="H357" s="204"/>
      <c r="J357" s="163"/>
    </row>
    <row r="358" spans="1:10">
      <c r="A358" s="217"/>
      <c r="B358" s="44"/>
      <c r="C358" s="16"/>
      <c r="D358" s="17"/>
      <c r="E358" s="550">
        <v>0</v>
      </c>
      <c r="F358" s="550">
        <v>0</v>
      </c>
      <c r="G358" s="18"/>
      <c r="H358" s="200"/>
      <c r="J358" s="163"/>
    </row>
    <row r="359" spans="1:10">
      <c r="A359" s="217">
        <f>A357+0.1</f>
        <v>5.4999999999999982</v>
      </c>
      <c r="B359" s="44" t="s">
        <v>525</v>
      </c>
      <c r="C359" s="16" t="s">
        <v>58</v>
      </c>
      <c r="D359" s="17" t="s">
        <v>228</v>
      </c>
      <c r="E359" s="550">
        <v>0</v>
      </c>
      <c r="F359" s="550">
        <v>0</v>
      </c>
      <c r="G359" s="122"/>
      <c r="H359" s="204"/>
      <c r="J359" s="163"/>
    </row>
    <row r="360" spans="1:10">
      <c r="A360" s="217"/>
      <c r="B360" s="44"/>
      <c r="C360" s="16"/>
      <c r="D360" s="17"/>
      <c r="E360" s="550">
        <v>0</v>
      </c>
      <c r="F360" s="550">
        <v>0</v>
      </c>
      <c r="G360" s="18"/>
      <c r="H360" s="200"/>
      <c r="J360" s="163"/>
    </row>
    <row r="361" spans="1:10">
      <c r="A361" s="217">
        <f>A359+0.1</f>
        <v>5.5999999999999979</v>
      </c>
      <c r="B361" s="44" t="s">
        <v>526</v>
      </c>
      <c r="C361" s="16" t="s">
        <v>58</v>
      </c>
      <c r="D361" s="17">
        <v>5</v>
      </c>
      <c r="E361" s="550">
        <v>1170</v>
      </c>
      <c r="F361" s="550">
        <v>244</v>
      </c>
      <c r="G361" s="122">
        <f t="shared" ref="G361" si="46">E361*D361</f>
        <v>5850</v>
      </c>
      <c r="H361" s="204">
        <f t="shared" ref="H361" si="47">F361*D361</f>
        <v>1220</v>
      </c>
      <c r="J361" s="163"/>
    </row>
    <row r="362" spans="1:10">
      <c r="A362" s="217"/>
      <c r="B362" s="44"/>
      <c r="C362" s="16"/>
      <c r="D362" s="17"/>
      <c r="E362" s="550">
        <v>0</v>
      </c>
      <c r="F362" s="550">
        <v>0</v>
      </c>
      <c r="G362" s="18"/>
      <c r="H362" s="200"/>
      <c r="J362" s="163"/>
    </row>
    <row r="363" spans="1:10">
      <c r="A363" s="217">
        <f>A361+0.1</f>
        <v>5.6999999999999975</v>
      </c>
      <c r="B363" s="44" t="s">
        <v>527</v>
      </c>
      <c r="C363" s="16" t="s">
        <v>58</v>
      </c>
      <c r="D363" s="17">
        <v>5</v>
      </c>
      <c r="E363" s="550">
        <v>1268</v>
      </c>
      <c r="F363" s="550">
        <v>244</v>
      </c>
      <c r="G363" s="122">
        <f t="shared" ref="G363" si="48">E363*D363</f>
        <v>6340</v>
      </c>
      <c r="H363" s="204">
        <f t="shared" ref="H363" si="49">F363*D363</f>
        <v>1220</v>
      </c>
      <c r="J363" s="163"/>
    </row>
    <row r="364" spans="1:10">
      <c r="A364" s="217"/>
      <c r="B364" s="44"/>
      <c r="C364" s="16"/>
      <c r="D364" s="17"/>
      <c r="E364" s="550">
        <v>0</v>
      </c>
      <c r="F364" s="550">
        <v>0</v>
      </c>
      <c r="G364" s="18"/>
      <c r="H364" s="200"/>
      <c r="J364" s="163"/>
    </row>
    <row r="365" spans="1:10" ht="29">
      <c r="A365" s="217">
        <f>A363+0.1</f>
        <v>5.7999999999999972</v>
      </c>
      <c r="B365" s="44" t="s">
        <v>528</v>
      </c>
      <c r="C365" s="16" t="s">
        <v>58</v>
      </c>
      <c r="D365" s="17" t="s">
        <v>228</v>
      </c>
      <c r="E365" s="550">
        <v>0</v>
      </c>
      <c r="F365" s="550">
        <v>0</v>
      </c>
      <c r="G365" s="122"/>
      <c r="H365" s="204"/>
      <c r="J365" s="163"/>
    </row>
    <row r="366" spans="1:10">
      <c r="A366" s="217"/>
      <c r="B366" s="44"/>
      <c r="C366" s="16"/>
      <c r="D366" s="17"/>
      <c r="E366" s="550">
        <v>0</v>
      </c>
      <c r="F366" s="550">
        <v>0</v>
      </c>
      <c r="G366" s="18"/>
      <c r="H366" s="200"/>
      <c r="J366" s="163"/>
    </row>
    <row r="367" spans="1:10" ht="43.5">
      <c r="A367" s="217">
        <f>A365+0.1</f>
        <v>5.8999999999999968</v>
      </c>
      <c r="B367" s="50" t="s">
        <v>529</v>
      </c>
      <c r="C367" s="16" t="s">
        <v>58</v>
      </c>
      <c r="D367" s="17" t="s">
        <v>228</v>
      </c>
      <c r="E367" s="550">
        <v>0</v>
      </c>
      <c r="F367" s="550">
        <v>0</v>
      </c>
      <c r="G367" s="122"/>
      <c r="H367" s="204"/>
      <c r="J367" s="163"/>
    </row>
    <row r="368" spans="1:10">
      <c r="A368" s="217"/>
      <c r="B368" s="50"/>
      <c r="C368" s="16"/>
      <c r="D368" s="17"/>
      <c r="E368" s="550">
        <v>0</v>
      </c>
      <c r="F368" s="550">
        <v>0</v>
      </c>
      <c r="G368" s="18"/>
      <c r="H368" s="200"/>
      <c r="J368" s="163"/>
    </row>
    <row r="369" spans="1:10">
      <c r="A369" s="218">
        <v>5.0999999999999996</v>
      </c>
      <c r="B369" s="44" t="s">
        <v>530</v>
      </c>
      <c r="C369" s="16" t="s">
        <v>58</v>
      </c>
      <c r="D369" s="17" t="s">
        <v>228</v>
      </c>
      <c r="E369" s="550">
        <v>0</v>
      </c>
      <c r="F369" s="550">
        <v>0</v>
      </c>
      <c r="G369" s="122"/>
      <c r="H369" s="204"/>
      <c r="J369" s="163"/>
    </row>
    <row r="370" spans="1:10">
      <c r="A370" s="218"/>
      <c r="B370" s="44"/>
      <c r="C370" s="16"/>
      <c r="D370" s="17"/>
      <c r="E370" s="550">
        <v>0</v>
      </c>
      <c r="F370" s="550">
        <v>0</v>
      </c>
      <c r="G370" s="18"/>
      <c r="H370" s="200"/>
      <c r="J370" s="163"/>
    </row>
    <row r="371" spans="1:10">
      <c r="A371" s="218"/>
      <c r="B371" s="48" t="s">
        <v>295</v>
      </c>
      <c r="C371" s="16"/>
      <c r="D371" s="17"/>
      <c r="E371" s="550">
        <v>0</v>
      </c>
      <c r="F371" s="550">
        <v>0</v>
      </c>
      <c r="G371" s="18"/>
      <c r="H371" s="200"/>
      <c r="J371" s="163"/>
    </row>
    <row r="372" spans="1:10" ht="43.5">
      <c r="A372" s="218"/>
      <c r="B372" s="48" t="s">
        <v>297</v>
      </c>
      <c r="C372" s="16"/>
      <c r="D372" s="17"/>
      <c r="E372" s="550">
        <v>0</v>
      </c>
      <c r="F372" s="550">
        <v>0</v>
      </c>
      <c r="G372" s="18"/>
      <c r="H372" s="200"/>
      <c r="J372" s="163"/>
    </row>
    <row r="373" spans="1:10" ht="43.5">
      <c r="A373" s="218"/>
      <c r="B373" s="48" t="s">
        <v>298</v>
      </c>
      <c r="C373" s="16"/>
      <c r="D373" s="17"/>
      <c r="E373" s="550">
        <v>0</v>
      </c>
      <c r="F373" s="550">
        <v>0</v>
      </c>
      <c r="G373" s="18"/>
      <c r="H373" s="200"/>
      <c r="J373" s="163"/>
    </row>
    <row r="374" spans="1:10" ht="87">
      <c r="A374" s="218">
        <f>A369+0.01</f>
        <v>5.1099999999999994</v>
      </c>
      <c r="B374" s="44" t="s">
        <v>484</v>
      </c>
      <c r="C374" s="16" t="s">
        <v>58</v>
      </c>
      <c r="D374" s="17">
        <v>14</v>
      </c>
      <c r="E374" s="550">
        <v>9264</v>
      </c>
      <c r="F374" s="550">
        <v>3413</v>
      </c>
      <c r="G374" s="122">
        <f t="shared" ref="G374" si="50">E374*D374</f>
        <v>129696</v>
      </c>
      <c r="H374" s="204">
        <f t="shared" ref="H374" si="51">F374*D374</f>
        <v>47782</v>
      </c>
    </row>
    <row r="375" spans="1:10">
      <c r="A375" s="217"/>
      <c r="B375" s="44"/>
      <c r="C375" s="16"/>
      <c r="D375" s="17"/>
      <c r="E375" s="550">
        <v>0</v>
      </c>
      <c r="F375" s="550">
        <v>0</v>
      </c>
      <c r="G375" s="18"/>
      <c r="H375" s="200"/>
    </row>
    <row r="376" spans="1:10" ht="87">
      <c r="A376" s="218">
        <f>A374+0.01</f>
        <v>5.1199999999999992</v>
      </c>
      <c r="B376" s="44" t="s">
        <v>485</v>
      </c>
      <c r="C376" s="16" t="s">
        <v>58</v>
      </c>
      <c r="D376" s="17" t="s">
        <v>228</v>
      </c>
      <c r="E376" s="550">
        <v>0</v>
      </c>
      <c r="F376" s="550">
        <v>0</v>
      </c>
      <c r="G376" s="122"/>
      <c r="H376" s="204"/>
    </row>
    <row r="377" spans="1:10">
      <c r="A377" s="217"/>
      <c r="B377" s="44"/>
      <c r="C377" s="16"/>
      <c r="D377" s="17"/>
      <c r="E377" s="550">
        <v>0</v>
      </c>
      <c r="F377" s="550">
        <v>0</v>
      </c>
      <c r="G377" s="18"/>
      <c r="H377" s="200"/>
    </row>
    <row r="378" spans="1:10" ht="87">
      <c r="A378" s="218">
        <f>A376+0.01</f>
        <v>5.129999999999999</v>
      </c>
      <c r="B378" s="44" t="s">
        <v>486</v>
      </c>
      <c r="C378" s="16" t="s">
        <v>58</v>
      </c>
      <c r="D378" s="17" t="s">
        <v>228</v>
      </c>
      <c r="E378" s="550">
        <v>0</v>
      </c>
      <c r="F378" s="550">
        <v>0</v>
      </c>
      <c r="G378" s="122"/>
      <c r="H378" s="204"/>
    </row>
    <row r="379" spans="1:10">
      <c r="A379" s="217"/>
      <c r="B379" s="44"/>
      <c r="C379" s="16"/>
      <c r="D379" s="17"/>
      <c r="E379" s="550">
        <v>0</v>
      </c>
      <c r="F379" s="550">
        <v>0</v>
      </c>
      <c r="G379" s="18"/>
      <c r="H379" s="200"/>
    </row>
    <row r="380" spans="1:10" ht="72.5">
      <c r="A380" s="218">
        <f>A378+0.01</f>
        <v>5.1399999999999988</v>
      </c>
      <c r="B380" s="44" t="s">
        <v>531</v>
      </c>
      <c r="C380" s="16" t="s">
        <v>58</v>
      </c>
      <c r="D380" s="17">
        <v>20</v>
      </c>
      <c r="E380" s="550">
        <v>11215</v>
      </c>
      <c r="F380" s="550">
        <v>3413</v>
      </c>
      <c r="G380" s="122">
        <f t="shared" ref="G380" si="52">E380*D380</f>
        <v>224300</v>
      </c>
      <c r="H380" s="204">
        <f t="shared" ref="H380" si="53">F380*D380</f>
        <v>68260</v>
      </c>
    </row>
    <row r="381" spans="1:10">
      <c r="A381" s="217"/>
      <c r="B381" s="44"/>
      <c r="C381" s="16"/>
      <c r="D381" s="17"/>
      <c r="E381" s="550">
        <v>0</v>
      </c>
      <c r="F381" s="550">
        <v>0</v>
      </c>
      <c r="G381" s="18"/>
      <c r="H381" s="200"/>
    </row>
    <row r="382" spans="1:10" ht="72.5">
      <c r="A382" s="218">
        <f>A380+0.01</f>
        <v>5.1499999999999986</v>
      </c>
      <c r="B382" s="44" t="s">
        <v>532</v>
      </c>
      <c r="C382" s="16" t="s">
        <v>58</v>
      </c>
      <c r="D382" s="17">
        <v>1</v>
      </c>
      <c r="E382" s="550">
        <v>12190</v>
      </c>
      <c r="F382" s="550">
        <v>3413</v>
      </c>
      <c r="G382" s="122">
        <f t="shared" ref="G382" si="54">E382*D382</f>
        <v>12190</v>
      </c>
      <c r="H382" s="204">
        <f t="shared" ref="H382" si="55">F382*D382</f>
        <v>3413</v>
      </c>
    </row>
    <row r="383" spans="1:10">
      <c r="A383" s="217"/>
      <c r="B383" s="44"/>
      <c r="C383" s="16"/>
      <c r="D383" s="17"/>
      <c r="E383" s="550">
        <v>0</v>
      </c>
      <c r="F383" s="550">
        <v>0</v>
      </c>
      <c r="G383" s="18"/>
      <c r="H383" s="200"/>
    </row>
    <row r="384" spans="1:10" ht="72.5">
      <c r="A384" s="218">
        <f>A382+0.01</f>
        <v>5.1599999999999984</v>
      </c>
      <c r="B384" s="44" t="s">
        <v>533</v>
      </c>
      <c r="C384" s="16" t="s">
        <v>58</v>
      </c>
      <c r="D384" s="17">
        <v>1</v>
      </c>
      <c r="E384" s="550">
        <v>12190</v>
      </c>
      <c r="F384" s="550">
        <v>3413</v>
      </c>
      <c r="G384" s="122">
        <f t="shared" ref="G384" si="56">E384*D384</f>
        <v>12190</v>
      </c>
      <c r="H384" s="204">
        <f t="shared" ref="H384" si="57">F384*D384</f>
        <v>3413</v>
      </c>
    </row>
    <row r="385" spans="1:24">
      <c r="A385" s="217"/>
      <c r="B385" s="50"/>
      <c r="C385" s="16"/>
      <c r="D385" s="17"/>
      <c r="E385" s="550">
        <v>0</v>
      </c>
      <c r="F385" s="550">
        <v>0</v>
      </c>
      <c r="G385" s="18"/>
      <c r="H385" s="200"/>
      <c r="J385" s="163"/>
    </row>
    <row r="386" spans="1:24">
      <c r="A386" s="219"/>
      <c r="B386" s="103" t="s">
        <v>142</v>
      </c>
      <c r="C386" s="100"/>
      <c r="D386" s="101"/>
      <c r="E386" s="552">
        <v>0</v>
      </c>
      <c r="F386" s="552">
        <v>0</v>
      </c>
      <c r="G386" s="102">
        <f>SUM(G351:G385)</f>
        <v>555371</v>
      </c>
      <c r="H386" s="207">
        <f>SUM(H351:H385)</f>
        <v>168008</v>
      </c>
      <c r="J386" s="163"/>
    </row>
    <row r="387" spans="1:24">
      <c r="A387" s="220"/>
      <c r="B387" s="43"/>
      <c r="C387" s="33"/>
      <c r="D387" s="34"/>
      <c r="E387" s="553">
        <v>0</v>
      </c>
      <c r="F387" s="553">
        <v>0</v>
      </c>
      <c r="G387" s="35"/>
      <c r="H387" s="209"/>
      <c r="J387" s="163"/>
    </row>
    <row r="388" spans="1:24">
      <c r="A388" s="215">
        <v>6</v>
      </c>
      <c r="B388" s="160" t="s">
        <v>438</v>
      </c>
      <c r="C388" s="95"/>
      <c r="D388" s="96"/>
      <c r="E388" s="554">
        <v>0</v>
      </c>
      <c r="F388" s="554">
        <v>0</v>
      </c>
      <c r="G388" s="97"/>
      <c r="H388" s="196"/>
      <c r="J388" s="163"/>
    </row>
    <row r="389" spans="1:24">
      <c r="A389" s="221"/>
      <c r="B389" s="51"/>
      <c r="C389" s="52"/>
      <c r="D389" s="53"/>
      <c r="E389" s="555">
        <v>0</v>
      </c>
      <c r="F389" s="555">
        <v>0</v>
      </c>
      <c r="G389" s="18"/>
      <c r="H389" s="200"/>
      <c r="J389" s="163"/>
    </row>
    <row r="390" spans="1:24" ht="178.75" customHeight="1">
      <c r="A390" s="222"/>
      <c r="B390" s="186" t="s">
        <v>620</v>
      </c>
      <c r="C390" s="41"/>
      <c r="D390" s="54"/>
      <c r="E390" s="550">
        <v>0</v>
      </c>
      <c r="F390" s="550">
        <v>0</v>
      </c>
      <c r="G390" s="18"/>
      <c r="H390" s="200"/>
      <c r="J390" s="163"/>
    </row>
    <row r="391" spans="1:24" s="182" customFormat="1">
      <c r="A391" s="223"/>
      <c r="B391" s="188"/>
      <c r="C391" s="187"/>
      <c r="D391" s="189"/>
      <c r="E391" s="553">
        <v>0</v>
      </c>
      <c r="F391" s="558">
        <v>0</v>
      </c>
      <c r="G391" s="35"/>
      <c r="H391" s="224"/>
      <c r="I391" s="154"/>
      <c r="J391" s="163"/>
      <c r="K391" s="154"/>
      <c r="L391" s="154"/>
      <c r="M391" s="154"/>
      <c r="N391" s="154"/>
      <c r="O391" s="154"/>
      <c r="P391" s="154"/>
      <c r="Q391" s="154"/>
      <c r="R391" s="154"/>
      <c r="S391" s="154"/>
      <c r="T391" s="154"/>
      <c r="U391" s="154"/>
      <c r="V391" s="154"/>
      <c r="W391" s="154"/>
      <c r="X391" s="154"/>
    </row>
    <row r="392" spans="1:24" s="182" customFormat="1">
      <c r="A392" s="217">
        <v>6.1</v>
      </c>
      <c r="B392" s="50" t="s">
        <v>621</v>
      </c>
      <c r="C392" s="16" t="s">
        <v>299</v>
      </c>
      <c r="D392" s="17">
        <v>25</v>
      </c>
      <c r="E392" s="550">
        <v>1463</v>
      </c>
      <c r="F392" s="550">
        <v>488</v>
      </c>
      <c r="G392" s="122">
        <f t="shared" ref="G392" si="58">E392*D392</f>
        <v>36575</v>
      </c>
      <c r="H392" s="204">
        <f t="shared" ref="H392" si="59">F392*D392</f>
        <v>12200</v>
      </c>
      <c r="I392" s="265"/>
      <c r="J392" s="163"/>
      <c r="K392" s="154"/>
      <c r="L392" s="154"/>
      <c r="M392" s="154"/>
      <c r="N392" s="154"/>
      <c r="O392" s="154"/>
      <c r="P392" s="154"/>
      <c r="Q392" s="154"/>
      <c r="R392" s="154"/>
      <c r="S392" s="154"/>
      <c r="T392" s="154"/>
      <c r="U392" s="154"/>
      <c r="V392" s="154"/>
      <c r="W392" s="154"/>
      <c r="X392" s="154"/>
    </row>
    <row r="393" spans="1:24" s="183" customFormat="1">
      <c r="A393" s="225"/>
      <c r="B393" s="185"/>
      <c r="C393" s="184"/>
      <c r="D393" s="166"/>
      <c r="E393" s="559">
        <v>0</v>
      </c>
      <c r="F393" s="560">
        <v>0</v>
      </c>
      <c r="G393" s="166"/>
      <c r="H393" s="226"/>
      <c r="I393" s="266"/>
      <c r="J393" s="266"/>
      <c r="K393" s="267"/>
      <c r="L393" s="267"/>
      <c r="M393" s="267"/>
      <c r="N393" s="267"/>
      <c r="O393" s="267"/>
      <c r="P393" s="267"/>
      <c r="Q393" s="267"/>
      <c r="R393" s="267"/>
      <c r="S393" s="267"/>
      <c r="T393" s="267"/>
      <c r="U393" s="267"/>
      <c r="V393" s="267"/>
      <c r="W393" s="267"/>
      <c r="X393" s="267"/>
    </row>
    <row r="394" spans="1:24" s="182" customFormat="1">
      <c r="A394" s="217">
        <f>A392+0.1</f>
        <v>6.1999999999999993</v>
      </c>
      <c r="B394" s="50" t="s">
        <v>439</v>
      </c>
      <c r="C394" s="16" t="s">
        <v>299</v>
      </c>
      <c r="D394" s="17">
        <v>5</v>
      </c>
      <c r="E394" s="550">
        <v>1073</v>
      </c>
      <c r="F394" s="550">
        <v>488</v>
      </c>
      <c r="G394" s="122">
        <f t="shared" ref="G394" si="60">E394*D394</f>
        <v>5365</v>
      </c>
      <c r="H394" s="204">
        <f t="shared" ref="H394" si="61">F394*D394</f>
        <v>2440</v>
      </c>
      <c r="I394" s="265"/>
      <c r="J394" s="163"/>
      <c r="K394" s="154"/>
      <c r="L394" s="154"/>
      <c r="M394" s="154"/>
      <c r="N394" s="154"/>
      <c r="O394" s="154"/>
      <c r="P394" s="154"/>
      <c r="Q394" s="154"/>
      <c r="R394" s="154"/>
      <c r="S394" s="154"/>
      <c r="T394" s="154"/>
      <c r="U394" s="154"/>
      <c r="V394" s="154"/>
      <c r="W394" s="154"/>
      <c r="X394" s="154"/>
    </row>
    <row r="395" spans="1:24" s="183" customFormat="1">
      <c r="A395" s="225"/>
      <c r="B395" s="185"/>
      <c r="C395" s="184"/>
      <c r="D395" s="166"/>
      <c r="E395" s="559">
        <v>0</v>
      </c>
      <c r="F395" s="560">
        <v>0</v>
      </c>
      <c r="G395" s="166"/>
      <c r="H395" s="226"/>
      <c r="I395" s="266"/>
      <c r="J395" s="266"/>
      <c r="K395" s="267"/>
      <c r="L395" s="267"/>
      <c r="M395" s="267"/>
      <c r="N395" s="267"/>
      <c r="O395" s="267"/>
      <c r="P395" s="267"/>
      <c r="Q395" s="267"/>
      <c r="R395" s="267"/>
      <c r="S395" s="267"/>
      <c r="T395" s="267"/>
      <c r="U395" s="267"/>
      <c r="V395" s="267"/>
      <c r="W395" s="267"/>
      <c r="X395" s="267"/>
    </row>
    <row r="396" spans="1:24" s="182" customFormat="1">
      <c r="A396" s="217">
        <f>A394+0.1</f>
        <v>6.2999999999999989</v>
      </c>
      <c r="B396" s="50" t="s">
        <v>440</v>
      </c>
      <c r="C396" s="16" t="s">
        <v>299</v>
      </c>
      <c r="D396" s="17">
        <v>56</v>
      </c>
      <c r="E396" s="550">
        <v>1950</v>
      </c>
      <c r="F396" s="550">
        <v>488</v>
      </c>
      <c r="G396" s="122">
        <f t="shared" ref="G396" si="62">E396*D396</f>
        <v>109200</v>
      </c>
      <c r="H396" s="204">
        <f t="shared" ref="H396" si="63">F396*D396</f>
        <v>27328</v>
      </c>
      <c r="I396" s="154"/>
      <c r="J396" s="163"/>
      <c r="K396" s="154"/>
      <c r="L396" s="154"/>
      <c r="M396" s="154"/>
      <c r="N396" s="154"/>
      <c r="O396" s="154"/>
      <c r="P396" s="154"/>
      <c r="Q396" s="154"/>
      <c r="R396" s="154"/>
      <c r="S396" s="154"/>
      <c r="T396" s="154"/>
      <c r="U396" s="154"/>
      <c r="V396" s="154"/>
      <c r="W396" s="154"/>
      <c r="X396" s="154"/>
    </row>
    <row r="397" spans="1:24" s="183" customFormat="1">
      <c r="A397" s="225"/>
      <c r="B397" s="185"/>
      <c r="C397" s="184"/>
      <c r="D397" s="166"/>
      <c r="E397" s="559">
        <v>0</v>
      </c>
      <c r="F397" s="560">
        <v>0</v>
      </c>
      <c r="G397" s="166"/>
      <c r="H397" s="226"/>
      <c r="I397" s="266"/>
      <c r="J397" s="266"/>
      <c r="K397" s="267"/>
      <c r="L397" s="267"/>
      <c r="M397" s="267"/>
      <c r="N397" s="267"/>
      <c r="O397" s="267"/>
      <c r="P397" s="267"/>
      <c r="Q397" s="267"/>
      <c r="R397" s="267"/>
      <c r="S397" s="267"/>
      <c r="T397" s="267"/>
      <c r="U397" s="267"/>
      <c r="V397" s="267"/>
      <c r="W397" s="267"/>
      <c r="X397" s="267"/>
    </row>
    <row r="398" spans="1:24" s="182" customFormat="1">
      <c r="A398" s="217">
        <f>A396+0.1</f>
        <v>6.3999999999999986</v>
      </c>
      <c r="B398" s="50" t="s">
        <v>441</v>
      </c>
      <c r="C398" s="16" t="s">
        <v>299</v>
      </c>
      <c r="D398" s="17">
        <v>26</v>
      </c>
      <c r="E398" s="550">
        <v>2438</v>
      </c>
      <c r="F398" s="550">
        <v>488</v>
      </c>
      <c r="G398" s="122">
        <f t="shared" ref="G398" si="64">E398*D398</f>
        <v>63388</v>
      </c>
      <c r="H398" s="204">
        <f t="shared" ref="H398" si="65">F398*D398</f>
        <v>12688</v>
      </c>
      <c r="I398" s="154"/>
      <c r="J398" s="163"/>
      <c r="K398" s="154"/>
      <c r="L398" s="154"/>
      <c r="M398" s="154"/>
      <c r="N398" s="154"/>
      <c r="O398" s="154"/>
      <c r="P398" s="154"/>
      <c r="Q398" s="154"/>
      <c r="R398" s="154"/>
      <c r="S398" s="154"/>
      <c r="T398" s="154"/>
      <c r="U398" s="154"/>
      <c r="V398" s="154"/>
      <c r="W398" s="154"/>
      <c r="X398" s="154"/>
    </row>
    <row r="399" spans="1:24" s="183" customFormat="1">
      <c r="A399" s="225"/>
      <c r="B399" s="185"/>
      <c r="C399" s="184"/>
      <c r="D399" s="166"/>
      <c r="E399" s="559">
        <v>0</v>
      </c>
      <c r="F399" s="560">
        <v>0</v>
      </c>
      <c r="G399" s="166"/>
      <c r="H399" s="226"/>
      <c r="I399" s="266"/>
      <c r="J399" s="266"/>
      <c r="K399" s="267"/>
      <c r="L399" s="267"/>
      <c r="M399" s="267"/>
      <c r="N399" s="267"/>
      <c r="O399" s="267"/>
      <c r="P399" s="267"/>
      <c r="Q399" s="267"/>
      <c r="R399" s="267"/>
      <c r="S399" s="267"/>
      <c r="T399" s="267"/>
      <c r="U399" s="267"/>
      <c r="V399" s="267"/>
      <c r="W399" s="267"/>
      <c r="X399" s="267"/>
    </row>
    <row r="400" spans="1:24" s="182" customFormat="1">
      <c r="A400" s="217">
        <f>A398+0.1</f>
        <v>6.4999999999999982</v>
      </c>
      <c r="B400" s="50" t="s">
        <v>442</v>
      </c>
      <c r="C400" s="16" t="s">
        <v>299</v>
      </c>
      <c r="D400" s="17">
        <v>34</v>
      </c>
      <c r="E400" s="550">
        <v>2926</v>
      </c>
      <c r="F400" s="550">
        <v>488</v>
      </c>
      <c r="G400" s="122">
        <f t="shared" ref="G400" si="66">E400*D400</f>
        <v>99484</v>
      </c>
      <c r="H400" s="204">
        <f t="shared" ref="H400" si="67">F400*D400</f>
        <v>16592</v>
      </c>
      <c r="I400" s="154"/>
      <c r="J400" s="163"/>
      <c r="K400" s="154"/>
      <c r="L400" s="154"/>
      <c r="M400" s="154"/>
      <c r="N400" s="154"/>
      <c r="O400" s="154"/>
      <c r="P400" s="154"/>
      <c r="Q400" s="154"/>
      <c r="R400" s="154"/>
      <c r="S400" s="154"/>
      <c r="T400" s="154"/>
      <c r="U400" s="154"/>
      <c r="V400" s="154"/>
      <c r="W400" s="154"/>
      <c r="X400" s="154"/>
    </row>
    <row r="401" spans="1:24" s="183" customFormat="1">
      <c r="A401" s="225"/>
      <c r="B401" s="185"/>
      <c r="C401" s="184"/>
      <c r="D401" s="166"/>
      <c r="E401" s="559">
        <v>0</v>
      </c>
      <c r="F401" s="560">
        <v>0</v>
      </c>
      <c r="G401" s="166"/>
      <c r="H401" s="226"/>
      <c r="I401" s="266"/>
      <c r="J401" s="266"/>
      <c r="K401" s="267"/>
      <c r="L401" s="267"/>
      <c r="M401" s="267"/>
      <c r="N401" s="267"/>
      <c r="O401" s="267"/>
      <c r="P401" s="267"/>
      <c r="Q401" s="267"/>
      <c r="R401" s="267"/>
      <c r="S401" s="267"/>
      <c r="T401" s="267"/>
      <c r="U401" s="267"/>
      <c r="V401" s="267"/>
      <c r="W401" s="267"/>
      <c r="X401" s="267"/>
    </row>
    <row r="402" spans="1:24" s="182" customFormat="1">
      <c r="A402" s="217">
        <f>A400+0.1</f>
        <v>6.5999999999999979</v>
      </c>
      <c r="B402" s="50" t="s">
        <v>443</v>
      </c>
      <c r="C402" s="16" t="s">
        <v>299</v>
      </c>
      <c r="D402" s="17">
        <v>10</v>
      </c>
      <c r="E402" s="550">
        <v>3413</v>
      </c>
      <c r="F402" s="550">
        <v>488</v>
      </c>
      <c r="G402" s="122">
        <f t="shared" ref="G402:G406" si="68">E402*D402</f>
        <v>34130</v>
      </c>
      <c r="H402" s="204">
        <f t="shared" ref="H402:H406" si="69">F402*D402</f>
        <v>4880</v>
      </c>
      <c r="I402" s="154"/>
      <c r="J402" s="163"/>
      <c r="K402" s="154"/>
      <c r="L402" s="154"/>
      <c r="M402" s="154"/>
      <c r="N402" s="154"/>
      <c r="O402" s="154"/>
      <c r="P402" s="154"/>
      <c r="Q402" s="154"/>
      <c r="R402" s="154"/>
      <c r="S402" s="154"/>
      <c r="T402" s="154"/>
      <c r="U402" s="154"/>
      <c r="V402" s="154"/>
      <c r="W402" s="154"/>
      <c r="X402" s="154"/>
    </row>
    <row r="403" spans="1:24" s="183" customFormat="1">
      <c r="A403" s="225"/>
      <c r="B403" s="185"/>
      <c r="C403" s="184"/>
      <c r="D403" s="166"/>
      <c r="E403" s="559">
        <v>0</v>
      </c>
      <c r="F403" s="560">
        <v>0</v>
      </c>
      <c r="G403" s="122">
        <f t="shared" si="68"/>
        <v>0</v>
      </c>
      <c r="H403" s="204">
        <f t="shared" si="69"/>
        <v>0</v>
      </c>
      <c r="I403" s="266"/>
      <c r="J403" s="266"/>
      <c r="K403" s="267"/>
      <c r="L403" s="268"/>
      <c r="M403" s="267"/>
      <c r="N403" s="267"/>
      <c r="O403" s="267"/>
      <c r="P403" s="267"/>
      <c r="Q403" s="267"/>
      <c r="R403" s="267"/>
      <c r="S403" s="267"/>
      <c r="T403" s="267"/>
      <c r="U403" s="267"/>
      <c r="V403" s="267"/>
      <c r="W403" s="267"/>
      <c r="X403" s="267"/>
    </row>
    <row r="404" spans="1:24" s="182" customFormat="1">
      <c r="A404" s="217">
        <f>A402+0.1</f>
        <v>6.6999999999999975</v>
      </c>
      <c r="B404" s="50" t="s">
        <v>444</v>
      </c>
      <c r="C404" s="16" t="s">
        <v>299</v>
      </c>
      <c r="D404" s="17">
        <v>10</v>
      </c>
      <c r="E404" s="550">
        <v>3901</v>
      </c>
      <c r="F404" s="550">
        <v>488</v>
      </c>
      <c r="G404" s="122">
        <f t="shared" si="68"/>
        <v>39010</v>
      </c>
      <c r="H404" s="204">
        <f t="shared" si="69"/>
        <v>4880</v>
      </c>
      <c r="I404" s="154"/>
      <c r="J404" s="163"/>
      <c r="K404" s="154"/>
      <c r="L404" s="265"/>
      <c r="M404" s="154"/>
      <c r="N404" s="154"/>
      <c r="O404" s="154"/>
      <c r="P404" s="154"/>
      <c r="Q404" s="154"/>
      <c r="R404" s="154"/>
      <c r="S404" s="154"/>
      <c r="T404" s="154"/>
      <c r="U404" s="154"/>
      <c r="V404" s="154"/>
      <c r="W404" s="154"/>
      <c r="X404" s="154"/>
    </row>
    <row r="405" spans="1:24" s="183" customFormat="1">
      <c r="A405" s="225"/>
      <c r="B405" s="185"/>
      <c r="C405" s="184"/>
      <c r="D405" s="166"/>
      <c r="E405" s="559">
        <v>0</v>
      </c>
      <c r="F405" s="560">
        <v>0</v>
      </c>
      <c r="G405" s="122">
        <f t="shared" si="68"/>
        <v>0</v>
      </c>
      <c r="H405" s="204">
        <f t="shared" si="69"/>
        <v>0</v>
      </c>
      <c r="I405" s="266"/>
      <c r="J405" s="266"/>
      <c r="K405" s="267"/>
      <c r="L405" s="267"/>
      <c r="M405" s="267"/>
      <c r="N405" s="267"/>
      <c r="O405" s="267"/>
      <c r="P405" s="267"/>
      <c r="Q405" s="267"/>
      <c r="R405" s="267"/>
      <c r="S405" s="267"/>
      <c r="T405" s="267"/>
      <c r="U405" s="267"/>
      <c r="V405" s="267"/>
      <c r="W405" s="267"/>
      <c r="X405" s="267"/>
    </row>
    <row r="406" spans="1:24" s="182" customFormat="1">
      <c r="A406" s="217">
        <f>A404+0.1</f>
        <v>6.7999999999999972</v>
      </c>
      <c r="B406" s="50" t="s">
        <v>445</v>
      </c>
      <c r="C406" s="16" t="s">
        <v>299</v>
      </c>
      <c r="D406" s="17">
        <v>12</v>
      </c>
      <c r="E406" s="550">
        <v>1463</v>
      </c>
      <c r="F406" s="550">
        <v>488</v>
      </c>
      <c r="G406" s="122">
        <f t="shared" si="68"/>
        <v>17556</v>
      </c>
      <c r="H406" s="204">
        <f t="shared" si="69"/>
        <v>5856</v>
      </c>
      <c r="I406" s="154"/>
      <c r="J406" s="163"/>
      <c r="K406" s="154"/>
      <c r="L406" s="154"/>
      <c r="M406" s="154"/>
      <c r="N406" s="154"/>
      <c r="O406" s="154"/>
      <c r="P406" s="154"/>
      <c r="Q406" s="154"/>
      <c r="R406" s="154"/>
      <c r="S406" s="154"/>
      <c r="T406" s="154"/>
      <c r="U406" s="154"/>
      <c r="V406" s="154"/>
      <c r="W406" s="154"/>
      <c r="X406" s="154"/>
    </row>
    <row r="407" spans="1:24" s="183" customFormat="1">
      <c r="A407" s="225"/>
      <c r="B407" s="185"/>
      <c r="C407" s="184"/>
      <c r="D407" s="166"/>
      <c r="E407" s="559">
        <v>0</v>
      </c>
      <c r="F407" s="560">
        <v>0</v>
      </c>
      <c r="G407" s="166"/>
      <c r="H407" s="226"/>
      <c r="I407" s="266"/>
      <c r="J407" s="266"/>
      <c r="K407" s="267"/>
      <c r="L407" s="267"/>
      <c r="M407" s="267"/>
      <c r="N407" s="267"/>
      <c r="O407" s="267"/>
      <c r="P407" s="267"/>
      <c r="Q407" s="267"/>
      <c r="R407" s="267"/>
      <c r="S407" s="267"/>
      <c r="T407" s="267"/>
      <c r="U407" s="267"/>
      <c r="V407" s="267"/>
      <c r="W407" s="267"/>
      <c r="X407" s="267"/>
    </row>
    <row r="408" spans="1:24">
      <c r="A408" s="206"/>
      <c r="B408" s="105" t="s">
        <v>143</v>
      </c>
      <c r="C408" s="111"/>
      <c r="D408" s="101"/>
      <c r="E408" s="552">
        <v>0</v>
      </c>
      <c r="F408" s="552">
        <v>0</v>
      </c>
      <c r="G408" s="102">
        <f>SUM(G392:G407)</f>
        <v>404708</v>
      </c>
      <c r="H408" s="207">
        <f>SUM(H392:H407)</f>
        <v>86864</v>
      </c>
      <c r="J408" s="163"/>
    </row>
    <row r="409" spans="1:24">
      <c r="A409" s="227"/>
      <c r="B409" s="58"/>
      <c r="C409" s="33"/>
      <c r="D409" s="34"/>
      <c r="E409" s="553">
        <v>0</v>
      </c>
      <c r="F409" s="553">
        <v>0</v>
      </c>
      <c r="G409" s="35"/>
      <c r="H409" s="209"/>
      <c r="J409" s="163"/>
    </row>
    <row r="410" spans="1:24">
      <c r="A410" s="215">
        <v>7</v>
      </c>
      <c r="B410" s="104" t="s">
        <v>10</v>
      </c>
      <c r="C410" s="95"/>
      <c r="D410" s="96"/>
      <c r="E410" s="554">
        <v>0</v>
      </c>
      <c r="F410" s="554">
        <v>0</v>
      </c>
      <c r="G410" s="97"/>
      <c r="H410" s="196"/>
      <c r="J410" s="163"/>
    </row>
    <row r="411" spans="1:24">
      <c r="A411" s="228"/>
      <c r="B411" s="51"/>
      <c r="C411" s="52"/>
      <c r="D411" s="53"/>
      <c r="E411" s="555">
        <v>0</v>
      </c>
      <c r="F411" s="555">
        <v>0</v>
      </c>
      <c r="G411" s="18"/>
      <c r="H411" s="200"/>
      <c r="J411" s="163"/>
    </row>
    <row r="412" spans="1:24" ht="29">
      <c r="A412" s="212"/>
      <c r="B412" s="55" t="s">
        <v>144</v>
      </c>
      <c r="C412" s="41"/>
      <c r="D412" s="54"/>
      <c r="E412" s="550">
        <v>0</v>
      </c>
      <c r="F412" s="550">
        <v>0</v>
      </c>
      <c r="G412" s="18"/>
      <c r="H412" s="200"/>
      <c r="J412" s="163"/>
    </row>
    <row r="413" spans="1:24" ht="116">
      <c r="A413" s="212"/>
      <c r="B413" s="55" t="s">
        <v>145</v>
      </c>
      <c r="C413" s="41"/>
      <c r="D413" s="54"/>
      <c r="E413" s="550">
        <v>0</v>
      </c>
      <c r="F413" s="550">
        <v>0</v>
      </c>
      <c r="G413" s="18"/>
      <c r="H413" s="200"/>
      <c r="J413" s="163"/>
    </row>
    <row r="414" spans="1:24">
      <c r="A414" s="212"/>
      <c r="B414" s="38" t="s">
        <v>146</v>
      </c>
      <c r="C414" s="41"/>
      <c r="D414" s="54"/>
      <c r="E414" s="550">
        <v>0</v>
      </c>
      <c r="F414" s="550">
        <v>0</v>
      </c>
      <c r="G414" s="18"/>
      <c r="H414" s="200"/>
      <c r="J414" s="163"/>
    </row>
    <row r="415" spans="1:24" ht="58">
      <c r="A415" s="212"/>
      <c r="B415" s="23" t="s">
        <v>147</v>
      </c>
      <c r="C415" s="41"/>
      <c r="D415" s="54"/>
      <c r="E415" s="550">
        <v>0</v>
      </c>
      <c r="F415" s="550">
        <v>0</v>
      </c>
      <c r="G415" s="18"/>
      <c r="H415" s="200"/>
      <c r="J415" s="163"/>
    </row>
    <row r="416" spans="1:24" ht="43.5">
      <c r="A416" s="212"/>
      <c r="B416" s="23" t="s">
        <v>148</v>
      </c>
      <c r="C416" s="41"/>
      <c r="D416" s="54"/>
      <c r="E416" s="550">
        <v>0</v>
      </c>
      <c r="F416" s="550">
        <v>0</v>
      </c>
      <c r="G416" s="18"/>
      <c r="H416" s="200"/>
      <c r="J416" s="163"/>
    </row>
    <row r="417" spans="1:10" ht="29">
      <c r="A417" s="212"/>
      <c r="B417" s="23" t="s">
        <v>149</v>
      </c>
      <c r="C417" s="41"/>
      <c r="D417" s="54"/>
      <c r="E417" s="550">
        <v>0</v>
      </c>
      <c r="F417" s="550">
        <v>0</v>
      </c>
      <c r="G417" s="18"/>
      <c r="H417" s="200"/>
      <c r="J417" s="163"/>
    </row>
    <row r="418" spans="1:10">
      <c r="A418" s="212"/>
      <c r="B418" s="23" t="s">
        <v>150</v>
      </c>
      <c r="C418" s="41"/>
      <c r="D418" s="54"/>
      <c r="E418" s="550">
        <v>0</v>
      </c>
      <c r="F418" s="550">
        <v>0</v>
      </c>
      <c r="G418" s="18"/>
      <c r="H418" s="200"/>
      <c r="J418" s="163"/>
    </row>
    <row r="419" spans="1:10" ht="29">
      <c r="A419" s="212"/>
      <c r="B419" s="23" t="s">
        <v>245</v>
      </c>
      <c r="C419" s="41"/>
      <c r="D419" s="54"/>
      <c r="E419" s="550">
        <v>0</v>
      </c>
      <c r="F419" s="550">
        <v>0</v>
      </c>
      <c r="G419" s="18"/>
      <c r="H419" s="200"/>
      <c r="J419" s="163"/>
    </row>
    <row r="420" spans="1:10">
      <c r="A420" s="212"/>
      <c r="B420" s="23" t="s">
        <v>246</v>
      </c>
      <c r="C420" s="41"/>
      <c r="D420" s="54"/>
      <c r="E420" s="550">
        <v>0</v>
      </c>
      <c r="F420" s="550">
        <v>0</v>
      </c>
      <c r="G420" s="18"/>
      <c r="H420" s="200"/>
      <c r="J420" s="163"/>
    </row>
    <row r="421" spans="1:10">
      <c r="A421" s="212"/>
      <c r="B421" s="23" t="s">
        <v>247</v>
      </c>
      <c r="C421" s="41"/>
      <c r="D421" s="54"/>
      <c r="E421" s="550">
        <v>0</v>
      </c>
      <c r="F421" s="550">
        <v>0</v>
      </c>
      <c r="G421" s="18"/>
      <c r="H421" s="200"/>
      <c r="J421" s="163"/>
    </row>
    <row r="422" spans="1:10" ht="43.5">
      <c r="A422" s="212"/>
      <c r="B422" s="23" t="s">
        <v>248</v>
      </c>
      <c r="C422" s="41"/>
      <c r="D422" s="54"/>
      <c r="E422" s="550">
        <v>0</v>
      </c>
      <c r="F422" s="550">
        <v>0</v>
      </c>
      <c r="G422" s="18"/>
      <c r="H422" s="200"/>
      <c r="J422" s="163"/>
    </row>
    <row r="423" spans="1:10" ht="29">
      <c r="A423" s="212"/>
      <c r="B423" s="23" t="s">
        <v>249</v>
      </c>
      <c r="C423" s="41"/>
      <c r="D423" s="54"/>
      <c r="E423" s="550">
        <v>0</v>
      </c>
      <c r="F423" s="550">
        <v>0</v>
      </c>
      <c r="G423" s="18"/>
      <c r="H423" s="200"/>
      <c r="J423" s="163"/>
    </row>
    <row r="424" spans="1:10" ht="29">
      <c r="A424" s="212"/>
      <c r="B424" s="23" t="s">
        <v>250</v>
      </c>
      <c r="C424" s="41"/>
      <c r="D424" s="54"/>
      <c r="E424" s="550">
        <v>0</v>
      </c>
      <c r="F424" s="550">
        <v>0</v>
      </c>
      <c r="G424" s="18"/>
      <c r="H424" s="200"/>
      <c r="J424" s="163"/>
    </row>
    <row r="425" spans="1:10" ht="29">
      <c r="A425" s="212"/>
      <c r="B425" s="23" t="s">
        <v>251</v>
      </c>
      <c r="C425" s="41"/>
      <c r="D425" s="54"/>
      <c r="E425" s="550">
        <v>0</v>
      </c>
      <c r="F425" s="550">
        <v>0</v>
      </c>
      <c r="G425" s="18"/>
      <c r="H425" s="200"/>
      <c r="J425" s="163"/>
    </row>
    <row r="426" spans="1:10" ht="29">
      <c r="A426" s="212"/>
      <c r="B426" s="23" t="s">
        <v>252</v>
      </c>
      <c r="C426" s="41"/>
      <c r="D426" s="54"/>
      <c r="E426" s="550">
        <v>0</v>
      </c>
      <c r="F426" s="550">
        <v>0</v>
      </c>
      <c r="G426" s="18"/>
      <c r="H426" s="200"/>
      <c r="J426" s="163"/>
    </row>
    <row r="427" spans="1:10">
      <c r="A427" s="212"/>
      <c r="B427" s="23" t="s">
        <v>253</v>
      </c>
      <c r="C427" s="41"/>
      <c r="D427" s="54"/>
      <c r="E427" s="550">
        <v>0</v>
      </c>
      <c r="F427" s="550">
        <v>0</v>
      </c>
      <c r="G427" s="18"/>
      <c r="H427" s="200"/>
      <c r="J427" s="163"/>
    </row>
    <row r="428" spans="1:10">
      <c r="A428" s="212"/>
      <c r="B428" s="23" t="s">
        <v>254</v>
      </c>
      <c r="C428" s="41"/>
      <c r="D428" s="54"/>
      <c r="E428" s="550">
        <v>0</v>
      </c>
      <c r="F428" s="550">
        <v>0</v>
      </c>
      <c r="G428" s="18"/>
      <c r="H428" s="200"/>
      <c r="J428" s="163"/>
    </row>
    <row r="429" spans="1:10" ht="29">
      <c r="A429" s="212"/>
      <c r="B429" s="23" t="s">
        <v>255</v>
      </c>
      <c r="C429" s="41"/>
      <c r="D429" s="54"/>
      <c r="E429" s="550">
        <v>0</v>
      </c>
      <c r="F429" s="550">
        <v>0</v>
      </c>
      <c r="G429" s="18"/>
      <c r="H429" s="200"/>
      <c r="J429" s="163"/>
    </row>
    <row r="430" spans="1:10">
      <c r="A430" s="212"/>
      <c r="B430" s="23" t="s">
        <v>256</v>
      </c>
      <c r="C430" s="41"/>
      <c r="D430" s="54"/>
      <c r="E430" s="550">
        <v>0</v>
      </c>
      <c r="F430" s="550">
        <v>0</v>
      </c>
      <c r="G430" s="18"/>
      <c r="H430" s="200"/>
      <c r="J430" s="163"/>
    </row>
    <row r="431" spans="1:10" ht="29">
      <c r="A431" s="212"/>
      <c r="B431" s="23" t="s">
        <v>257</v>
      </c>
      <c r="C431" s="41"/>
      <c r="D431" s="54"/>
      <c r="E431" s="550">
        <v>0</v>
      </c>
      <c r="F431" s="550">
        <v>0</v>
      </c>
      <c r="G431" s="18"/>
      <c r="H431" s="200"/>
      <c r="J431" s="163"/>
    </row>
    <row r="432" spans="1:10">
      <c r="A432" s="212"/>
      <c r="B432" s="23" t="s">
        <v>258</v>
      </c>
      <c r="C432" s="41"/>
      <c r="D432" s="54"/>
      <c r="E432" s="550">
        <v>0</v>
      </c>
      <c r="F432" s="550">
        <v>0</v>
      </c>
      <c r="G432" s="18"/>
      <c r="H432" s="200"/>
      <c r="J432" s="163"/>
    </row>
    <row r="433" spans="1:10" ht="18" customHeight="1">
      <c r="A433" s="212"/>
      <c r="B433" s="23" t="s">
        <v>259</v>
      </c>
      <c r="C433" s="41"/>
      <c r="D433" s="54"/>
      <c r="E433" s="550">
        <v>0</v>
      </c>
      <c r="F433" s="550">
        <v>0</v>
      </c>
      <c r="G433" s="18"/>
      <c r="H433" s="200"/>
      <c r="J433" s="163"/>
    </row>
    <row r="434" spans="1:10">
      <c r="A434" s="212"/>
      <c r="B434" s="23"/>
      <c r="C434" s="41"/>
      <c r="D434" s="54"/>
      <c r="E434" s="550">
        <v>0</v>
      </c>
      <c r="F434" s="556">
        <v>0</v>
      </c>
      <c r="G434" s="18"/>
      <c r="H434" s="200"/>
      <c r="J434" s="163"/>
    </row>
    <row r="435" spans="1:10" ht="29">
      <c r="A435" s="229">
        <f>A410+0.1</f>
        <v>7.1</v>
      </c>
      <c r="B435" s="38" t="s">
        <v>544</v>
      </c>
      <c r="C435" s="57" t="s">
        <v>58</v>
      </c>
      <c r="D435" s="17">
        <v>18</v>
      </c>
      <c r="E435" s="550">
        <v>2926</v>
      </c>
      <c r="F435" s="550">
        <v>488</v>
      </c>
      <c r="G435" s="122">
        <f t="shared" ref="G435" si="70">E435*D435</f>
        <v>52668</v>
      </c>
      <c r="H435" s="204">
        <f t="shared" ref="H435" si="71">F435*D435</f>
        <v>8784</v>
      </c>
      <c r="J435" s="163"/>
    </row>
    <row r="436" spans="1:10">
      <c r="A436" s="217"/>
      <c r="B436" s="56"/>
      <c r="C436" s="57"/>
      <c r="D436" s="17"/>
      <c r="E436" s="550">
        <v>0</v>
      </c>
      <c r="F436" s="550">
        <v>0</v>
      </c>
      <c r="G436" s="18"/>
      <c r="H436" s="200"/>
      <c r="J436" s="163"/>
    </row>
    <row r="437" spans="1:10" ht="29">
      <c r="A437" s="229">
        <f t="shared" ref="A437:A451" si="72">A435+0.1</f>
        <v>7.1999999999999993</v>
      </c>
      <c r="B437" s="56" t="s">
        <v>545</v>
      </c>
      <c r="C437" s="57" t="s">
        <v>58</v>
      </c>
      <c r="D437" s="17" t="s">
        <v>228</v>
      </c>
      <c r="E437" s="550">
        <v>0</v>
      </c>
      <c r="F437" s="550">
        <v>0</v>
      </c>
      <c r="G437" s="122"/>
      <c r="H437" s="204"/>
      <c r="J437" s="163"/>
    </row>
    <row r="438" spans="1:10">
      <c r="A438" s="229"/>
      <c r="B438" s="56"/>
      <c r="C438" s="57"/>
      <c r="D438" s="17"/>
      <c r="E438" s="550">
        <v>0</v>
      </c>
      <c r="F438" s="550">
        <v>0</v>
      </c>
      <c r="G438" s="18"/>
      <c r="H438" s="200"/>
      <c r="J438" s="163"/>
    </row>
    <row r="439" spans="1:10" ht="29">
      <c r="A439" s="229">
        <f t="shared" si="72"/>
        <v>7.2999999999999989</v>
      </c>
      <c r="B439" s="56" t="s">
        <v>489</v>
      </c>
      <c r="C439" s="57" t="s">
        <v>299</v>
      </c>
      <c r="D439" s="17">
        <v>2</v>
      </c>
      <c r="E439" s="550">
        <v>2682</v>
      </c>
      <c r="F439" s="550">
        <v>488</v>
      </c>
      <c r="G439" s="122">
        <f t="shared" ref="G439" si="73">E439*D439</f>
        <v>5364</v>
      </c>
      <c r="H439" s="204">
        <f t="shared" ref="H439" si="74">F439*D439</f>
        <v>976</v>
      </c>
      <c r="J439" s="163"/>
    </row>
    <row r="440" spans="1:10">
      <c r="A440" s="229"/>
      <c r="B440" s="56"/>
      <c r="C440" s="57"/>
      <c r="D440" s="17"/>
      <c r="E440" s="550">
        <v>0</v>
      </c>
      <c r="F440" s="550">
        <v>0</v>
      </c>
      <c r="G440" s="18"/>
      <c r="H440" s="200"/>
      <c r="J440" s="163"/>
    </row>
    <row r="441" spans="1:10" ht="29">
      <c r="A441" s="229">
        <f t="shared" si="72"/>
        <v>7.3999999999999986</v>
      </c>
      <c r="B441" s="56" t="s">
        <v>490</v>
      </c>
      <c r="C441" s="57" t="s">
        <v>299</v>
      </c>
      <c r="D441" s="17">
        <v>105</v>
      </c>
      <c r="E441" s="550">
        <v>390</v>
      </c>
      <c r="F441" s="550">
        <v>98</v>
      </c>
      <c r="G441" s="122">
        <f t="shared" ref="G441" si="75">E441*D441</f>
        <v>40950</v>
      </c>
      <c r="H441" s="204">
        <f t="shared" ref="H441" si="76">F441*D441</f>
        <v>10290</v>
      </c>
      <c r="J441" s="163"/>
    </row>
    <row r="442" spans="1:10">
      <c r="A442" s="229"/>
      <c r="B442" s="56"/>
      <c r="C442" s="57"/>
      <c r="D442" s="17"/>
      <c r="E442" s="550">
        <v>0</v>
      </c>
      <c r="F442" s="550">
        <v>0</v>
      </c>
      <c r="G442" s="18"/>
      <c r="H442" s="200"/>
      <c r="J442" s="163"/>
    </row>
    <row r="443" spans="1:10" ht="29">
      <c r="A443" s="229">
        <f t="shared" si="72"/>
        <v>7.4999999999999982</v>
      </c>
      <c r="B443" s="56" t="s">
        <v>491</v>
      </c>
      <c r="C443" s="57" t="s">
        <v>299</v>
      </c>
      <c r="D443" s="17" t="s">
        <v>228</v>
      </c>
      <c r="E443" s="550">
        <v>0</v>
      </c>
      <c r="F443" s="550">
        <v>0</v>
      </c>
      <c r="G443" s="122"/>
      <c r="H443" s="204"/>
    </row>
    <row r="444" spans="1:10">
      <c r="A444" s="229"/>
      <c r="B444" s="56"/>
      <c r="C444" s="57"/>
      <c r="D444" s="17"/>
      <c r="E444" s="550">
        <v>0</v>
      </c>
      <c r="F444" s="550">
        <v>0</v>
      </c>
      <c r="G444" s="18"/>
      <c r="H444" s="200"/>
    </row>
    <row r="445" spans="1:10" ht="29">
      <c r="A445" s="229">
        <f t="shared" si="72"/>
        <v>7.5999999999999979</v>
      </c>
      <c r="B445" s="56" t="s">
        <v>492</v>
      </c>
      <c r="C445" s="57" t="s">
        <v>299</v>
      </c>
      <c r="D445" s="17">
        <v>95</v>
      </c>
      <c r="E445" s="550">
        <v>1463</v>
      </c>
      <c r="F445" s="550">
        <v>488</v>
      </c>
      <c r="G445" s="122">
        <f t="shared" ref="G445" si="77">E445*D445</f>
        <v>138985</v>
      </c>
      <c r="H445" s="204">
        <f t="shared" ref="H445" si="78">F445*D445</f>
        <v>46360</v>
      </c>
    </row>
    <row r="446" spans="1:10">
      <c r="A446" s="229"/>
      <c r="B446" s="56"/>
      <c r="C446" s="57"/>
      <c r="D446" s="17"/>
      <c r="E446" s="550">
        <v>0</v>
      </c>
      <c r="F446" s="550">
        <v>0</v>
      </c>
      <c r="G446" s="18"/>
      <c r="H446" s="200"/>
    </row>
    <row r="447" spans="1:10" ht="29">
      <c r="A447" s="229">
        <f t="shared" si="72"/>
        <v>7.6999999999999975</v>
      </c>
      <c r="B447" s="56" t="s">
        <v>493</v>
      </c>
      <c r="C447" s="57" t="s">
        <v>299</v>
      </c>
      <c r="D447" s="17">
        <v>70</v>
      </c>
      <c r="E447" s="550">
        <v>5364</v>
      </c>
      <c r="F447" s="550">
        <v>488</v>
      </c>
      <c r="G447" s="122">
        <f t="shared" ref="G447" si="79">E447*D447</f>
        <v>375480</v>
      </c>
      <c r="H447" s="204">
        <f t="shared" ref="H447" si="80">F447*D447</f>
        <v>34160</v>
      </c>
    </row>
    <row r="448" spans="1:10">
      <c r="A448" s="229"/>
      <c r="B448" s="56"/>
      <c r="C448" s="57"/>
      <c r="D448" s="17"/>
      <c r="E448" s="550">
        <v>0</v>
      </c>
      <c r="F448" s="550">
        <v>0</v>
      </c>
      <c r="G448" s="18"/>
      <c r="H448" s="200"/>
    </row>
    <row r="449" spans="1:240" ht="29">
      <c r="A449" s="229">
        <f t="shared" si="72"/>
        <v>7.7999999999999972</v>
      </c>
      <c r="B449" s="56" t="s">
        <v>494</v>
      </c>
      <c r="C449" s="57" t="s">
        <v>299</v>
      </c>
      <c r="D449" s="17" t="s">
        <v>228</v>
      </c>
      <c r="E449" s="550">
        <v>0</v>
      </c>
      <c r="F449" s="550">
        <v>0</v>
      </c>
      <c r="G449" s="122"/>
      <c r="H449" s="204"/>
    </row>
    <row r="450" spans="1:240">
      <c r="A450" s="229"/>
      <c r="B450" s="56"/>
      <c r="C450" s="57"/>
      <c r="D450" s="17"/>
      <c r="E450" s="550">
        <v>0</v>
      </c>
      <c r="F450" s="550">
        <v>0</v>
      </c>
      <c r="G450" s="18"/>
      <c r="H450" s="200"/>
    </row>
    <row r="451" spans="1:240" ht="29">
      <c r="A451" s="229">
        <f t="shared" si="72"/>
        <v>7.8999999999999968</v>
      </c>
      <c r="B451" s="23" t="s">
        <v>498</v>
      </c>
      <c r="C451" s="57" t="s">
        <v>58</v>
      </c>
      <c r="D451" s="17">
        <v>8</v>
      </c>
      <c r="E451" s="550">
        <v>1463</v>
      </c>
      <c r="F451" s="550">
        <v>488</v>
      </c>
      <c r="G451" s="122">
        <f t="shared" ref="G451" si="81">E451*D451</f>
        <v>11704</v>
      </c>
      <c r="H451" s="204">
        <f t="shared" ref="H451" si="82">F451*D451</f>
        <v>3904</v>
      </c>
    </row>
    <row r="452" spans="1:240">
      <c r="A452" s="229"/>
      <c r="B452" s="23"/>
      <c r="C452" s="57"/>
      <c r="D452" s="17"/>
      <c r="E452" s="550">
        <v>0</v>
      </c>
      <c r="F452" s="550">
        <v>0</v>
      </c>
      <c r="G452" s="18"/>
      <c r="H452" s="200"/>
      <c r="I452" s="163"/>
    </row>
    <row r="453" spans="1:240" ht="29">
      <c r="A453" s="218">
        <v>7.1</v>
      </c>
      <c r="B453" s="23" t="s">
        <v>495</v>
      </c>
      <c r="C453" s="57" t="s">
        <v>58</v>
      </c>
      <c r="D453" s="17">
        <v>70</v>
      </c>
      <c r="E453" s="550">
        <v>731</v>
      </c>
      <c r="F453" s="550">
        <v>195</v>
      </c>
      <c r="G453" s="122">
        <f t="shared" ref="G453" si="83">E453*D453</f>
        <v>51170</v>
      </c>
      <c r="H453" s="204">
        <f t="shared" ref="H453" si="84">F453*D453</f>
        <v>13650</v>
      </c>
      <c r="I453" s="163"/>
    </row>
    <row r="454" spans="1:240">
      <c r="A454" s="229"/>
      <c r="B454" s="23"/>
      <c r="C454" s="127"/>
      <c r="D454" s="34"/>
      <c r="E454" s="550">
        <v>0</v>
      </c>
      <c r="F454" s="550">
        <v>0</v>
      </c>
      <c r="G454" s="18"/>
      <c r="H454" s="200"/>
      <c r="I454" s="163"/>
    </row>
    <row r="455" spans="1:240" ht="29">
      <c r="A455" s="218">
        <f>A453+0.01</f>
        <v>7.1099999999999994</v>
      </c>
      <c r="B455" s="23" t="s">
        <v>496</v>
      </c>
      <c r="C455" s="57" t="s">
        <v>58</v>
      </c>
      <c r="D455" s="17">
        <v>25</v>
      </c>
      <c r="E455" s="550">
        <v>731</v>
      </c>
      <c r="F455" s="550">
        <v>195</v>
      </c>
      <c r="G455" s="122">
        <f t="shared" ref="G455" si="85">E455*D455</f>
        <v>18275</v>
      </c>
      <c r="H455" s="204">
        <f t="shared" ref="H455" si="86">F455*D455</f>
        <v>4875</v>
      </c>
      <c r="I455" s="163"/>
    </row>
    <row r="456" spans="1:240">
      <c r="A456" s="229"/>
      <c r="B456" s="23"/>
      <c r="C456" s="127"/>
      <c r="D456" s="34"/>
      <c r="E456" s="550">
        <v>0</v>
      </c>
      <c r="F456" s="550">
        <v>0</v>
      </c>
      <c r="G456" s="122"/>
      <c r="H456" s="204"/>
      <c r="I456" s="163"/>
    </row>
    <row r="457" spans="1:240" s="126" customFormat="1" ht="29">
      <c r="A457" s="218">
        <f t="shared" ref="A457" si="87">A455+0.01</f>
        <v>7.1199999999999992</v>
      </c>
      <c r="B457" s="38" t="s">
        <v>487</v>
      </c>
      <c r="C457" s="123" t="s">
        <v>387</v>
      </c>
      <c r="D457" s="164">
        <v>5</v>
      </c>
      <c r="E457" s="550">
        <v>2438</v>
      </c>
      <c r="F457" s="550">
        <v>488</v>
      </c>
      <c r="G457" s="122">
        <f t="shared" ref="G457" si="88">E457*D457</f>
        <v>12190</v>
      </c>
      <c r="H457" s="204">
        <f t="shared" ref="H457" si="89">F457*D457</f>
        <v>2440</v>
      </c>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c r="AE457" s="125"/>
      <c r="AF457" s="125"/>
      <c r="AG457" s="125"/>
      <c r="AH457" s="125"/>
      <c r="AI457" s="125"/>
      <c r="AJ457" s="125"/>
      <c r="AK457" s="125"/>
      <c r="AL457" s="125"/>
      <c r="AM457" s="125"/>
      <c r="AN457" s="125"/>
      <c r="AO457" s="125"/>
      <c r="AP457" s="125"/>
      <c r="AQ457" s="125"/>
      <c r="AR457" s="125"/>
      <c r="AS457" s="125"/>
      <c r="AT457" s="125"/>
      <c r="AU457" s="125"/>
      <c r="AV457" s="125"/>
      <c r="AW457" s="125"/>
      <c r="AX457" s="125"/>
      <c r="AY457" s="125"/>
      <c r="AZ457" s="125"/>
      <c r="BA457" s="125"/>
      <c r="BB457" s="125"/>
      <c r="BC457" s="125"/>
      <c r="BD457" s="125"/>
      <c r="BE457" s="125"/>
      <c r="BF457" s="125"/>
      <c r="BG457" s="125"/>
      <c r="BH457" s="125"/>
      <c r="BI457" s="125"/>
      <c r="BJ457" s="125"/>
      <c r="BK457" s="125"/>
      <c r="BL457" s="125"/>
      <c r="BM457" s="125"/>
      <c r="BN457" s="125"/>
      <c r="BO457" s="125"/>
      <c r="BP457" s="125"/>
      <c r="BQ457" s="125"/>
      <c r="BR457" s="125"/>
      <c r="BS457" s="125"/>
      <c r="BT457" s="125"/>
      <c r="BU457" s="125"/>
      <c r="BV457" s="125"/>
      <c r="BW457" s="125"/>
      <c r="BX457" s="125"/>
      <c r="BY457" s="125"/>
      <c r="BZ457" s="125"/>
      <c r="CA457" s="125"/>
      <c r="CB457" s="125"/>
      <c r="CC457" s="125"/>
      <c r="CD457" s="125"/>
      <c r="CE457" s="125"/>
      <c r="CF457" s="125"/>
      <c r="CG457" s="125"/>
      <c r="CH457" s="125"/>
      <c r="CI457" s="125"/>
      <c r="CJ457" s="125"/>
      <c r="CK457" s="125"/>
      <c r="CL457" s="125"/>
      <c r="CM457" s="125"/>
      <c r="CN457" s="125"/>
      <c r="CO457" s="125"/>
      <c r="CP457" s="125"/>
      <c r="CQ457" s="125"/>
      <c r="CR457" s="125"/>
      <c r="CS457" s="125"/>
      <c r="CT457" s="125"/>
      <c r="CU457" s="125"/>
      <c r="CV457" s="125"/>
      <c r="CW457" s="125"/>
      <c r="CX457" s="125"/>
      <c r="CY457" s="125"/>
      <c r="CZ457" s="125"/>
      <c r="DA457" s="125"/>
      <c r="DB457" s="125"/>
      <c r="DC457" s="125"/>
      <c r="DD457" s="125"/>
      <c r="DE457" s="125"/>
      <c r="DF457" s="125"/>
      <c r="DG457" s="125"/>
      <c r="DH457" s="125"/>
      <c r="DI457" s="125"/>
      <c r="DJ457" s="125"/>
      <c r="DK457" s="125"/>
      <c r="DL457" s="125"/>
      <c r="DM457" s="125"/>
      <c r="DN457" s="125"/>
      <c r="DO457" s="125"/>
      <c r="DP457" s="125"/>
      <c r="DQ457" s="125"/>
      <c r="DR457" s="125"/>
      <c r="DS457" s="125"/>
      <c r="DT457" s="125"/>
      <c r="DU457" s="125"/>
      <c r="DV457" s="125"/>
      <c r="DW457" s="125"/>
      <c r="DX457" s="125"/>
      <c r="DY457" s="125"/>
      <c r="DZ457" s="125"/>
      <c r="EA457" s="125"/>
      <c r="EB457" s="125"/>
      <c r="EC457" s="125"/>
      <c r="ED457" s="125"/>
      <c r="EE457" s="125"/>
      <c r="EF457" s="125"/>
      <c r="EG457" s="125"/>
      <c r="EH457" s="125"/>
      <c r="EI457" s="125"/>
      <c r="EJ457" s="125"/>
      <c r="EK457" s="125"/>
      <c r="EL457" s="125"/>
      <c r="EM457" s="125"/>
      <c r="EN457" s="125"/>
      <c r="EO457" s="125"/>
      <c r="EP457" s="125"/>
      <c r="EQ457" s="125"/>
      <c r="ER457" s="125"/>
      <c r="ES457" s="125"/>
      <c r="ET457" s="125"/>
      <c r="EU457" s="125"/>
      <c r="EV457" s="125"/>
      <c r="EW457" s="125"/>
      <c r="EX457" s="125"/>
      <c r="EY457" s="125"/>
      <c r="EZ457" s="125"/>
      <c r="FA457" s="125"/>
      <c r="FB457" s="125"/>
      <c r="FC457" s="125"/>
      <c r="FD457" s="125"/>
      <c r="FE457" s="125"/>
      <c r="FF457" s="125"/>
      <c r="FG457" s="125"/>
      <c r="FH457" s="125"/>
      <c r="FI457" s="125"/>
      <c r="FJ457" s="125"/>
      <c r="FK457" s="125"/>
      <c r="FL457" s="125"/>
      <c r="FM457" s="125"/>
      <c r="FN457" s="125"/>
      <c r="FO457" s="125"/>
      <c r="FP457" s="125"/>
      <c r="FQ457" s="125"/>
      <c r="FR457" s="125"/>
      <c r="FS457" s="125"/>
      <c r="FT457" s="125"/>
      <c r="FU457" s="125"/>
      <c r="FV457" s="125"/>
      <c r="FW457" s="125"/>
      <c r="FX457" s="125"/>
      <c r="FY457" s="125"/>
      <c r="FZ457" s="125"/>
      <c r="GA457" s="125"/>
      <c r="GB457" s="125"/>
      <c r="GC457" s="125"/>
      <c r="GD457" s="125"/>
      <c r="GE457" s="125"/>
      <c r="GF457" s="125"/>
      <c r="GG457" s="125"/>
      <c r="GH457" s="125"/>
      <c r="GI457" s="125"/>
      <c r="GJ457" s="125"/>
      <c r="GK457" s="125"/>
      <c r="GL457" s="125"/>
      <c r="GM457" s="125"/>
      <c r="GN457" s="125"/>
      <c r="GO457" s="125"/>
      <c r="GP457" s="125"/>
      <c r="GQ457" s="125"/>
      <c r="GR457" s="125"/>
      <c r="GS457" s="125"/>
      <c r="GT457" s="125"/>
      <c r="GU457" s="125"/>
      <c r="GV457" s="125"/>
      <c r="GW457" s="125"/>
      <c r="GX457" s="125"/>
      <c r="GY457" s="125"/>
      <c r="GZ457" s="125"/>
      <c r="HA457" s="125"/>
      <c r="HB457" s="125"/>
      <c r="HC457" s="125"/>
      <c r="HD457" s="125"/>
      <c r="HE457" s="125"/>
      <c r="HF457" s="125"/>
      <c r="HG457" s="125"/>
      <c r="HH457" s="125"/>
      <c r="HI457" s="125"/>
      <c r="HJ457" s="125"/>
      <c r="HK457" s="125"/>
      <c r="HL457" s="125"/>
      <c r="HM457" s="125"/>
      <c r="HN457" s="125"/>
      <c r="HO457" s="125"/>
      <c r="HP457" s="125"/>
      <c r="HQ457" s="125"/>
      <c r="HR457" s="125"/>
      <c r="HS457" s="125"/>
      <c r="HT457" s="125"/>
      <c r="HU457" s="125"/>
      <c r="HV457" s="125"/>
      <c r="HW457" s="125"/>
      <c r="HX457" s="125"/>
      <c r="HY457" s="125"/>
      <c r="HZ457" s="125"/>
      <c r="IA457" s="125"/>
      <c r="IB457" s="125"/>
      <c r="IC457" s="125"/>
      <c r="ID457" s="125"/>
      <c r="IE457" s="125"/>
      <c r="IF457" s="125"/>
    </row>
    <row r="458" spans="1:240" s="126" customFormat="1">
      <c r="A458" s="229"/>
      <c r="B458" s="38"/>
      <c r="C458" s="123"/>
      <c r="D458" s="164"/>
      <c r="E458" s="550">
        <v>0</v>
      </c>
      <c r="F458" s="550">
        <v>0</v>
      </c>
      <c r="G458" s="122"/>
      <c r="H458" s="204"/>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c r="AE458" s="125"/>
      <c r="AF458" s="125"/>
      <c r="AG458" s="125"/>
      <c r="AH458" s="125"/>
      <c r="AI458" s="125"/>
      <c r="AJ458" s="125"/>
      <c r="AK458" s="125"/>
      <c r="AL458" s="125"/>
      <c r="AM458" s="125"/>
      <c r="AN458" s="125"/>
      <c r="AO458" s="125"/>
      <c r="AP458" s="125"/>
      <c r="AQ458" s="125"/>
      <c r="AR458" s="125"/>
      <c r="AS458" s="125"/>
      <c r="AT458" s="125"/>
      <c r="AU458" s="125"/>
      <c r="AV458" s="125"/>
      <c r="AW458" s="125"/>
      <c r="AX458" s="125"/>
      <c r="AY458" s="125"/>
      <c r="AZ458" s="125"/>
      <c r="BA458" s="125"/>
      <c r="BB458" s="125"/>
      <c r="BC458" s="125"/>
      <c r="BD458" s="125"/>
      <c r="BE458" s="125"/>
      <c r="BF458" s="125"/>
      <c r="BG458" s="125"/>
      <c r="BH458" s="125"/>
      <c r="BI458" s="125"/>
      <c r="BJ458" s="125"/>
      <c r="BK458" s="125"/>
      <c r="BL458" s="125"/>
      <c r="BM458" s="125"/>
      <c r="BN458" s="125"/>
      <c r="BO458" s="125"/>
      <c r="BP458" s="125"/>
      <c r="BQ458" s="125"/>
      <c r="BR458" s="125"/>
      <c r="BS458" s="125"/>
      <c r="BT458" s="125"/>
      <c r="BU458" s="125"/>
      <c r="BV458" s="125"/>
      <c r="BW458" s="125"/>
      <c r="BX458" s="125"/>
      <c r="BY458" s="125"/>
      <c r="BZ458" s="125"/>
      <c r="CA458" s="125"/>
      <c r="CB458" s="125"/>
      <c r="CC458" s="125"/>
      <c r="CD458" s="125"/>
      <c r="CE458" s="125"/>
      <c r="CF458" s="125"/>
      <c r="CG458" s="125"/>
      <c r="CH458" s="125"/>
      <c r="CI458" s="125"/>
      <c r="CJ458" s="125"/>
      <c r="CK458" s="125"/>
      <c r="CL458" s="125"/>
      <c r="CM458" s="125"/>
      <c r="CN458" s="125"/>
      <c r="CO458" s="125"/>
      <c r="CP458" s="125"/>
      <c r="CQ458" s="125"/>
      <c r="CR458" s="125"/>
      <c r="CS458" s="125"/>
      <c r="CT458" s="125"/>
      <c r="CU458" s="125"/>
      <c r="CV458" s="125"/>
      <c r="CW458" s="125"/>
      <c r="CX458" s="125"/>
      <c r="CY458" s="125"/>
      <c r="CZ458" s="125"/>
      <c r="DA458" s="125"/>
      <c r="DB458" s="125"/>
      <c r="DC458" s="125"/>
      <c r="DD458" s="125"/>
      <c r="DE458" s="125"/>
      <c r="DF458" s="125"/>
      <c r="DG458" s="125"/>
      <c r="DH458" s="125"/>
      <c r="DI458" s="125"/>
      <c r="DJ458" s="125"/>
      <c r="DK458" s="125"/>
      <c r="DL458" s="125"/>
      <c r="DM458" s="125"/>
      <c r="DN458" s="125"/>
      <c r="DO458" s="125"/>
      <c r="DP458" s="125"/>
      <c r="DQ458" s="125"/>
      <c r="DR458" s="125"/>
      <c r="DS458" s="125"/>
      <c r="DT458" s="125"/>
      <c r="DU458" s="125"/>
      <c r="DV458" s="125"/>
      <c r="DW458" s="125"/>
      <c r="DX458" s="125"/>
      <c r="DY458" s="125"/>
      <c r="DZ458" s="125"/>
      <c r="EA458" s="125"/>
      <c r="EB458" s="125"/>
      <c r="EC458" s="125"/>
      <c r="ED458" s="125"/>
      <c r="EE458" s="125"/>
      <c r="EF458" s="125"/>
      <c r="EG458" s="125"/>
      <c r="EH458" s="125"/>
      <c r="EI458" s="125"/>
      <c r="EJ458" s="125"/>
      <c r="EK458" s="125"/>
      <c r="EL458" s="125"/>
      <c r="EM458" s="125"/>
      <c r="EN458" s="125"/>
      <c r="EO458" s="125"/>
      <c r="EP458" s="125"/>
      <c r="EQ458" s="125"/>
      <c r="ER458" s="125"/>
      <c r="ES458" s="125"/>
      <c r="ET458" s="125"/>
      <c r="EU458" s="125"/>
      <c r="EV458" s="125"/>
      <c r="EW458" s="125"/>
      <c r="EX458" s="125"/>
      <c r="EY458" s="125"/>
      <c r="EZ458" s="125"/>
      <c r="FA458" s="125"/>
      <c r="FB458" s="125"/>
      <c r="FC458" s="125"/>
      <c r="FD458" s="125"/>
      <c r="FE458" s="125"/>
      <c r="FF458" s="125"/>
      <c r="FG458" s="125"/>
      <c r="FH458" s="125"/>
      <c r="FI458" s="125"/>
      <c r="FJ458" s="125"/>
      <c r="FK458" s="125"/>
      <c r="FL458" s="125"/>
      <c r="FM458" s="125"/>
      <c r="FN458" s="125"/>
      <c r="FO458" s="125"/>
      <c r="FP458" s="125"/>
      <c r="FQ458" s="125"/>
      <c r="FR458" s="125"/>
      <c r="FS458" s="125"/>
      <c r="FT458" s="125"/>
      <c r="FU458" s="125"/>
      <c r="FV458" s="125"/>
      <c r="FW458" s="125"/>
      <c r="FX458" s="125"/>
      <c r="FY458" s="125"/>
      <c r="FZ458" s="125"/>
      <c r="GA458" s="125"/>
      <c r="GB458" s="125"/>
      <c r="GC458" s="125"/>
      <c r="GD458" s="125"/>
      <c r="GE458" s="125"/>
      <c r="GF458" s="125"/>
      <c r="GG458" s="125"/>
      <c r="GH458" s="125"/>
      <c r="GI458" s="125"/>
      <c r="GJ458" s="125"/>
      <c r="GK458" s="125"/>
      <c r="GL458" s="125"/>
      <c r="GM458" s="125"/>
      <c r="GN458" s="125"/>
      <c r="GO458" s="125"/>
      <c r="GP458" s="125"/>
      <c r="GQ458" s="125"/>
      <c r="GR458" s="125"/>
      <c r="GS458" s="125"/>
      <c r="GT458" s="125"/>
      <c r="GU458" s="125"/>
      <c r="GV458" s="125"/>
      <c r="GW458" s="125"/>
      <c r="GX458" s="125"/>
      <c r="GY458" s="125"/>
      <c r="GZ458" s="125"/>
      <c r="HA458" s="125"/>
      <c r="HB458" s="125"/>
      <c r="HC458" s="125"/>
      <c r="HD458" s="125"/>
      <c r="HE458" s="125"/>
      <c r="HF458" s="125"/>
      <c r="HG458" s="125"/>
      <c r="HH458" s="125"/>
      <c r="HI458" s="125"/>
      <c r="HJ458" s="125"/>
      <c r="HK458" s="125"/>
      <c r="HL458" s="125"/>
      <c r="HM458" s="125"/>
      <c r="HN458" s="125"/>
      <c r="HO458" s="125"/>
      <c r="HP458" s="125"/>
      <c r="HQ458" s="125"/>
      <c r="HR458" s="125"/>
      <c r="HS458" s="125"/>
      <c r="HT458" s="125"/>
      <c r="HU458" s="125"/>
      <c r="HV458" s="125"/>
      <c r="HW458" s="125"/>
      <c r="HX458" s="125"/>
      <c r="HY458" s="125"/>
      <c r="HZ458" s="125"/>
      <c r="IA458" s="125"/>
      <c r="IB458" s="125"/>
      <c r="IC458" s="125"/>
      <c r="ID458" s="125"/>
      <c r="IE458" s="125"/>
      <c r="IF458" s="125"/>
    </row>
    <row r="459" spans="1:240" s="126" customFormat="1" ht="29">
      <c r="A459" s="218">
        <f t="shared" ref="A459" si="90">A457+0.01</f>
        <v>7.129999999999999</v>
      </c>
      <c r="B459" s="38" t="s">
        <v>488</v>
      </c>
      <c r="C459" s="123" t="s">
        <v>387</v>
      </c>
      <c r="D459" s="17">
        <v>2</v>
      </c>
      <c r="E459" s="550">
        <v>2438</v>
      </c>
      <c r="F459" s="550">
        <v>488</v>
      </c>
      <c r="G459" s="122">
        <f t="shared" ref="G459" si="91">E459*D459</f>
        <v>4876</v>
      </c>
      <c r="H459" s="204">
        <f t="shared" ref="H459" si="92">F459*D459</f>
        <v>976</v>
      </c>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c r="CR459" s="125"/>
      <c r="CS459" s="125"/>
      <c r="CT459" s="125"/>
      <c r="CU459" s="125"/>
      <c r="CV459" s="125"/>
      <c r="CW459" s="125"/>
      <c r="CX459" s="125"/>
      <c r="CY459" s="125"/>
      <c r="CZ459" s="125"/>
      <c r="DA459" s="125"/>
      <c r="DB459" s="125"/>
      <c r="DC459" s="125"/>
      <c r="DD459" s="125"/>
      <c r="DE459" s="125"/>
      <c r="DF459" s="125"/>
      <c r="DG459" s="125"/>
      <c r="DH459" s="125"/>
      <c r="DI459" s="125"/>
      <c r="DJ459" s="125"/>
      <c r="DK459" s="125"/>
      <c r="DL459" s="125"/>
      <c r="DM459" s="125"/>
      <c r="DN459" s="125"/>
      <c r="DO459" s="125"/>
      <c r="DP459" s="125"/>
      <c r="DQ459" s="125"/>
      <c r="DR459" s="125"/>
      <c r="DS459" s="125"/>
      <c r="DT459" s="125"/>
      <c r="DU459" s="125"/>
      <c r="DV459" s="125"/>
      <c r="DW459" s="125"/>
      <c r="DX459" s="125"/>
      <c r="DY459" s="125"/>
      <c r="DZ459" s="125"/>
      <c r="EA459" s="125"/>
      <c r="EB459" s="125"/>
      <c r="EC459" s="125"/>
      <c r="ED459" s="125"/>
      <c r="EE459" s="125"/>
      <c r="EF459" s="125"/>
      <c r="EG459" s="125"/>
      <c r="EH459" s="125"/>
      <c r="EI459" s="125"/>
      <c r="EJ459" s="125"/>
      <c r="EK459" s="125"/>
      <c r="EL459" s="125"/>
      <c r="EM459" s="125"/>
      <c r="EN459" s="125"/>
      <c r="EO459" s="125"/>
      <c r="EP459" s="125"/>
      <c r="EQ459" s="125"/>
      <c r="ER459" s="125"/>
      <c r="ES459" s="125"/>
      <c r="ET459" s="125"/>
      <c r="EU459" s="125"/>
      <c r="EV459" s="125"/>
      <c r="EW459" s="125"/>
      <c r="EX459" s="125"/>
      <c r="EY459" s="125"/>
      <c r="EZ459" s="125"/>
      <c r="FA459" s="125"/>
      <c r="FB459" s="125"/>
      <c r="FC459" s="125"/>
      <c r="FD459" s="125"/>
      <c r="FE459" s="125"/>
      <c r="FF459" s="125"/>
      <c r="FG459" s="125"/>
      <c r="FH459" s="125"/>
      <c r="FI459" s="125"/>
      <c r="FJ459" s="125"/>
      <c r="FK459" s="125"/>
      <c r="FL459" s="125"/>
      <c r="FM459" s="125"/>
      <c r="FN459" s="125"/>
      <c r="FO459" s="125"/>
      <c r="FP459" s="125"/>
      <c r="FQ459" s="125"/>
      <c r="FR459" s="125"/>
      <c r="FS459" s="125"/>
      <c r="FT459" s="125"/>
      <c r="FU459" s="125"/>
      <c r="FV459" s="125"/>
      <c r="FW459" s="125"/>
      <c r="FX459" s="125"/>
      <c r="FY459" s="125"/>
      <c r="FZ459" s="125"/>
      <c r="GA459" s="125"/>
      <c r="GB459" s="125"/>
      <c r="GC459" s="125"/>
      <c r="GD459" s="125"/>
      <c r="GE459" s="125"/>
      <c r="GF459" s="125"/>
      <c r="GG459" s="125"/>
      <c r="GH459" s="125"/>
      <c r="GI459" s="125"/>
      <c r="GJ459" s="125"/>
      <c r="GK459" s="125"/>
      <c r="GL459" s="125"/>
      <c r="GM459" s="125"/>
      <c r="GN459" s="125"/>
      <c r="GO459" s="125"/>
      <c r="GP459" s="125"/>
      <c r="GQ459" s="125"/>
      <c r="GR459" s="125"/>
      <c r="GS459" s="125"/>
      <c r="GT459" s="125"/>
      <c r="GU459" s="125"/>
      <c r="GV459" s="125"/>
      <c r="GW459" s="125"/>
      <c r="GX459" s="125"/>
      <c r="GY459" s="125"/>
      <c r="GZ459" s="125"/>
      <c r="HA459" s="125"/>
      <c r="HB459" s="125"/>
      <c r="HC459" s="125"/>
      <c r="HD459" s="125"/>
      <c r="HE459" s="125"/>
      <c r="HF459" s="125"/>
      <c r="HG459" s="125"/>
      <c r="HH459" s="125"/>
      <c r="HI459" s="125"/>
      <c r="HJ459" s="125"/>
      <c r="HK459" s="125"/>
      <c r="HL459" s="125"/>
      <c r="HM459" s="125"/>
      <c r="HN459" s="125"/>
      <c r="HO459" s="125"/>
      <c r="HP459" s="125"/>
      <c r="HQ459" s="125"/>
      <c r="HR459" s="125"/>
      <c r="HS459" s="125"/>
      <c r="HT459" s="125"/>
      <c r="HU459" s="125"/>
      <c r="HV459" s="125"/>
      <c r="HW459" s="125"/>
      <c r="HX459" s="125"/>
      <c r="HY459" s="125"/>
      <c r="HZ459" s="125"/>
      <c r="IA459" s="125"/>
      <c r="IB459" s="125"/>
      <c r="IC459" s="125"/>
      <c r="ID459" s="125"/>
      <c r="IE459" s="125"/>
      <c r="IF459" s="125"/>
    </row>
    <row r="460" spans="1:240" s="126" customFormat="1">
      <c r="A460" s="229"/>
      <c r="B460" s="38"/>
      <c r="C460" s="128"/>
      <c r="D460" s="165"/>
      <c r="E460" s="550">
        <v>0</v>
      </c>
      <c r="F460" s="550">
        <v>0</v>
      </c>
      <c r="G460" s="122"/>
      <c r="H460" s="204"/>
      <c r="I460" s="125"/>
      <c r="J460" s="125"/>
      <c r="K460" s="125"/>
      <c r="L460" s="125"/>
      <c r="M460" s="125"/>
      <c r="N460" s="125"/>
      <c r="O460" s="125"/>
      <c r="P460" s="125"/>
      <c r="Q460" s="125"/>
      <c r="R460" s="125"/>
      <c r="S460" s="125"/>
      <c r="T460" s="125"/>
      <c r="U460" s="125"/>
      <c r="V460" s="125"/>
      <c r="W460" s="125"/>
      <c r="X460" s="125"/>
      <c r="Y460" s="125"/>
      <c r="Z460" s="125"/>
      <c r="AA460" s="125"/>
      <c r="AB460" s="125"/>
      <c r="AC460" s="125"/>
      <c r="AD460" s="125"/>
      <c r="AE460" s="125"/>
      <c r="AF460" s="125"/>
      <c r="AG460" s="125"/>
      <c r="AH460" s="125"/>
      <c r="AI460" s="125"/>
      <c r="AJ460" s="125"/>
      <c r="AK460" s="125"/>
      <c r="AL460" s="125"/>
      <c r="AM460" s="125"/>
      <c r="AN460" s="125"/>
      <c r="AO460" s="125"/>
      <c r="AP460" s="125"/>
      <c r="AQ460" s="125"/>
      <c r="AR460" s="125"/>
      <c r="AS460" s="125"/>
      <c r="AT460" s="125"/>
      <c r="AU460" s="125"/>
      <c r="AV460" s="125"/>
      <c r="AW460" s="125"/>
      <c r="AX460" s="125"/>
      <c r="AY460" s="125"/>
      <c r="AZ460" s="125"/>
      <c r="BA460" s="125"/>
      <c r="BB460" s="125"/>
      <c r="BC460" s="125"/>
      <c r="BD460" s="125"/>
      <c r="BE460" s="125"/>
      <c r="BF460" s="125"/>
      <c r="BG460" s="125"/>
      <c r="BH460" s="125"/>
      <c r="BI460" s="125"/>
      <c r="BJ460" s="125"/>
      <c r="BK460" s="125"/>
      <c r="BL460" s="125"/>
      <c r="BM460" s="125"/>
      <c r="BN460" s="125"/>
      <c r="BO460" s="125"/>
      <c r="BP460" s="125"/>
      <c r="BQ460" s="125"/>
      <c r="BR460" s="125"/>
      <c r="BS460" s="125"/>
      <c r="BT460" s="125"/>
      <c r="BU460" s="125"/>
      <c r="BV460" s="125"/>
      <c r="BW460" s="125"/>
      <c r="BX460" s="125"/>
      <c r="BY460" s="125"/>
      <c r="BZ460" s="125"/>
      <c r="CA460" s="125"/>
      <c r="CB460" s="125"/>
      <c r="CC460" s="125"/>
      <c r="CD460" s="125"/>
      <c r="CE460" s="125"/>
      <c r="CF460" s="125"/>
      <c r="CG460" s="125"/>
      <c r="CH460" s="125"/>
      <c r="CI460" s="125"/>
      <c r="CJ460" s="125"/>
      <c r="CK460" s="125"/>
      <c r="CL460" s="125"/>
      <c r="CM460" s="125"/>
      <c r="CN460" s="125"/>
      <c r="CO460" s="125"/>
      <c r="CP460" s="125"/>
      <c r="CQ460" s="125"/>
      <c r="CR460" s="125"/>
      <c r="CS460" s="125"/>
      <c r="CT460" s="125"/>
      <c r="CU460" s="125"/>
      <c r="CV460" s="125"/>
      <c r="CW460" s="125"/>
      <c r="CX460" s="125"/>
      <c r="CY460" s="125"/>
      <c r="CZ460" s="125"/>
      <c r="DA460" s="125"/>
      <c r="DB460" s="125"/>
      <c r="DC460" s="125"/>
      <c r="DD460" s="125"/>
      <c r="DE460" s="125"/>
      <c r="DF460" s="125"/>
      <c r="DG460" s="125"/>
      <c r="DH460" s="125"/>
      <c r="DI460" s="125"/>
      <c r="DJ460" s="125"/>
      <c r="DK460" s="125"/>
      <c r="DL460" s="125"/>
      <c r="DM460" s="125"/>
      <c r="DN460" s="125"/>
      <c r="DO460" s="125"/>
      <c r="DP460" s="125"/>
      <c r="DQ460" s="125"/>
      <c r="DR460" s="125"/>
      <c r="DS460" s="125"/>
      <c r="DT460" s="125"/>
      <c r="DU460" s="125"/>
      <c r="DV460" s="125"/>
      <c r="DW460" s="125"/>
      <c r="DX460" s="125"/>
      <c r="DY460" s="125"/>
      <c r="DZ460" s="125"/>
      <c r="EA460" s="125"/>
      <c r="EB460" s="125"/>
      <c r="EC460" s="125"/>
      <c r="ED460" s="125"/>
      <c r="EE460" s="125"/>
      <c r="EF460" s="125"/>
      <c r="EG460" s="125"/>
      <c r="EH460" s="125"/>
      <c r="EI460" s="125"/>
      <c r="EJ460" s="125"/>
      <c r="EK460" s="125"/>
      <c r="EL460" s="125"/>
      <c r="EM460" s="125"/>
      <c r="EN460" s="125"/>
      <c r="EO460" s="125"/>
      <c r="EP460" s="125"/>
      <c r="EQ460" s="125"/>
      <c r="ER460" s="125"/>
      <c r="ES460" s="125"/>
      <c r="ET460" s="125"/>
      <c r="EU460" s="125"/>
      <c r="EV460" s="125"/>
      <c r="EW460" s="125"/>
      <c r="EX460" s="125"/>
      <c r="EY460" s="125"/>
      <c r="EZ460" s="125"/>
      <c r="FA460" s="125"/>
      <c r="FB460" s="125"/>
      <c r="FC460" s="125"/>
      <c r="FD460" s="125"/>
      <c r="FE460" s="125"/>
      <c r="FF460" s="125"/>
      <c r="FG460" s="125"/>
      <c r="FH460" s="125"/>
      <c r="FI460" s="125"/>
      <c r="FJ460" s="125"/>
      <c r="FK460" s="125"/>
      <c r="FL460" s="125"/>
      <c r="FM460" s="125"/>
      <c r="FN460" s="125"/>
      <c r="FO460" s="125"/>
      <c r="FP460" s="125"/>
      <c r="FQ460" s="125"/>
      <c r="FR460" s="125"/>
      <c r="FS460" s="125"/>
      <c r="FT460" s="125"/>
      <c r="FU460" s="125"/>
      <c r="FV460" s="125"/>
      <c r="FW460" s="125"/>
      <c r="FX460" s="125"/>
      <c r="FY460" s="125"/>
      <c r="FZ460" s="125"/>
      <c r="GA460" s="125"/>
      <c r="GB460" s="125"/>
      <c r="GC460" s="125"/>
      <c r="GD460" s="125"/>
      <c r="GE460" s="125"/>
      <c r="GF460" s="125"/>
      <c r="GG460" s="125"/>
      <c r="GH460" s="125"/>
      <c r="GI460" s="125"/>
      <c r="GJ460" s="125"/>
      <c r="GK460" s="125"/>
      <c r="GL460" s="125"/>
      <c r="GM460" s="125"/>
      <c r="GN460" s="125"/>
      <c r="GO460" s="125"/>
      <c r="GP460" s="125"/>
      <c r="GQ460" s="125"/>
      <c r="GR460" s="125"/>
      <c r="GS460" s="125"/>
      <c r="GT460" s="125"/>
      <c r="GU460" s="125"/>
      <c r="GV460" s="125"/>
      <c r="GW460" s="125"/>
      <c r="GX460" s="125"/>
      <c r="GY460" s="125"/>
      <c r="GZ460" s="125"/>
      <c r="HA460" s="125"/>
      <c r="HB460" s="125"/>
      <c r="HC460" s="125"/>
      <c r="HD460" s="125"/>
      <c r="HE460" s="125"/>
      <c r="HF460" s="125"/>
      <c r="HG460" s="125"/>
      <c r="HH460" s="125"/>
      <c r="HI460" s="125"/>
      <c r="HJ460" s="125"/>
      <c r="HK460" s="125"/>
      <c r="HL460" s="125"/>
      <c r="HM460" s="125"/>
      <c r="HN460" s="125"/>
      <c r="HO460" s="125"/>
      <c r="HP460" s="125"/>
      <c r="HQ460" s="125"/>
      <c r="HR460" s="125"/>
      <c r="HS460" s="125"/>
      <c r="HT460" s="125"/>
      <c r="HU460" s="125"/>
      <c r="HV460" s="125"/>
      <c r="HW460" s="125"/>
      <c r="HX460" s="125"/>
      <c r="HY460" s="125"/>
      <c r="HZ460" s="125"/>
      <c r="IA460" s="125"/>
      <c r="IB460" s="125"/>
      <c r="IC460" s="125"/>
      <c r="ID460" s="125"/>
      <c r="IE460" s="125"/>
      <c r="IF460" s="125"/>
    </row>
    <row r="461" spans="1:240" s="126" customFormat="1" ht="29">
      <c r="A461" s="218">
        <f t="shared" ref="A461" si="93">A459+0.01</f>
        <v>7.1399999999999988</v>
      </c>
      <c r="B461" s="38" t="s">
        <v>497</v>
      </c>
      <c r="C461" s="123" t="s">
        <v>387</v>
      </c>
      <c r="D461" s="164" t="s">
        <v>228</v>
      </c>
      <c r="E461" s="550">
        <v>0</v>
      </c>
      <c r="F461" s="550">
        <v>0</v>
      </c>
      <c r="G461" s="122"/>
      <c r="H461" s="204"/>
      <c r="I461" s="125"/>
      <c r="J461" s="125"/>
      <c r="K461" s="125"/>
      <c r="L461" s="125"/>
      <c r="M461" s="125"/>
      <c r="N461" s="125"/>
      <c r="O461" s="125"/>
      <c r="P461" s="125"/>
      <c r="Q461" s="125"/>
      <c r="R461" s="125"/>
      <c r="S461" s="125"/>
      <c r="T461" s="125"/>
      <c r="U461" s="125"/>
      <c r="V461" s="125"/>
      <c r="W461" s="125"/>
      <c r="X461" s="125"/>
      <c r="Y461" s="125"/>
      <c r="Z461" s="125"/>
      <c r="AA461" s="125"/>
      <c r="AB461" s="125"/>
      <c r="AC461" s="125"/>
      <c r="AD461" s="125"/>
      <c r="AE461" s="125"/>
      <c r="AF461" s="125"/>
      <c r="AG461" s="125"/>
      <c r="AH461" s="125"/>
      <c r="AI461" s="125"/>
      <c r="AJ461" s="125"/>
      <c r="AK461" s="125"/>
      <c r="AL461" s="125"/>
      <c r="AM461" s="125"/>
      <c r="AN461" s="125"/>
      <c r="AO461" s="125"/>
      <c r="AP461" s="125"/>
      <c r="AQ461" s="125"/>
      <c r="AR461" s="125"/>
      <c r="AS461" s="125"/>
      <c r="AT461" s="125"/>
      <c r="AU461" s="125"/>
      <c r="AV461" s="125"/>
      <c r="AW461" s="125"/>
      <c r="AX461" s="125"/>
      <c r="AY461" s="125"/>
      <c r="AZ461" s="125"/>
      <c r="BA461" s="125"/>
      <c r="BB461" s="125"/>
      <c r="BC461" s="125"/>
      <c r="BD461" s="125"/>
      <c r="BE461" s="125"/>
      <c r="BF461" s="125"/>
      <c r="BG461" s="125"/>
      <c r="BH461" s="125"/>
      <c r="BI461" s="125"/>
      <c r="BJ461" s="125"/>
      <c r="BK461" s="125"/>
      <c r="BL461" s="125"/>
      <c r="BM461" s="125"/>
      <c r="BN461" s="125"/>
      <c r="BO461" s="125"/>
      <c r="BP461" s="125"/>
      <c r="BQ461" s="125"/>
      <c r="BR461" s="125"/>
      <c r="BS461" s="125"/>
      <c r="BT461" s="125"/>
      <c r="BU461" s="125"/>
      <c r="BV461" s="125"/>
      <c r="BW461" s="125"/>
      <c r="BX461" s="125"/>
      <c r="BY461" s="125"/>
      <c r="BZ461" s="125"/>
      <c r="CA461" s="125"/>
      <c r="CB461" s="125"/>
      <c r="CC461" s="125"/>
      <c r="CD461" s="125"/>
      <c r="CE461" s="125"/>
      <c r="CF461" s="125"/>
      <c r="CG461" s="125"/>
      <c r="CH461" s="125"/>
      <c r="CI461" s="125"/>
      <c r="CJ461" s="125"/>
      <c r="CK461" s="125"/>
      <c r="CL461" s="125"/>
      <c r="CM461" s="125"/>
      <c r="CN461" s="125"/>
      <c r="CO461" s="125"/>
      <c r="CP461" s="125"/>
      <c r="CQ461" s="125"/>
      <c r="CR461" s="125"/>
      <c r="CS461" s="125"/>
      <c r="CT461" s="125"/>
      <c r="CU461" s="125"/>
      <c r="CV461" s="125"/>
      <c r="CW461" s="125"/>
      <c r="CX461" s="125"/>
      <c r="CY461" s="125"/>
      <c r="CZ461" s="125"/>
      <c r="DA461" s="125"/>
      <c r="DB461" s="125"/>
      <c r="DC461" s="125"/>
      <c r="DD461" s="125"/>
      <c r="DE461" s="125"/>
      <c r="DF461" s="125"/>
      <c r="DG461" s="125"/>
      <c r="DH461" s="125"/>
      <c r="DI461" s="125"/>
      <c r="DJ461" s="125"/>
      <c r="DK461" s="125"/>
      <c r="DL461" s="125"/>
      <c r="DM461" s="125"/>
      <c r="DN461" s="125"/>
      <c r="DO461" s="125"/>
      <c r="DP461" s="125"/>
      <c r="DQ461" s="125"/>
      <c r="DR461" s="125"/>
      <c r="DS461" s="125"/>
      <c r="DT461" s="125"/>
      <c r="DU461" s="125"/>
      <c r="DV461" s="125"/>
      <c r="DW461" s="125"/>
      <c r="DX461" s="125"/>
      <c r="DY461" s="125"/>
      <c r="DZ461" s="125"/>
      <c r="EA461" s="125"/>
      <c r="EB461" s="125"/>
      <c r="EC461" s="125"/>
      <c r="ED461" s="125"/>
      <c r="EE461" s="125"/>
      <c r="EF461" s="125"/>
      <c r="EG461" s="125"/>
      <c r="EH461" s="125"/>
      <c r="EI461" s="125"/>
      <c r="EJ461" s="125"/>
      <c r="EK461" s="125"/>
      <c r="EL461" s="125"/>
      <c r="EM461" s="125"/>
      <c r="EN461" s="125"/>
      <c r="EO461" s="125"/>
      <c r="EP461" s="125"/>
      <c r="EQ461" s="125"/>
      <c r="ER461" s="125"/>
      <c r="ES461" s="125"/>
      <c r="ET461" s="125"/>
      <c r="EU461" s="125"/>
      <c r="EV461" s="125"/>
      <c r="EW461" s="125"/>
      <c r="EX461" s="125"/>
      <c r="EY461" s="125"/>
      <c r="EZ461" s="125"/>
      <c r="FA461" s="125"/>
      <c r="FB461" s="125"/>
      <c r="FC461" s="125"/>
      <c r="FD461" s="125"/>
      <c r="FE461" s="125"/>
      <c r="FF461" s="125"/>
      <c r="FG461" s="125"/>
      <c r="FH461" s="125"/>
      <c r="FI461" s="125"/>
      <c r="FJ461" s="125"/>
      <c r="FK461" s="125"/>
      <c r="FL461" s="125"/>
      <c r="FM461" s="125"/>
      <c r="FN461" s="125"/>
      <c r="FO461" s="125"/>
      <c r="FP461" s="125"/>
      <c r="FQ461" s="125"/>
      <c r="FR461" s="125"/>
      <c r="FS461" s="125"/>
      <c r="FT461" s="125"/>
      <c r="FU461" s="125"/>
      <c r="FV461" s="125"/>
      <c r="FW461" s="125"/>
      <c r="FX461" s="125"/>
      <c r="FY461" s="125"/>
      <c r="FZ461" s="125"/>
      <c r="GA461" s="125"/>
      <c r="GB461" s="125"/>
      <c r="GC461" s="125"/>
      <c r="GD461" s="125"/>
      <c r="GE461" s="125"/>
      <c r="GF461" s="125"/>
      <c r="GG461" s="125"/>
      <c r="GH461" s="125"/>
      <c r="GI461" s="125"/>
      <c r="GJ461" s="125"/>
      <c r="GK461" s="125"/>
      <c r="GL461" s="125"/>
      <c r="GM461" s="125"/>
      <c r="GN461" s="125"/>
      <c r="GO461" s="125"/>
      <c r="GP461" s="125"/>
      <c r="GQ461" s="125"/>
      <c r="GR461" s="125"/>
      <c r="GS461" s="125"/>
      <c r="GT461" s="125"/>
      <c r="GU461" s="125"/>
      <c r="GV461" s="125"/>
      <c r="GW461" s="125"/>
      <c r="GX461" s="125"/>
      <c r="GY461" s="125"/>
      <c r="GZ461" s="125"/>
      <c r="HA461" s="125"/>
      <c r="HB461" s="125"/>
      <c r="HC461" s="125"/>
      <c r="HD461" s="125"/>
      <c r="HE461" s="125"/>
      <c r="HF461" s="125"/>
      <c r="HG461" s="125"/>
      <c r="HH461" s="125"/>
      <c r="HI461" s="125"/>
      <c r="HJ461" s="125"/>
      <c r="HK461" s="125"/>
      <c r="HL461" s="125"/>
      <c r="HM461" s="125"/>
      <c r="HN461" s="125"/>
      <c r="HO461" s="125"/>
      <c r="HP461" s="125"/>
      <c r="HQ461" s="125"/>
      <c r="HR461" s="125"/>
      <c r="HS461" s="125"/>
      <c r="HT461" s="125"/>
      <c r="HU461" s="125"/>
      <c r="HV461" s="125"/>
      <c r="HW461" s="125"/>
      <c r="HX461" s="125"/>
      <c r="HY461" s="125"/>
      <c r="HZ461" s="125"/>
      <c r="IA461" s="125"/>
      <c r="IB461" s="125"/>
      <c r="IC461" s="125"/>
      <c r="ID461" s="125"/>
      <c r="IE461" s="125"/>
      <c r="IF461" s="125"/>
    </row>
    <row r="462" spans="1:240" s="126" customFormat="1">
      <c r="A462" s="229"/>
      <c r="B462" s="38"/>
      <c r="C462" s="128"/>
      <c r="D462" s="165"/>
      <c r="E462" s="550">
        <v>0</v>
      </c>
      <c r="F462" s="550">
        <v>0</v>
      </c>
      <c r="G462" s="122"/>
      <c r="H462" s="204"/>
      <c r="I462" s="125"/>
      <c r="J462" s="125"/>
      <c r="K462" s="125"/>
      <c r="L462" s="125"/>
      <c r="M462" s="125"/>
      <c r="N462" s="125"/>
      <c r="O462" s="125"/>
      <c r="P462" s="125"/>
      <c r="Q462" s="125"/>
      <c r="R462" s="125"/>
      <c r="S462" s="125"/>
      <c r="T462" s="125"/>
      <c r="U462" s="125"/>
      <c r="V462" s="125"/>
      <c r="W462" s="125"/>
      <c r="X462" s="125"/>
      <c r="Y462" s="125"/>
      <c r="Z462" s="125"/>
      <c r="AA462" s="125"/>
      <c r="AB462" s="125"/>
      <c r="AC462" s="125"/>
      <c r="AD462" s="125"/>
      <c r="AE462" s="125"/>
      <c r="AF462" s="125"/>
      <c r="AG462" s="125"/>
      <c r="AH462" s="125"/>
      <c r="AI462" s="125"/>
      <c r="AJ462" s="125"/>
      <c r="AK462" s="125"/>
      <c r="AL462" s="125"/>
      <c r="AM462" s="125"/>
      <c r="AN462" s="125"/>
      <c r="AO462" s="125"/>
      <c r="AP462" s="125"/>
      <c r="AQ462" s="125"/>
      <c r="AR462" s="125"/>
      <c r="AS462" s="125"/>
      <c r="AT462" s="125"/>
      <c r="AU462" s="125"/>
      <c r="AV462" s="125"/>
      <c r="AW462" s="125"/>
      <c r="AX462" s="125"/>
      <c r="AY462" s="125"/>
      <c r="AZ462" s="125"/>
      <c r="BA462" s="125"/>
      <c r="BB462" s="125"/>
      <c r="BC462" s="125"/>
      <c r="BD462" s="125"/>
      <c r="BE462" s="125"/>
      <c r="BF462" s="125"/>
      <c r="BG462" s="125"/>
      <c r="BH462" s="125"/>
      <c r="BI462" s="125"/>
      <c r="BJ462" s="125"/>
      <c r="BK462" s="125"/>
      <c r="BL462" s="125"/>
      <c r="BM462" s="125"/>
      <c r="BN462" s="125"/>
      <c r="BO462" s="125"/>
      <c r="BP462" s="125"/>
      <c r="BQ462" s="125"/>
      <c r="BR462" s="125"/>
      <c r="BS462" s="125"/>
      <c r="BT462" s="125"/>
      <c r="BU462" s="125"/>
      <c r="BV462" s="125"/>
      <c r="BW462" s="125"/>
      <c r="BX462" s="125"/>
      <c r="BY462" s="125"/>
      <c r="BZ462" s="125"/>
      <c r="CA462" s="125"/>
      <c r="CB462" s="125"/>
      <c r="CC462" s="125"/>
      <c r="CD462" s="125"/>
      <c r="CE462" s="125"/>
      <c r="CF462" s="125"/>
      <c r="CG462" s="125"/>
      <c r="CH462" s="125"/>
      <c r="CI462" s="125"/>
      <c r="CJ462" s="125"/>
      <c r="CK462" s="125"/>
      <c r="CL462" s="125"/>
      <c r="CM462" s="125"/>
      <c r="CN462" s="125"/>
      <c r="CO462" s="125"/>
      <c r="CP462" s="125"/>
      <c r="CQ462" s="125"/>
      <c r="CR462" s="125"/>
      <c r="CS462" s="125"/>
      <c r="CT462" s="125"/>
      <c r="CU462" s="125"/>
      <c r="CV462" s="125"/>
      <c r="CW462" s="125"/>
      <c r="CX462" s="125"/>
      <c r="CY462" s="125"/>
      <c r="CZ462" s="125"/>
      <c r="DA462" s="125"/>
      <c r="DB462" s="125"/>
      <c r="DC462" s="125"/>
      <c r="DD462" s="125"/>
      <c r="DE462" s="125"/>
      <c r="DF462" s="125"/>
      <c r="DG462" s="125"/>
      <c r="DH462" s="125"/>
      <c r="DI462" s="125"/>
      <c r="DJ462" s="125"/>
      <c r="DK462" s="125"/>
      <c r="DL462" s="125"/>
      <c r="DM462" s="125"/>
      <c r="DN462" s="125"/>
      <c r="DO462" s="125"/>
      <c r="DP462" s="125"/>
      <c r="DQ462" s="125"/>
      <c r="DR462" s="125"/>
      <c r="DS462" s="125"/>
      <c r="DT462" s="125"/>
      <c r="DU462" s="125"/>
      <c r="DV462" s="125"/>
      <c r="DW462" s="125"/>
      <c r="DX462" s="125"/>
      <c r="DY462" s="125"/>
      <c r="DZ462" s="125"/>
      <c r="EA462" s="125"/>
      <c r="EB462" s="125"/>
      <c r="EC462" s="125"/>
      <c r="ED462" s="125"/>
      <c r="EE462" s="125"/>
      <c r="EF462" s="125"/>
      <c r="EG462" s="125"/>
      <c r="EH462" s="125"/>
      <c r="EI462" s="125"/>
      <c r="EJ462" s="125"/>
      <c r="EK462" s="125"/>
      <c r="EL462" s="125"/>
      <c r="EM462" s="125"/>
      <c r="EN462" s="125"/>
      <c r="EO462" s="125"/>
      <c r="EP462" s="125"/>
      <c r="EQ462" s="125"/>
      <c r="ER462" s="125"/>
      <c r="ES462" s="125"/>
      <c r="ET462" s="125"/>
      <c r="EU462" s="125"/>
      <c r="EV462" s="125"/>
      <c r="EW462" s="125"/>
      <c r="EX462" s="125"/>
      <c r="EY462" s="125"/>
      <c r="EZ462" s="125"/>
      <c r="FA462" s="125"/>
      <c r="FB462" s="125"/>
      <c r="FC462" s="125"/>
      <c r="FD462" s="125"/>
      <c r="FE462" s="125"/>
      <c r="FF462" s="125"/>
      <c r="FG462" s="125"/>
      <c r="FH462" s="125"/>
      <c r="FI462" s="125"/>
      <c r="FJ462" s="125"/>
      <c r="FK462" s="125"/>
      <c r="FL462" s="125"/>
      <c r="FM462" s="125"/>
      <c r="FN462" s="125"/>
      <c r="FO462" s="125"/>
      <c r="FP462" s="125"/>
      <c r="FQ462" s="125"/>
      <c r="FR462" s="125"/>
      <c r="FS462" s="125"/>
      <c r="FT462" s="125"/>
      <c r="FU462" s="125"/>
      <c r="FV462" s="125"/>
      <c r="FW462" s="125"/>
      <c r="FX462" s="125"/>
      <c r="FY462" s="125"/>
      <c r="FZ462" s="125"/>
      <c r="GA462" s="125"/>
      <c r="GB462" s="125"/>
      <c r="GC462" s="125"/>
      <c r="GD462" s="125"/>
      <c r="GE462" s="125"/>
      <c r="GF462" s="125"/>
      <c r="GG462" s="125"/>
      <c r="GH462" s="125"/>
      <c r="GI462" s="125"/>
      <c r="GJ462" s="125"/>
      <c r="GK462" s="125"/>
      <c r="GL462" s="125"/>
      <c r="GM462" s="125"/>
      <c r="GN462" s="125"/>
      <c r="GO462" s="125"/>
      <c r="GP462" s="125"/>
      <c r="GQ462" s="125"/>
      <c r="GR462" s="125"/>
      <c r="GS462" s="125"/>
      <c r="GT462" s="125"/>
      <c r="GU462" s="125"/>
      <c r="GV462" s="125"/>
      <c r="GW462" s="125"/>
      <c r="GX462" s="125"/>
      <c r="GY462" s="125"/>
      <c r="GZ462" s="125"/>
      <c r="HA462" s="125"/>
      <c r="HB462" s="125"/>
      <c r="HC462" s="125"/>
      <c r="HD462" s="125"/>
      <c r="HE462" s="125"/>
      <c r="HF462" s="125"/>
      <c r="HG462" s="125"/>
      <c r="HH462" s="125"/>
      <c r="HI462" s="125"/>
      <c r="HJ462" s="125"/>
      <c r="HK462" s="125"/>
      <c r="HL462" s="125"/>
      <c r="HM462" s="125"/>
      <c r="HN462" s="125"/>
      <c r="HO462" s="125"/>
      <c r="HP462" s="125"/>
      <c r="HQ462" s="125"/>
      <c r="HR462" s="125"/>
      <c r="HS462" s="125"/>
      <c r="HT462" s="125"/>
      <c r="HU462" s="125"/>
      <c r="HV462" s="125"/>
      <c r="HW462" s="125"/>
      <c r="HX462" s="125"/>
      <c r="HY462" s="125"/>
      <c r="HZ462" s="125"/>
      <c r="IA462" s="125"/>
      <c r="IB462" s="125"/>
      <c r="IC462" s="125"/>
      <c r="ID462" s="125"/>
      <c r="IE462" s="125"/>
      <c r="IF462" s="125"/>
    </row>
    <row r="463" spans="1:240" ht="29">
      <c r="A463" s="218">
        <f t="shared" ref="A463" si="94">A461+0.01</f>
        <v>7.1499999999999986</v>
      </c>
      <c r="B463" s="56" t="s">
        <v>499</v>
      </c>
      <c r="C463" s="57" t="s">
        <v>299</v>
      </c>
      <c r="D463" s="17" t="s">
        <v>228</v>
      </c>
      <c r="E463" s="550">
        <v>0</v>
      </c>
      <c r="F463" s="550">
        <v>0</v>
      </c>
      <c r="G463" s="122"/>
      <c r="H463" s="204"/>
      <c r="I463" s="163"/>
    </row>
    <row r="464" spans="1:240">
      <c r="A464" s="229"/>
      <c r="B464" s="56"/>
      <c r="C464" s="127"/>
      <c r="D464" s="17"/>
      <c r="E464" s="550">
        <v>0</v>
      </c>
      <c r="F464" s="550">
        <v>0</v>
      </c>
      <c r="G464" s="18"/>
      <c r="H464" s="200"/>
      <c r="I464" s="163"/>
    </row>
    <row r="465" spans="1:10" ht="203">
      <c r="A465" s="218">
        <f t="shared" ref="A465" si="95">A463+0.01</f>
        <v>7.1599999999999984</v>
      </c>
      <c r="B465" s="56" t="s">
        <v>546</v>
      </c>
      <c r="C465" s="123" t="s">
        <v>387</v>
      </c>
      <c r="D465" s="164">
        <v>6</v>
      </c>
      <c r="E465" s="550">
        <v>3413</v>
      </c>
      <c r="F465" s="550">
        <v>488</v>
      </c>
      <c r="G465" s="122">
        <f t="shared" ref="G465" si="96">E465*D465</f>
        <v>20478</v>
      </c>
      <c r="H465" s="204">
        <f t="shared" ref="H465" si="97">F465*D465</f>
        <v>2928</v>
      </c>
      <c r="I465" s="163"/>
    </row>
    <row r="466" spans="1:10">
      <c r="A466" s="229"/>
      <c r="B466" s="56"/>
      <c r="C466" s="127"/>
      <c r="D466" s="34"/>
      <c r="E466" s="550">
        <v>0</v>
      </c>
      <c r="F466" s="550">
        <v>0</v>
      </c>
      <c r="G466" s="18"/>
      <c r="H466" s="200"/>
      <c r="I466" s="163"/>
    </row>
    <row r="467" spans="1:10">
      <c r="A467" s="230"/>
      <c r="B467" s="105" t="s">
        <v>260</v>
      </c>
      <c r="C467" s="100"/>
      <c r="D467" s="107"/>
      <c r="E467" s="552">
        <v>0</v>
      </c>
      <c r="F467" s="552">
        <v>0</v>
      </c>
      <c r="G467" s="102">
        <f>SUM(G435:G466)</f>
        <v>732140</v>
      </c>
      <c r="H467" s="207">
        <f>SUM(H435:H466)</f>
        <v>129343</v>
      </c>
      <c r="J467" s="163"/>
    </row>
    <row r="468" spans="1:10">
      <c r="A468" s="217"/>
      <c r="B468" s="56"/>
      <c r="C468" s="57"/>
      <c r="D468" s="17"/>
      <c r="E468" s="550">
        <v>0</v>
      </c>
      <c r="F468" s="561">
        <v>0</v>
      </c>
      <c r="G468" s="18"/>
      <c r="H468" s="200"/>
      <c r="J468" s="163"/>
    </row>
    <row r="469" spans="1:10">
      <c r="A469" s="231">
        <v>8</v>
      </c>
      <c r="B469" s="105" t="s">
        <v>151</v>
      </c>
      <c r="C469" s="95"/>
      <c r="D469" s="106"/>
      <c r="E469" s="554">
        <v>0</v>
      </c>
      <c r="F469" s="554">
        <v>0</v>
      </c>
      <c r="G469" s="97"/>
      <c r="H469" s="196"/>
      <c r="J469" s="163"/>
    </row>
    <row r="470" spans="1:10" ht="43.5">
      <c r="A470" s="232"/>
      <c r="B470" s="36" t="s">
        <v>152</v>
      </c>
      <c r="C470" s="12"/>
      <c r="D470" s="13"/>
      <c r="E470" s="555">
        <v>0</v>
      </c>
      <c r="F470" s="555">
        <v>0</v>
      </c>
      <c r="G470" s="18"/>
      <c r="H470" s="200"/>
      <c r="J470" s="163"/>
    </row>
    <row r="471" spans="1:10">
      <c r="A471" s="233">
        <v>8.1</v>
      </c>
      <c r="B471" s="60" t="s">
        <v>235</v>
      </c>
      <c r="C471" s="60"/>
      <c r="D471" s="16"/>
      <c r="E471" s="562">
        <v>0</v>
      </c>
      <c r="F471" s="550">
        <v>0</v>
      </c>
      <c r="G471" s="18"/>
      <c r="H471" s="200"/>
      <c r="J471" s="163"/>
    </row>
    <row r="472" spans="1:10">
      <c r="A472" s="233"/>
      <c r="B472" s="60"/>
      <c r="C472" s="60"/>
      <c r="D472" s="16"/>
      <c r="E472" s="550">
        <v>0</v>
      </c>
      <c r="F472" s="550">
        <v>0</v>
      </c>
      <c r="G472" s="18"/>
      <c r="H472" s="200"/>
      <c r="J472" s="163"/>
    </row>
    <row r="473" spans="1:10">
      <c r="A473" s="233" t="s">
        <v>236</v>
      </c>
      <c r="B473" s="61" t="s">
        <v>404</v>
      </c>
      <c r="C473" s="62" t="s">
        <v>153</v>
      </c>
      <c r="D473" s="17">
        <v>30</v>
      </c>
      <c r="E473" s="550">
        <v>1755</v>
      </c>
      <c r="F473" s="550">
        <v>244</v>
      </c>
      <c r="G473" s="122">
        <f t="shared" ref="G473" si="98">E473*D473</f>
        <v>52650</v>
      </c>
      <c r="H473" s="204">
        <f t="shared" ref="H473" si="99">F473*D473</f>
        <v>7320</v>
      </c>
      <c r="J473" s="163"/>
    </row>
    <row r="474" spans="1:10">
      <c r="A474" s="233"/>
      <c r="B474" s="60"/>
      <c r="C474" s="60"/>
      <c r="D474" s="16"/>
      <c r="E474" s="550">
        <v>0</v>
      </c>
      <c r="F474" s="550">
        <v>0</v>
      </c>
      <c r="G474" s="18"/>
      <c r="H474" s="200"/>
      <c r="J474" s="163"/>
    </row>
    <row r="475" spans="1:10">
      <c r="A475" s="233" t="s">
        <v>237</v>
      </c>
      <c r="B475" s="61" t="s">
        <v>154</v>
      </c>
      <c r="C475" s="62" t="s">
        <v>153</v>
      </c>
      <c r="D475" s="17">
        <v>50</v>
      </c>
      <c r="E475" s="550">
        <v>1219</v>
      </c>
      <c r="F475" s="550">
        <v>244</v>
      </c>
      <c r="G475" s="122">
        <f t="shared" ref="G475" si="100">E475*D475</f>
        <v>60950</v>
      </c>
      <c r="H475" s="204">
        <f t="shared" ref="H475" si="101">F475*D475</f>
        <v>12200</v>
      </c>
      <c r="J475" s="163"/>
    </row>
    <row r="476" spans="1:10">
      <c r="A476" s="233"/>
      <c r="B476" s="60"/>
      <c r="C476" s="60"/>
      <c r="D476" s="16"/>
      <c r="E476" s="550">
        <v>0</v>
      </c>
      <c r="F476" s="550">
        <v>0</v>
      </c>
      <c r="G476" s="18"/>
      <c r="H476" s="200"/>
      <c r="J476" s="163"/>
    </row>
    <row r="477" spans="1:10">
      <c r="A477" s="233" t="s">
        <v>238</v>
      </c>
      <c r="B477" s="61" t="s">
        <v>155</v>
      </c>
      <c r="C477" s="62" t="s">
        <v>153</v>
      </c>
      <c r="D477" s="17">
        <v>200</v>
      </c>
      <c r="E477" s="550">
        <v>829</v>
      </c>
      <c r="F477" s="550">
        <v>244</v>
      </c>
      <c r="G477" s="122">
        <f t="shared" ref="G477" si="102">E477*D477</f>
        <v>165800</v>
      </c>
      <c r="H477" s="204">
        <f t="shared" ref="H477" si="103">F477*D477</f>
        <v>48800</v>
      </c>
      <c r="J477" s="163"/>
    </row>
    <row r="478" spans="1:10">
      <c r="A478" s="233"/>
      <c r="B478" s="61"/>
      <c r="C478" s="62"/>
      <c r="D478" s="17"/>
      <c r="E478" s="550">
        <v>0</v>
      </c>
      <c r="F478" s="550">
        <v>0</v>
      </c>
      <c r="G478" s="18"/>
      <c r="H478" s="200"/>
      <c r="J478" s="163"/>
    </row>
    <row r="479" spans="1:10">
      <c r="A479" s="233" t="s">
        <v>239</v>
      </c>
      <c r="B479" s="61" t="s">
        <v>220</v>
      </c>
      <c r="C479" s="62" t="s">
        <v>153</v>
      </c>
      <c r="D479" s="17">
        <v>50</v>
      </c>
      <c r="E479" s="550">
        <v>731</v>
      </c>
      <c r="F479" s="550">
        <v>195</v>
      </c>
      <c r="G479" s="122">
        <f t="shared" ref="G479" si="104">E479*D479</f>
        <v>36550</v>
      </c>
      <c r="H479" s="204">
        <f t="shared" ref="H479" si="105">F479*D479</f>
        <v>9750</v>
      </c>
      <c r="J479" s="163"/>
    </row>
    <row r="480" spans="1:10">
      <c r="A480" s="233"/>
      <c r="B480" s="61"/>
      <c r="C480" s="62"/>
      <c r="D480" s="17"/>
      <c r="E480" s="550">
        <v>0</v>
      </c>
      <c r="F480" s="550">
        <v>0</v>
      </c>
      <c r="G480" s="18"/>
      <c r="H480" s="200"/>
      <c r="J480" s="163"/>
    </row>
    <row r="481" spans="1:10">
      <c r="A481" s="233" t="s">
        <v>436</v>
      </c>
      <c r="B481" s="61" t="s">
        <v>156</v>
      </c>
      <c r="C481" s="62" t="s">
        <v>153</v>
      </c>
      <c r="D481" s="17">
        <v>150</v>
      </c>
      <c r="E481" s="550">
        <v>634</v>
      </c>
      <c r="F481" s="550">
        <v>195</v>
      </c>
      <c r="G481" s="122">
        <f t="shared" ref="G481" si="106">E481*D481</f>
        <v>95100</v>
      </c>
      <c r="H481" s="204">
        <f t="shared" ref="H481" si="107">F481*D481</f>
        <v>29250</v>
      </c>
      <c r="J481" s="163"/>
    </row>
    <row r="482" spans="1:10">
      <c r="A482" s="233"/>
      <c r="B482" s="61"/>
      <c r="C482" s="62"/>
      <c r="D482" s="17"/>
      <c r="E482" s="550">
        <v>0</v>
      </c>
      <c r="F482" s="550">
        <v>0</v>
      </c>
      <c r="G482" s="18"/>
      <c r="H482" s="200"/>
      <c r="J482" s="163"/>
    </row>
    <row r="483" spans="1:10">
      <c r="A483" s="233" t="s">
        <v>437</v>
      </c>
      <c r="B483" s="61" t="s">
        <v>218</v>
      </c>
      <c r="C483" s="62" t="s">
        <v>153</v>
      </c>
      <c r="D483" s="17" t="s">
        <v>228</v>
      </c>
      <c r="E483" s="550">
        <v>0</v>
      </c>
      <c r="F483" s="550">
        <v>0</v>
      </c>
      <c r="G483" s="122"/>
      <c r="H483" s="204"/>
      <c r="J483" s="163"/>
    </row>
    <row r="484" spans="1:10">
      <c r="A484" s="233"/>
      <c r="B484" s="23"/>
      <c r="C484" s="16"/>
      <c r="D484" s="17"/>
      <c r="E484" s="550">
        <v>0</v>
      </c>
      <c r="F484" s="550">
        <v>0</v>
      </c>
      <c r="G484" s="18"/>
      <c r="H484" s="200"/>
      <c r="J484" s="163"/>
    </row>
    <row r="485" spans="1:10">
      <c r="A485" s="233">
        <v>8.1999999999999993</v>
      </c>
      <c r="B485" s="60" t="s">
        <v>157</v>
      </c>
      <c r="C485" s="16"/>
      <c r="D485" s="17"/>
      <c r="E485" s="550">
        <v>0</v>
      </c>
      <c r="F485" s="550">
        <v>0</v>
      </c>
      <c r="G485" s="18"/>
      <c r="H485" s="200"/>
      <c r="J485" s="163"/>
    </row>
    <row r="486" spans="1:10">
      <c r="A486" s="233"/>
      <c r="B486" s="61"/>
      <c r="C486" s="62"/>
      <c r="D486" s="17"/>
      <c r="E486" s="550">
        <v>0</v>
      </c>
      <c r="F486" s="550">
        <v>0</v>
      </c>
      <c r="G486" s="18"/>
      <c r="H486" s="200"/>
      <c r="J486" s="163"/>
    </row>
    <row r="487" spans="1:10">
      <c r="A487" s="233" t="s">
        <v>158</v>
      </c>
      <c r="B487" s="61" t="s">
        <v>154</v>
      </c>
      <c r="C487" s="62" t="s">
        <v>153</v>
      </c>
      <c r="D487" s="17" t="s">
        <v>228</v>
      </c>
      <c r="E487" s="550">
        <v>0</v>
      </c>
      <c r="F487" s="550">
        <v>0</v>
      </c>
      <c r="G487" s="122"/>
      <c r="H487" s="204"/>
      <c r="J487" s="163"/>
    </row>
    <row r="488" spans="1:10">
      <c r="A488" s="233"/>
      <c r="B488" s="61"/>
      <c r="C488" s="62"/>
      <c r="D488" s="17"/>
      <c r="E488" s="550">
        <v>0</v>
      </c>
      <c r="F488" s="550">
        <v>0</v>
      </c>
      <c r="G488" s="18"/>
      <c r="H488" s="200"/>
      <c r="J488" s="163"/>
    </row>
    <row r="489" spans="1:10">
      <c r="A489" s="233" t="s">
        <v>159</v>
      </c>
      <c r="B489" s="61" t="s">
        <v>155</v>
      </c>
      <c r="C489" s="62" t="s">
        <v>153</v>
      </c>
      <c r="D489" s="17" t="s">
        <v>228</v>
      </c>
      <c r="E489" s="550">
        <v>0</v>
      </c>
      <c r="F489" s="550">
        <v>0</v>
      </c>
      <c r="G489" s="122"/>
      <c r="H489" s="204"/>
      <c r="J489" s="163"/>
    </row>
    <row r="490" spans="1:10">
      <c r="A490" s="233"/>
      <c r="B490" s="61"/>
      <c r="C490" s="62"/>
      <c r="D490" s="17"/>
      <c r="E490" s="550">
        <v>0</v>
      </c>
      <c r="F490" s="550">
        <v>0</v>
      </c>
      <c r="G490" s="18"/>
      <c r="H490" s="200"/>
      <c r="J490" s="163"/>
    </row>
    <row r="491" spans="1:10">
      <c r="A491" s="233" t="s">
        <v>160</v>
      </c>
      <c r="B491" s="61" t="s">
        <v>220</v>
      </c>
      <c r="C491" s="62" t="s">
        <v>153</v>
      </c>
      <c r="D491" s="17" t="s">
        <v>228</v>
      </c>
      <c r="E491" s="550">
        <v>0</v>
      </c>
      <c r="F491" s="550">
        <v>0</v>
      </c>
      <c r="G491" s="122"/>
      <c r="H491" s="204"/>
      <c r="J491" s="163"/>
    </row>
    <row r="492" spans="1:10">
      <c r="A492" s="233"/>
      <c r="B492" s="61"/>
      <c r="C492" s="62"/>
      <c r="D492" s="17"/>
      <c r="E492" s="550">
        <v>0</v>
      </c>
      <c r="F492" s="550">
        <v>0</v>
      </c>
      <c r="G492" s="18"/>
      <c r="H492" s="200"/>
      <c r="J492" s="163"/>
    </row>
    <row r="493" spans="1:10">
      <c r="A493" s="233" t="s">
        <v>434</v>
      </c>
      <c r="B493" s="61" t="s">
        <v>156</v>
      </c>
      <c r="C493" s="62" t="s">
        <v>153</v>
      </c>
      <c r="D493" s="17">
        <v>25</v>
      </c>
      <c r="E493" s="550">
        <v>439</v>
      </c>
      <c r="F493" s="550">
        <v>244</v>
      </c>
      <c r="G493" s="122">
        <f t="shared" ref="G493" si="108">E493*D493</f>
        <v>10975</v>
      </c>
      <c r="H493" s="204">
        <f t="shared" ref="H493" si="109">F493*D493</f>
        <v>6100</v>
      </c>
      <c r="J493" s="163"/>
    </row>
    <row r="494" spans="1:10">
      <c r="A494" s="234"/>
      <c r="B494" s="109"/>
      <c r="C494" s="64"/>
      <c r="D494" s="31"/>
      <c r="E494" s="551">
        <v>0</v>
      </c>
      <c r="F494" s="551">
        <v>0</v>
      </c>
      <c r="G494" s="18"/>
      <c r="H494" s="200"/>
      <c r="J494" s="163"/>
    </row>
    <row r="495" spans="1:10">
      <c r="A495" s="233" t="s">
        <v>435</v>
      </c>
      <c r="B495" s="61" t="s">
        <v>218</v>
      </c>
      <c r="C495" s="62" t="s">
        <v>153</v>
      </c>
      <c r="D495" s="17" t="s">
        <v>228</v>
      </c>
      <c r="E495" s="550">
        <v>0</v>
      </c>
      <c r="F495" s="550">
        <v>0</v>
      </c>
      <c r="G495" s="122"/>
      <c r="H495" s="204"/>
      <c r="J495" s="163"/>
    </row>
    <row r="496" spans="1:10">
      <c r="A496" s="234"/>
      <c r="B496" s="63"/>
      <c r="C496" s="64"/>
      <c r="D496" s="31"/>
      <c r="E496" s="551">
        <v>0</v>
      </c>
      <c r="F496" s="551">
        <v>0</v>
      </c>
      <c r="G496" s="18"/>
      <c r="H496" s="200"/>
      <c r="J496" s="163"/>
    </row>
    <row r="497" spans="1:10">
      <c r="A497" s="230"/>
      <c r="B497" s="105" t="s">
        <v>161</v>
      </c>
      <c r="C497" s="100"/>
      <c r="D497" s="107"/>
      <c r="E497" s="552">
        <v>0</v>
      </c>
      <c r="F497" s="552">
        <v>0</v>
      </c>
      <c r="G497" s="102">
        <f>SUM(G473:G496)</f>
        <v>422025</v>
      </c>
      <c r="H497" s="207">
        <f>SUM(H473:H496)</f>
        <v>113420</v>
      </c>
      <c r="J497" s="163"/>
    </row>
    <row r="498" spans="1:10">
      <c r="A498" s="227"/>
      <c r="B498" s="65"/>
      <c r="C498" s="66"/>
      <c r="D498" s="34"/>
      <c r="E498" s="553">
        <v>0</v>
      </c>
      <c r="F498" s="553">
        <v>0</v>
      </c>
      <c r="G498" s="18"/>
      <c r="H498" s="200"/>
      <c r="J498" s="163"/>
    </row>
    <row r="499" spans="1:10">
      <c r="A499" s="231">
        <v>9</v>
      </c>
      <c r="B499" s="105" t="s">
        <v>162</v>
      </c>
      <c r="C499" s="95"/>
      <c r="D499" s="107"/>
      <c r="E499" s="554">
        <v>0</v>
      </c>
      <c r="F499" s="554">
        <v>0</v>
      </c>
      <c r="G499" s="102"/>
      <c r="H499" s="207"/>
      <c r="J499" s="163"/>
    </row>
    <row r="500" spans="1:10">
      <c r="A500" s="235"/>
      <c r="B500" s="67"/>
      <c r="C500" s="12"/>
      <c r="D500" s="13"/>
      <c r="E500" s="555">
        <v>0</v>
      </c>
      <c r="F500" s="555">
        <v>0</v>
      </c>
      <c r="G500" s="18"/>
      <c r="H500" s="200"/>
      <c r="J500" s="163"/>
    </row>
    <row r="501" spans="1:10" ht="232">
      <c r="A501" s="199"/>
      <c r="B501" s="120" t="s">
        <v>618</v>
      </c>
      <c r="C501" s="16"/>
      <c r="D501" s="17"/>
      <c r="E501" s="550">
        <v>0</v>
      </c>
      <c r="F501" s="550">
        <v>0</v>
      </c>
      <c r="G501" s="18"/>
      <c r="H501" s="200"/>
      <c r="J501" s="163"/>
    </row>
    <row r="502" spans="1:10">
      <c r="A502" s="233"/>
      <c r="B502" s="61"/>
      <c r="C502" s="16"/>
      <c r="D502" s="17"/>
      <c r="E502" s="550">
        <v>0</v>
      </c>
      <c r="F502" s="550">
        <v>0</v>
      </c>
      <c r="G502" s="18"/>
      <c r="H502" s="200"/>
      <c r="J502" s="163"/>
    </row>
    <row r="503" spans="1:10">
      <c r="A503" s="211">
        <v>9.1</v>
      </c>
      <c r="B503" s="121" t="s">
        <v>326</v>
      </c>
      <c r="C503" s="16"/>
      <c r="D503" s="17"/>
      <c r="E503" s="550">
        <v>0</v>
      </c>
      <c r="F503" s="550">
        <v>0</v>
      </c>
      <c r="G503" s="18"/>
      <c r="H503" s="200"/>
      <c r="J503" s="163"/>
    </row>
    <row r="504" spans="1:10">
      <c r="A504" s="233"/>
      <c r="B504" s="61"/>
      <c r="C504" s="16"/>
      <c r="D504" s="17"/>
      <c r="E504" s="550">
        <v>0</v>
      </c>
      <c r="F504" s="550">
        <v>0</v>
      </c>
      <c r="G504" s="18"/>
      <c r="H504" s="200"/>
      <c r="J504" s="163"/>
    </row>
    <row r="505" spans="1:10">
      <c r="A505" s="211" t="s">
        <v>163</v>
      </c>
      <c r="B505" s="121" t="s">
        <v>327</v>
      </c>
      <c r="C505" s="16"/>
      <c r="D505" s="17"/>
      <c r="E505" s="550">
        <v>0</v>
      </c>
      <c r="F505" s="550">
        <v>0</v>
      </c>
      <c r="G505" s="18"/>
      <c r="H505" s="200"/>
      <c r="J505" s="163"/>
    </row>
    <row r="506" spans="1:10">
      <c r="A506" s="211"/>
      <c r="B506" s="121"/>
      <c r="C506" s="16"/>
      <c r="D506" s="17"/>
      <c r="E506" s="550">
        <v>0</v>
      </c>
      <c r="F506" s="550">
        <v>0</v>
      </c>
      <c r="G506" s="18"/>
      <c r="H506" s="200"/>
      <c r="J506" s="163"/>
    </row>
    <row r="507" spans="1:10">
      <c r="A507" s="233" t="s">
        <v>328</v>
      </c>
      <c r="B507" s="61" t="s">
        <v>329</v>
      </c>
      <c r="C507" s="16" t="s">
        <v>58</v>
      </c>
      <c r="D507" s="17" t="s">
        <v>228</v>
      </c>
      <c r="E507" s="550">
        <v>0</v>
      </c>
      <c r="F507" s="550">
        <v>0</v>
      </c>
      <c r="G507" s="122"/>
      <c r="H507" s="204"/>
      <c r="J507" s="163"/>
    </row>
    <row r="508" spans="1:10">
      <c r="A508" s="233"/>
      <c r="B508" s="61"/>
      <c r="C508" s="16"/>
      <c r="D508" s="17"/>
      <c r="E508" s="550">
        <v>0</v>
      </c>
      <c r="F508" s="550">
        <v>0</v>
      </c>
      <c r="G508" s="18"/>
      <c r="H508" s="200"/>
      <c r="J508" s="163"/>
    </row>
    <row r="509" spans="1:10">
      <c r="A509" s="233" t="s">
        <v>330</v>
      </c>
      <c r="B509" s="61" t="s">
        <v>331</v>
      </c>
      <c r="C509" s="16" t="s">
        <v>58</v>
      </c>
      <c r="D509" s="17" t="s">
        <v>228</v>
      </c>
      <c r="E509" s="550">
        <v>0</v>
      </c>
      <c r="F509" s="550">
        <v>0</v>
      </c>
      <c r="G509" s="122"/>
      <c r="H509" s="204"/>
      <c r="J509" s="163"/>
    </row>
    <row r="510" spans="1:10">
      <c r="A510" s="233"/>
      <c r="B510" s="68"/>
      <c r="C510" s="16"/>
      <c r="D510" s="17"/>
      <c r="E510" s="550">
        <v>0</v>
      </c>
      <c r="F510" s="550">
        <v>0</v>
      </c>
      <c r="G510" s="18"/>
      <c r="H510" s="200"/>
      <c r="J510" s="163"/>
    </row>
    <row r="511" spans="1:10">
      <c r="A511" s="233" t="s">
        <v>332</v>
      </c>
      <c r="B511" s="61" t="s">
        <v>333</v>
      </c>
      <c r="C511" s="16" t="s">
        <v>58</v>
      </c>
      <c r="D511" s="17" t="s">
        <v>228</v>
      </c>
      <c r="E511" s="550">
        <v>0</v>
      </c>
      <c r="F511" s="550">
        <v>0</v>
      </c>
      <c r="G511" s="122"/>
      <c r="H511" s="204"/>
      <c r="J511" s="163"/>
    </row>
    <row r="512" spans="1:10">
      <c r="A512" s="233"/>
      <c r="B512" s="68"/>
      <c r="C512" s="16"/>
      <c r="D512" s="17"/>
      <c r="E512" s="550">
        <v>0</v>
      </c>
      <c r="F512" s="550">
        <v>0</v>
      </c>
      <c r="G512" s="18"/>
      <c r="H512" s="200"/>
      <c r="J512" s="163"/>
    </row>
    <row r="513" spans="1:10">
      <c r="A513" s="233" t="s">
        <v>334</v>
      </c>
      <c r="B513" s="61" t="s">
        <v>335</v>
      </c>
      <c r="C513" s="16" t="s">
        <v>58</v>
      </c>
      <c r="D513" s="17" t="s">
        <v>228</v>
      </c>
      <c r="E513" s="550">
        <v>0</v>
      </c>
      <c r="F513" s="550">
        <v>0</v>
      </c>
      <c r="G513" s="122"/>
      <c r="H513" s="204"/>
      <c r="J513" s="163"/>
    </row>
    <row r="514" spans="1:10">
      <c r="A514" s="233"/>
      <c r="B514" s="69"/>
      <c r="C514" s="16"/>
      <c r="D514" s="17"/>
      <c r="E514" s="550">
        <v>0</v>
      </c>
      <c r="F514" s="550">
        <v>0</v>
      </c>
      <c r="G514" s="18"/>
      <c r="H514" s="200"/>
      <c r="J514" s="163"/>
    </row>
    <row r="515" spans="1:10">
      <c r="A515" s="233" t="s">
        <v>336</v>
      </c>
      <c r="B515" s="61" t="s">
        <v>337</v>
      </c>
      <c r="C515" s="16" t="s">
        <v>58</v>
      </c>
      <c r="D515" s="17" t="s">
        <v>228</v>
      </c>
      <c r="E515" s="550">
        <v>0</v>
      </c>
      <c r="F515" s="550">
        <v>0</v>
      </c>
      <c r="G515" s="122"/>
      <c r="H515" s="204"/>
      <c r="J515" s="163"/>
    </row>
    <row r="516" spans="1:10">
      <c r="A516" s="233"/>
      <c r="B516" s="69"/>
      <c r="C516" s="16"/>
      <c r="D516" s="17"/>
      <c r="E516" s="550">
        <v>0</v>
      </c>
      <c r="F516" s="550">
        <v>0</v>
      </c>
      <c r="G516" s="18"/>
      <c r="H516" s="200"/>
      <c r="J516" s="163"/>
    </row>
    <row r="517" spans="1:10">
      <c r="A517" s="233" t="s">
        <v>164</v>
      </c>
      <c r="B517" s="121" t="s">
        <v>338</v>
      </c>
      <c r="C517" s="16"/>
      <c r="D517" s="17"/>
      <c r="E517" s="550">
        <v>0</v>
      </c>
      <c r="F517" s="550">
        <v>0</v>
      </c>
      <c r="G517" s="18"/>
      <c r="H517" s="200"/>
      <c r="J517" s="163"/>
    </row>
    <row r="518" spans="1:10">
      <c r="A518" s="211"/>
      <c r="B518" s="121"/>
      <c r="C518" s="16"/>
      <c r="D518" s="17"/>
      <c r="E518" s="550">
        <v>0</v>
      </c>
      <c r="F518" s="550">
        <v>0</v>
      </c>
      <c r="G518" s="18"/>
      <c r="H518" s="200"/>
      <c r="J518" s="163"/>
    </row>
    <row r="519" spans="1:10">
      <c r="A519" s="233" t="s">
        <v>339</v>
      </c>
      <c r="B519" s="61" t="s">
        <v>329</v>
      </c>
      <c r="C519" s="16" t="s">
        <v>58</v>
      </c>
      <c r="D519" s="17" t="s">
        <v>228</v>
      </c>
      <c r="E519" s="550">
        <v>0</v>
      </c>
      <c r="F519" s="550">
        <v>0</v>
      </c>
      <c r="G519" s="122"/>
      <c r="H519" s="204"/>
      <c r="J519" s="163"/>
    </row>
    <row r="520" spans="1:10">
      <c r="A520" s="233"/>
      <c r="B520" s="61"/>
      <c r="C520" s="16"/>
      <c r="D520" s="17"/>
      <c r="E520" s="550">
        <v>0</v>
      </c>
      <c r="F520" s="550">
        <v>0</v>
      </c>
      <c r="G520" s="18"/>
      <c r="H520" s="200"/>
      <c r="J520" s="163"/>
    </row>
    <row r="521" spans="1:10">
      <c r="A521" s="236" t="s">
        <v>340</v>
      </c>
      <c r="B521" s="61" t="s">
        <v>331</v>
      </c>
      <c r="C521" s="16" t="s">
        <v>58</v>
      </c>
      <c r="D521" s="17" t="s">
        <v>228</v>
      </c>
      <c r="E521" s="550">
        <v>0</v>
      </c>
      <c r="F521" s="550">
        <v>0</v>
      </c>
      <c r="G521" s="122"/>
      <c r="H521" s="204"/>
      <c r="J521" s="163"/>
    </row>
    <row r="522" spans="1:10">
      <c r="A522" s="233"/>
      <c r="B522" s="68"/>
      <c r="C522" s="16"/>
      <c r="D522" s="17"/>
      <c r="E522" s="550">
        <v>0</v>
      </c>
      <c r="F522" s="550">
        <v>0</v>
      </c>
      <c r="G522" s="18"/>
      <c r="H522" s="200"/>
      <c r="J522" s="163"/>
    </row>
    <row r="523" spans="1:10">
      <c r="A523" s="233" t="s">
        <v>341</v>
      </c>
      <c r="B523" s="61" t="s">
        <v>333</v>
      </c>
      <c r="C523" s="16" t="s">
        <v>58</v>
      </c>
      <c r="D523" s="17" t="s">
        <v>228</v>
      </c>
      <c r="E523" s="550">
        <v>0</v>
      </c>
      <c r="F523" s="550">
        <v>0</v>
      </c>
      <c r="G523" s="122"/>
      <c r="H523" s="204"/>
      <c r="J523" s="163"/>
    </row>
    <row r="524" spans="1:10">
      <c r="A524" s="233"/>
      <c r="B524" s="68"/>
      <c r="C524" s="16"/>
      <c r="D524" s="17"/>
      <c r="E524" s="550">
        <v>0</v>
      </c>
      <c r="F524" s="550">
        <v>0</v>
      </c>
      <c r="G524" s="18"/>
      <c r="H524" s="200"/>
      <c r="J524" s="163"/>
    </row>
    <row r="525" spans="1:10">
      <c r="A525" s="233" t="s">
        <v>342</v>
      </c>
      <c r="B525" s="61" t="s">
        <v>335</v>
      </c>
      <c r="C525" s="16" t="s">
        <v>58</v>
      </c>
      <c r="D525" s="17" t="s">
        <v>228</v>
      </c>
      <c r="E525" s="550">
        <v>0</v>
      </c>
      <c r="F525" s="550">
        <v>0</v>
      </c>
      <c r="G525" s="122"/>
      <c r="H525" s="204"/>
      <c r="J525" s="163"/>
    </row>
    <row r="526" spans="1:10">
      <c r="A526" s="233"/>
      <c r="B526" s="69"/>
      <c r="C526" s="16"/>
      <c r="D526" s="17"/>
      <c r="E526" s="550">
        <v>0</v>
      </c>
      <c r="F526" s="550">
        <v>0</v>
      </c>
      <c r="G526" s="18"/>
      <c r="H526" s="200"/>
      <c r="J526" s="163"/>
    </row>
    <row r="527" spans="1:10">
      <c r="A527" s="233" t="s">
        <v>343</v>
      </c>
      <c r="B527" s="61" t="s">
        <v>337</v>
      </c>
      <c r="C527" s="16" t="s">
        <v>58</v>
      </c>
      <c r="D527" s="17" t="s">
        <v>228</v>
      </c>
      <c r="E527" s="550">
        <v>0</v>
      </c>
      <c r="F527" s="550">
        <v>0</v>
      </c>
      <c r="G527" s="122"/>
      <c r="H527" s="204"/>
      <c r="J527" s="163"/>
    </row>
    <row r="528" spans="1:10">
      <c r="A528" s="233"/>
      <c r="B528" s="69"/>
      <c r="C528" s="16"/>
      <c r="D528" s="17"/>
      <c r="E528" s="550">
        <v>0</v>
      </c>
      <c r="F528" s="550">
        <v>0</v>
      </c>
      <c r="G528" s="18"/>
      <c r="H528" s="200"/>
      <c r="J528" s="163"/>
    </row>
    <row r="529" spans="1:10">
      <c r="A529" s="237">
        <v>9.1999999999999993</v>
      </c>
      <c r="B529" s="70" t="s">
        <v>344</v>
      </c>
      <c r="C529" s="16"/>
      <c r="D529" s="17"/>
      <c r="E529" s="550">
        <v>0</v>
      </c>
      <c r="F529" s="550">
        <v>0</v>
      </c>
      <c r="G529" s="18"/>
      <c r="H529" s="200"/>
      <c r="J529" s="163"/>
    </row>
    <row r="530" spans="1:10">
      <c r="A530" s="233"/>
      <c r="B530" s="120"/>
      <c r="C530" s="16"/>
      <c r="D530" s="17"/>
      <c r="E530" s="550">
        <v>0</v>
      </c>
      <c r="F530" s="550">
        <v>0</v>
      </c>
      <c r="G530" s="18"/>
      <c r="H530" s="200"/>
      <c r="J530" s="163"/>
    </row>
    <row r="531" spans="1:10">
      <c r="A531" s="237" t="s">
        <v>345</v>
      </c>
      <c r="B531" s="121" t="s">
        <v>346</v>
      </c>
      <c r="C531" s="16"/>
      <c r="D531" s="17"/>
      <c r="E531" s="550">
        <v>0</v>
      </c>
      <c r="F531" s="550">
        <v>0</v>
      </c>
      <c r="G531" s="18"/>
      <c r="H531" s="200"/>
      <c r="J531" s="163"/>
    </row>
    <row r="532" spans="1:10">
      <c r="A532" s="237"/>
      <c r="B532" s="121"/>
      <c r="C532" s="16"/>
      <c r="D532" s="17"/>
      <c r="E532" s="550">
        <v>0</v>
      </c>
      <c r="F532" s="550">
        <v>0</v>
      </c>
      <c r="G532" s="18"/>
      <c r="H532" s="200"/>
      <c r="J532" s="163"/>
    </row>
    <row r="533" spans="1:10">
      <c r="A533" s="233" t="s">
        <v>347</v>
      </c>
      <c r="B533" s="61" t="s">
        <v>348</v>
      </c>
      <c r="C533" s="62" t="s">
        <v>153</v>
      </c>
      <c r="D533" s="17" t="s">
        <v>228</v>
      </c>
      <c r="E533" s="550">
        <v>0</v>
      </c>
      <c r="F533" s="550">
        <v>0</v>
      </c>
      <c r="G533" s="122"/>
      <c r="H533" s="204"/>
      <c r="J533" s="163"/>
    </row>
    <row r="534" spans="1:10">
      <c r="A534" s="233"/>
      <c r="B534" s="61"/>
      <c r="C534" s="41"/>
      <c r="D534" s="17"/>
      <c r="E534" s="550">
        <v>0</v>
      </c>
      <c r="F534" s="550">
        <v>0</v>
      </c>
      <c r="G534" s="18"/>
      <c r="H534" s="200"/>
      <c r="J534" s="163"/>
    </row>
    <row r="535" spans="1:10">
      <c r="A535" s="233" t="s">
        <v>349</v>
      </c>
      <c r="B535" s="61" t="s">
        <v>350</v>
      </c>
      <c r="C535" s="62" t="s">
        <v>153</v>
      </c>
      <c r="D535" s="17" t="s">
        <v>228</v>
      </c>
      <c r="E535" s="550">
        <v>0</v>
      </c>
      <c r="F535" s="550">
        <v>0</v>
      </c>
      <c r="G535" s="122"/>
      <c r="H535" s="204"/>
      <c r="J535" s="163"/>
    </row>
    <row r="536" spans="1:10">
      <c r="A536" s="233"/>
      <c r="B536" s="61"/>
      <c r="C536" s="62"/>
      <c r="D536" s="17"/>
      <c r="E536" s="550">
        <v>0</v>
      </c>
      <c r="F536" s="550">
        <v>0</v>
      </c>
      <c r="G536" s="18"/>
      <c r="H536" s="200"/>
      <c r="J536" s="163"/>
    </row>
    <row r="537" spans="1:10">
      <c r="A537" s="233" t="s">
        <v>351</v>
      </c>
      <c r="B537" s="61" t="s">
        <v>352</v>
      </c>
      <c r="C537" s="62" t="s">
        <v>153</v>
      </c>
      <c r="D537" s="17" t="s">
        <v>228</v>
      </c>
      <c r="E537" s="550">
        <v>0</v>
      </c>
      <c r="F537" s="550">
        <v>0</v>
      </c>
      <c r="G537" s="122"/>
      <c r="H537" s="204"/>
      <c r="J537" s="163"/>
    </row>
    <row r="538" spans="1:10">
      <c r="A538" s="233"/>
      <c r="B538" s="61"/>
      <c r="C538" s="62"/>
      <c r="D538" s="17"/>
      <c r="E538" s="550">
        <v>0</v>
      </c>
      <c r="F538" s="550">
        <v>0</v>
      </c>
      <c r="G538" s="18"/>
      <c r="H538" s="200"/>
      <c r="J538" s="163"/>
    </row>
    <row r="539" spans="1:10">
      <c r="A539" s="233" t="s">
        <v>353</v>
      </c>
      <c r="B539" s="61" t="s">
        <v>354</v>
      </c>
      <c r="C539" s="62" t="s">
        <v>153</v>
      </c>
      <c r="D539" s="17" t="s">
        <v>228</v>
      </c>
      <c r="E539" s="550">
        <v>0</v>
      </c>
      <c r="F539" s="550">
        <v>0</v>
      </c>
      <c r="G539" s="122"/>
      <c r="H539" s="204"/>
      <c r="J539" s="163"/>
    </row>
    <row r="540" spans="1:10">
      <c r="A540" s="233"/>
      <c r="B540" s="61"/>
      <c r="C540" s="41"/>
      <c r="D540" s="17"/>
      <c r="E540" s="550">
        <v>0</v>
      </c>
      <c r="F540" s="550">
        <v>0</v>
      </c>
      <c r="G540" s="18"/>
      <c r="H540" s="200"/>
      <c r="J540" s="163"/>
    </row>
    <row r="541" spans="1:10">
      <c r="A541" s="233" t="s">
        <v>355</v>
      </c>
      <c r="B541" s="61" t="s">
        <v>356</v>
      </c>
      <c r="C541" s="62" t="s">
        <v>153</v>
      </c>
      <c r="D541" s="17" t="s">
        <v>228</v>
      </c>
      <c r="E541" s="550">
        <v>0</v>
      </c>
      <c r="F541" s="550">
        <v>0</v>
      </c>
      <c r="G541" s="122"/>
      <c r="H541" s="204"/>
      <c r="J541" s="163"/>
    </row>
    <row r="542" spans="1:10">
      <c r="A542" s="233"/>
      <c r="B542" s="61"/>
      <c r="C542" s="62"/>
      <c r="D542" s="17"/>
      <c r="E542" s="550">
        <v>0</v>
      </c>
      <c r="F542" s="550">
        <v>0</v>
      </c>
      <c r="G542" s="18"/>
      <c r="H542" s="200"/>
      <c r="J542" s="163"/>
    </row>
    <row r="543" spans="1:10">
      <c r="A543" s="233" t="s">
        <v>357</v>
      </c>
      <c r="B543" s="61" t="s">
        <v>358</v>
      </c>
      <c r="C543" s="62" t="s">
        <v>153</v>
      </c>
      <c r="D543" s="17" t="s">
        <v>228</v>
      </c>
      <c r="E543" s="550">
        <v>0</v>
      </c>
      <c r="F543" s="550">
        <v>0</v>
      </c>
      <c r="G543" s="122"/>
      <c r="H543" s="204"/>
      <c r="J543" s="163"/>
    </row>
    <row r="544" spans="1:10">
      <c r="A544" s="233"/>
      <c r="B544" s="61"/>
      <c r="C544" s="62"/>
      <c r="D544" s="17"/>
      <c r="E544" s="550">
        <v>0</v>
      </c>
      <c r="F544" s="550">
        <v>0</v>
      </c>
      <c r="G544" s="18"/>
      <c r="H544" s="200"/>
      <c r="J544" s="163"/>
    </row>
    <row r="545" spans="1:10">
      <c r="A545" s="237" t="s">
        <v>359</v>
      </c>
      <c r="B545" s="121" t="s">
        <v>360</v>
      </c>
      <c r="C545" s="16"/>
      <c r="D545" s="17"/>
      <c r="E545" s="550">
        <v>0</v>
      </c>
      <c r="F545" s="550">
        <v>0</v>
      </c>
      <c r="G545" s="18"/>
      <c r="H545" s="200"/>
      <c r="J545" s="163"/>
    </row>
    <row r="546" spans="1:10">
      <c r="A546" s="237"/>
      <c r="B546" s="121"/>
      <c r="C546" s="16"/>
      <c r="D546" s="17"/>
      <c r="E546" s="550">
        <v>0</v>
      </c>
      <c r="F546" s="550">
        <v>0</v>
      </c>
      <c r="G546" s="18"/>
      <c r="H546" s="200"/>
      <c r="J546" s="163"/>
    </row>
    <row r="547" spans="1:10">
      <c r="A547" s="233" t="s">
        <v>361</v>
      </c>
      <c r="B547" s="61" t="s">
        <v>348</v>
      </c>
      <c r="C547" s="62" t="s">
        <v>153</v>
      </c>
      <c r="D547" s="17" t="s">
        <v>228</v>
      </c>
      <c r="E547" s="550">
        <v>0</v>
      </c>
      <c r="F547" s="550">
        <v>0</v>
      </c>
      <c r="G547" s="122"/>
      <c r="H547" s="204"/>
      <c r="J547" s="163"/>
    </row>
    <row r="548" spans="1:10">
      <c r="A548" s="233"/>
      <c r="B548" s="61"/>
      <c r="C548" s="41"/>
      <c r="D548" s="17"/>
      <c r="E548" s="550">
        <v>0</v>
      </c>
      <c r="F548" s="550">
        <v>0</v>
      </c>
      <c r="G548" s="18"/>
      <c r="H548" s="200"/>
      <c r="J548" s="163"/>
    </row>
    <row r="549" spans="1:10">
      <c r="A549" s="236" t="s">
        <v>362</v>
      </c>
      <c r="B549" s="61" t="s">
        <v>350</v>
      </c>
      <c r="C549" s="62" t="s">
        <v>153</v>
      </c>
      <c r="D549" s="17" t="s">
        <v>228</v>
      </c>
      <c r="E549" s="550">
        <v>0</v>
      </c>
      <c r="F549" s="550">
        <v>0</v>
      </c>
      <c r="G549" s="122"/>
      <c r="H549" s="204"/>
      <c r="J549" s="163"/>
    </row>
    <row r="550" spans="1:10">
      <c r="A550" s="236"/>
      <c r="B550" s="61"/>
      <c r="C550" s="62"/>
      <c r="D550" s="17"/>
      <c r="E550" s="550">
        <v>0</v>
      </c>
      <c r="F550" s="550">
        <v>0</v>
      </c>
      <c r="G550" s="18"/>
      <c r="H550" s="200"/>
      <c r="J550" s="163"/>
    </row>
    <row r="551" spans="1:10">
      <c r="A551" s="236" t="s">
        <v>363</v>
      </c>
      <c r="B551" s="61" t="s">
        <v>352</v>
      </c>
      <c r="C551" s="62" t="s">
        <v>153</v>
      </c>
      <c r="D551" s="17" t="s">
        <v>228</v>
      </c>
      <c r="E551" s="550">
        <v>0</v>
      </c>
      <c r="F551" s="550">
        <v>0</v>
      </c>
      <c r="G551" s="122"/>
      <c r="H551" s="204"/>
      <c r="J551" s="163"/>
    </row>
    <row r="552" spans="1:10">
      <c r="A552" s="236"/>
      <c r="B552" s="61"/>
      <c r="C552" s="62"/>
      <c r="D552" s="17"/>
      <c r="E552" s="550">
        <v>0</v>
      </c>
      <c r="F552" s="550">
        <v>0</v>
      </c>
      <c r="G552" s="18"/>
      <c r="H552" s="200"/>
      <c r="J552" s="163"/>
    </row>
    <row r="553" spans="1:10">
      <c r="A553" s="236" t="s">
        <v>364</v>
      </c>
      <c r="B553" s="61" t="s">
        <v>354</v>
      </c>
      <c r="C553" s="62" t="s">
        <v>153</v>
      </c>
      <c r="D553" s="17" t="s">
        <v>228</v>
      </c>
      <c r="E553" s="550">
        <v>0</v>
      </c>
      <c r="F553" s="550">
        <v>0</v>
      </c>
      <c r="G553" s="122"/>
      <c r="H553" s="204"/>
      <c r="J553" s="163"/>
    </row>
    <row r="554" spans="1:10">
      <c r="A554" s="236"/>
      <c r="B554" s="61"/>
      <c r="C554" s="62"/>
      <c r="D554" s="17"/>
      <c r="E554" s="550">
        <v>0</v>
      </c>
      <c r="F554" s="550">
        <v>0</v>
      </c>
      <c r="G554" s="18"/>
      <c r="H554" s="200"/>
      <c r="J554" s="163"/>
    </row>
    <row r="555" spans="1:10">
      <c r="A555" s="236" t="s">
        <v>365</v>
      </c>
      <c r="B555" s="61" t="s">
        <v>356</v>
      </c>
      <c r="C555" s="62" t="s">
        <v>153</v>
      </c>
      <c r="D555" s="17" t="s">
        <v>228</v>
      </c>
      <c r="E555" s="550">
        <v>0</v>
      </c>
      <c r="F555" s="550">
        <v>0</v>
      </c>
      <c r="G555" s="122"/>
      <c r="H555" s="204"/>
      <c r="J555" s="163"/>
    </row>
    <row r="556" spans="1:10">
      <c r="A556" s="236"/>
      <c r="B556" s="61"/>
      <c r="C556" s="62"/>
      <c r="D556" s="17"/>
      <c r="E556" s="550">
        <v>0</v>
      </c>
      <c r="F556" s="550">
        <v>0</v>
      </c>
      <c r="G556" s="18"/>
      <c r="H556" s="200"/>
      <c r="J556" s="163"/>
    </row>
    <row r="557" spans="1:10">
      <c r="A557" s="236" t="s">
        <v>366</v>
      </c>
      <c r="B557" s="61" t="s">
        <v>358</v>
      </c>
      <c r="C557" s="62" t="s">
        <v>153</v>
      </c>
      <c r="D557" s="17" t="s">
        <v>228</v>
      </c>
      <c r="E557" s="550">
        <v>0</v>
      </c>
      <c r="F557" s="550">
        <v>0</v>
      </c>
      <c r="G557" s="122"/>
      <c r="H557" s="204"/>
      <c r="J557" s="163"/>
    </row>
    <row r="558" spans="1:10">
      <c r="A558" s="236"/>
      <c r="B558" s="61"/>
      <c r="C558" s="62"/>
      <c r="D558" s="17"/>
      <c r="E558" s="550">
        <v>0</v>
      </c>
      <c r="F558" s="550">
        <v>0</v>
      </c>
      <c r="G558" s="18"/>
      <c r="H558" s="200"/>
      <c r="J558" s="163"/>
    </row>
    <row r="559" spans="1:10">
      <c r="A559" s="238">
        <v>9.3000000000000007</v>
      </c>
      <c r="B559" s="70" t="s">
        <v>165</v>
      </c>
      <c r="C559" s="62"/>
      <c r="D559" s="17"/>
      <c r="E559" s="550">
        <v>0</v>
      </c>
      <c r="F559" s="550">
        <v>0</v>
      </c>
      <c r="G559" s="18"/>
      <c r="H559" s="200"/>
      <c r="J559" s="163"/>
    </row>
    <row r="560" spans="1:10" ht="145">
      <c r="A560" s="236"/>
      <c r="B560" s="71" t="s">
        <v>166</v>
      </c>
      <c r="C560" s="62"/>
      <c r="D560" s="17"/>
      <c r="E560" s="550">
        <v>0</v>
      </c>
      <c r="F560" s="550">
        <v>0</v>
      </c>
      <c r="G560" s="18"/>
      <c r="H560" s="200"/>
      <c r="J560" s="163"/>
    </row>
    <row r="561" spans="1:10">
      <c r="A561" s="236"/>
      <c r="B561" s="61"/>
      <c r="C561" s="62"/>
      <c r="D561" s="17"/>
      <c r="E561" s="550">
        <v>0</v>
      </c>
      <c r="F561" s="550">
        <v>0</v>
      </c>
      <c r="G561" s="18"/>
      <c r="H561" s="200"/>
      <c r="J561" s="163"/>
    </row>
    <row r="562" spans="1:10">
      <c r="A562" s="236" t="s">
        <v>367</v>
      </c>
      <c r="B562" s="61" t="s">
        <v>155</v>
      </c>
      <c r="C562" s="62" t="s">
        <v>153</v>
      </c>
      <c r="D562" s="17" t="s">
        <v>228</v>
      </c>
      <c r="E562" s="550">
        <v>0</v>
      </c>
      <c r="F562" s="550">
        <v>0</v>
      </c>
      <c r="G562" s="122"/>
      <c r="H562" s="204"/>
      <c r="J562" s="163"/>
    </row>
    <row r="563" spans="1:10">
      <c r="A563" s="236"/>
      <c r="B563" s="61"/>
      <c r="C563" s="62"/>
      <c r="D563" s="17"/>
      <c r="E563" s="550">
        <v>0</v>
      </c>
      <c r="F563" s="550">
        <v>0</v>
      </c>
      <c r="G563" s="18"/>
      <c r="H563" s="200"/>
      <c r="J563" s="163"/>
    </row>
    <row r="564" spans="1:10">
      <c r="A564" s="236" t="s">
        <v>368</v>
      </c>
      <c r="B564" s="61" t="s">
        <v>219</v>
      </c>
      <c r="C564" s="62" t="s">
        <v>153</v>
      </c>
      <c r="D564" s="17" t="s">
        <v>228</v>
      </c>
      <c r="E564" s="550">
        <v>0</v>
      </c>
      <c r="F564" s="550">
        <v>0</v>
      </c>
      <c r="G564" s="122"/>
      <c r="H564" s="204"/>
      <c r="J564" s="163"/>
    </row>
    <row r="565" spans="1:10">
      <c r="A565" s="236"/>
      <c r="B565" s="61"/>
      <c r="C565" s="62"/>
      <c r="D565" s="17"/>
      <c r="E565" s="550">
        <v>0</v>
      </c>
      <c r="F565" s="550">
        <v>0</v>
      </c>
      <c r="G565" s="18"/>
      <c r="H565" s="200"/>
      <c r="J565" s="163"/>
    </row>
    <row r="566" spans="1:10">
      <c r="A566" s="236" t="s">
        <v>369</v>
      </c>
      <c r="B566" s="61" t="s">
        <v>220</v>
      </c>
      <c r="C566" s="62" t="s">
        <v>153</v>
      </c>
      <c r="D566" s="17" t="s">
        <v>228</v>
      </c>
      <c r="E566" s="550">
        <v>0</v>
      </c>
      <c r="F566" s="550">
        <v>0</v>
      </c>
      <c r="G566" s="122"/>
      <c r="H566" s="204"/>
      <c r="J566" s="163"/>
    </row>
    <row r="567" spans="1:10">
      <c r="A567" s="236"/>
      <c r="B567" s="61"/>
      <c r="C567" s="62"/>
      <c r="D567" s="17"/>
      <c r="E567" s="550">
        <v>0</v>
      </c>
      <c r="F567" s="550">
        <v>0</v>
      </c>
      <c r="G567" s="18"/>
      <c r="H567" s="200"/>
      <c r="J567" s="163"/>
    </row>
    <row r="568" spans="1:10">
      <c r="A568" s="236" t="s">
        <v>370</v>
      </c>
      <c r="B568" s="61" t="s">
        <v>156</v>
      </c>
      <c r="C568" s="62" t="s">
        <v>153</v>
      </c>
      <c r="D568" s="17">
        <v>60</v>
      </c>
      <c r="E568" s="550">
        <v>439</v>
      </c>
      <c r="F568" s="550">
        <v>244</v>
      </c>
      <c r="G568" s="122">
        <f t="shared" ref="G568" si="110">E568*D568</f>
        <v>26340</v>
      </c>
      <c r="H568" s="204">
        <f t="shared" ref="H568" si="111">F568*D568</f>
        <v>14640</v>
      </c>
      <c r="J568" s="163"/>
    </row>
    <row r="569" spans="1:10">
      <c r="A569" s="236"/>
      <c r="B569" s="61"/>
      <c r="C569" s="62"/>
      <c r="D569" s="17"/>
      <c r="E569" s="550">
        <v>0</v>
      </c>
      <c r="F569" s="550">
        <v>0</v>
      </c>
      <c r="G569" s="18"/>
      <c r="H569" s="200"/>
      <c r="J569" s="163"/>
    </row>
    <row r="570" spans="1:10">
      <c r="A570" s="236" t="s">
        <v>371</v>
      </c>
      <c r="B570" s="61" t="s">
        <v>218</v>
      </c>
      <c r="C570" s="62" t="s">
        <v>153</v>
      </c>
      <c r="D570" s="17" t="s">
        <v>228</v>
      </c>
      <c r="E570" s="550">
        <v>0</v>
      </c>
      <c r="F570" s="550">
        <v>0</v>
      </c>
      <c r="G570" s="122"/>
      <c r="H570" s="204"/>
      <c r="J570" s="163"/>
    </row>
    <row r="571" spans="1:10">
      <c r="A571" s="236"/>
      <c r="B571" s="61"/>
      <c r="C571" s="62"/>
      <c r="D571" s="17"/>
      <c r="E571" s="550">
        <v>0</v>
      </c>
      <c r="F571" s="550">
        <v>0</v>
      </c>
      <c r="G571" s="18"/>
      <c r="H571" s="200"/>
      <c r="J571" s="163"/>
    </row>
    <row r="572" spans="1:10" ht="29">
      <c r="A572" s="238">
        <v>9.4</v>
      </c>
      <c r="B572" s="23" t="s">
        <v>167</v>
      </c>
      <c r="C572" s="41"/>
      <c r="D572" s="17"/>
      <c r="E572" s="550">
        <v>0</v>
      </c>
      <c r="F572" s="550">
        <v>0</v>
      </c>
      <c r="G572" s="18"/>
      <c r="H572" s="200"/>
      <c r="J572" s="163"/>
    </row>
    <row r="573" spans="1:10">
      <c r="A573" s="237"/>
      <c r="B573" s="23"/>
      <c r="C573" s="41"/>
      <c r="D573" s="17"/>
      <c r="E573" s="550">
        <v>0</v>
      </c>
      <c r="F573" s="550">
        <v>0</v>
      </c>
      <c r="G573" s="18"/>
      <c r="H573" s="200"/>
      <c r="J573" s="163"/>
    </row>
    <row r="574" spans="1:10">
      <c r="A574" s="233" t="s">
        <v>372</v>
      </c>
      <c r="B574" s="15" t="s">
        <v>168</v>
      </c>
      <c r="C574" s="62" t="s">
        <v>153</v>
      </c>
      <c r="D574" s="17" t="s">
        <v>228</v>
      </c>
      <c r="E574" s="550">
        <v>0</v>
      </c>
      <c r="F574" s="550">
        <v>0</v>
      </c>
      <c r="G574" s="122"/>
      <c r="H574" s="204"/>
      <c r="J574" s="163"/>
    </row>
    <row r="575" spans="1:10">
      <c r="A575" s="237"/>
      <c r="B575" s="23"/>
      <c r="C575" s="41"/>
      <c r="D575" s="17"/>
      <c r="E575" s="550">
        <v>0</v>
      </c>
      <c r="F575" s="550">
        <v>0</v>
      </c>
      <c r="G575" s="18"/>
      <c r="H575" s="200"/>
      <c r="J575" s="163"/>
    </row>
    <row r="576" spans="1:10">
      <c r="A576" s="233" t="s">
        <v>373</v>
      </c>
      <c r="B576" s="15" t="s">
        <v>169</v>
      </c>
      <c r="C576" s="62" t="s">
        <v>153</v>
      </c>
      <c r="D576" s="190">
        <f>750+3200</f>
        <v>3950</v>
      </c>
      <c r="E576" s="550">
        <v>49</v>
      </c>
      <c r="F576" s="550">
        <v>19</v>
      </c>
      <c r="G576" s="122">
        <f t="shared" ref="G576" si="112">E576*D576</f>
        <v>193550</v>
      </c>
      <c r="H576" s="204">
        <f t="shared" ref="H576" si="113">F576*D576</f>
        <v>75050</v>
      </c>
      <c r="J576" s="163"/>
    </row>
    <row r="577" spans="1:32">
      <c r="A577" s="233"/>
      <c r="B577" s="15"/>
      <c r="C577" s="41"/>
      <c r="D577" s="191"/>
      <c r="E577" s="550">
        <v>0</v>
      </c>
      <c r="F577" s="550">
        <v>0</v>
      </c>
      <c r="G577" s="18"/>
      <c r="H577" s="200"/>
      <c r="J577" s="163"/>
    </row>
    <row r="578" spans="1:32">
      <c r="A578" s="233" t="s">
        <v>374</v>
      </c>
      <c r="B578" s="15" t="s">
        <v>581</v>
      </c>
      <c r="C578" s="62" t="s">
        <v>153</v>
      </c>
      <c r="D578" s="190">
        <f>450+2750</f>
        <v>3200</v>
      </c>
      <c r="E578" s="550">
        <v>59</v>
      </c>
      <c r="F578" s="550">
        <v>19</v>
      </c>
      <c r="G578" s="122">
        <f t="shared" ref="G578" si="114">E578*D578</f>
        <v>188800</v>
      </c>
      <c r="H578" s="204">
        <f t="shared" ref="H578" si="115">F578*D578</f>
        <v>60800</v>
      </c>
      <c r="J578" s="163"/>
    </row>
    <row r="579" spans="1:32">
      <c r="A579" s="233"/>
      <c r="B579" s="15"/>
      <c r="C579" s="41"/>
      <c r="D579" s="191"/>
      <c r="E579" s="550">
        <v>0</v>
      </c>
      <c r="F579" s="550">
        <v>0</v>
      </c>
      <c r="G579" s="18"/>
      <c r="H579" s="200"/>
      <c r="J579" s="163"/>
    </row>
    <row r="580" spans="1:32">
      <c r="A580" s="233" t="s">
        <v>375</v>
      </c>
      <c r="B580" s="15" t="s">
        <v>170</v>
      </c>
      <c r="C580" s="62" t="s">
        <v>153</v>
      </c>
      <c r="D580" s="190">
        <v>200</v>
      </c>
      <c r="E580" s="550">
        <v>49</v>
      </c>
      <c r="F580" s="550">
        <v>19</v>
      </c>
      <c r="G580" s="122">
        <f t="shared" ref="G580" si="116">E580*D580</f>
        <v>9800</v>
      </c>
      <c r="H580" s="204">
        <f t="shared" ref="H580" si="117">F580*D580</f>
        <v>3800</v>
      </c>
      <c r="J580" s="163"/>
    </row>
    <row r="581" spans="1:32">
      <c r="A581" s="233"/>
      <c r="B581" s="68"/>
      <c r="C581" s="62"/>
      <c r="D581" s="191"/>
      <c r="E581" s="550">
        <v>0</v>
      </c>
      <c r="F581" s="550">
        <v>0</v>
      </c>
      <c r="G581" s="18"/>
      <c r="H581" s="200"/>
      <c r="J581" s="163"/>
    </row>
    <row r="582" spans="1:32">
      <c r="A582" s="233" t="s">
        <v>376</v>
      </c>
      <c r="B582" s="15" t="s">
        <v>171</v>
      </c>
      <c r="C582" s="62" t="s">
        <v>153</v>
      </c>
      <c r="D582" s="190">
        <v>500</v>
      </c>
      <c r="E582" s="550">
        <v>44</v>
      </c>
      <c r="F582" s="550">
        <v>19</v>
      </c>
      <c r="G582" s="122">
        <f t="shared" ref="G582" si="118">E582*D582</f>
        <v>22000</v>
      </c>
      <c r="H582" s="204">
        <f t="shared" ref="H582" si="119">F582*D582</f>
        <v>9500</v>
      </c>
      <c r="J582" s="163"/>
    </row>
    <row r="583" spans="1:32">
      <c r="A583" s="234"/>
      <c r="B583" s="72"/>
      <c r="C583" s="64"/>
      <c r="D583" s="31"/>
      <c r="E583" s="551">
        <v>0</v>
      </c>
      <c r="F583" s="551">
        <v>0</v>
      </c>
      <c r="G583" s="18"/>
      <c r="H583" s="200"/>
      <c r="J583" s="163"/>
    </row>
    <row r="584" spans="1:32" ht="29">
      <c r="A584" s="238">
        <v>9.5</v>
      </c>
      <c r="B584" s="23" t="s">
        <v>534</v>
      </c>
      <c r="C584" s="41"/>
      <c r="D584" s="17"/>
      <c r="E584" s="550">
        <v>0</v>
      </c>
      <c r="F584" s="550">
        <v>0</v>
      </c>
      <c r="G584" s="18"/>
      <c r="H584" s="200"/>
      <c r="J584" s="163"/>
    </row>
    <row r="585" spans="1:32">
      <c r="A585" s="237"/>
      <c r="B585" s="23"/>
      <c r="C585" s="41"/>
      <c r="D585" s="17"/>
      <c r="E585" s="550">
        <v>0</v>
      </c>
      <c r="F585" s="550">
        <v>0</v>
      </c>
      <c r="G585" s="18"/>
      <c r="H585" s="200"/>
      <c r="J585" s="163"/>
    </row>
    <row r="586" spans="1:32">
      <c r="A586" s="233" t="s">
        <v>471</v>
      </c>
      <c r="B586" s="15" t="s">
        <v>168</v>
      </c>
      <c r="C586" s="62" t="s">
        <v>153</v>
      </c>
      <c r="D586" s="17" t="s">
        <v>228</v>
      </c>
      <c r="E586" s="550">
        <v>0</v>
      </c>
      <c r="F586" s="550">
        <v>0</v>
      </c>
      <c r="G586" s="122"/>
      <c r="H586" s="204"/>
      <c r="J586" s="163"/>
    </row>
    <row r="587" spans="1:32">
      <c r="A587" s="237"/>
      <c r="B587" s="23"/>
      <c r="C587" s="41"/>
      <c r="D587" s="17"/>
      <c r="E587" s="550">
        <v>0</v>
      </c>
      <c r="F587" s="550">
        <v>0</v>
      </c>
      <c r="G587" s="18"/>
      <c r="H587" s="200"/>
      <c r="J587" s="163"/>
    </row>
    <row r="588" spans="1:32">
      <c r="A588" s="233" t="s">
        <v>466</v>
      </c>
      <c r="B588" s="15" t="s">
        <v>169</v>
      </c>
      <c r="C588" s="62" t="s">
        <v>153</v>
      </c>
      <c r="D588" s="190" t="s">
        <v>627</v>
      </c>
      <c r="E588" s="550">
        <v>0</v>
      </c>
      <c r="F588" s="550">
        <v>0</v>
      </c>
      <c r="G588" s="122"/>
      <c r="H588" s="204"/>
      <c r="J588" s="163"/>
    </row>
    <row r="589" spans="1:32">
      <c r="A589" s="233"/>
      <c r="B589" s="15"/>
      <c r="C589" s="41"/>
      <c r="D589" s="191"/>
      <c r="E589" s="550">
        <v>0</v>
      </c>
      <c r="F589" s="550">
        <v>0</v>
      </c>
      <c r="G589" s="18"/>
      <c r="H589" s="200"/>
      <c r="J589" s="163"/>
    </row>
    <row r="590" spans="1:32" s="182" customFormat="1">
      <c r="A590" s="233" t="s">
        <v>467</v>
      </c>
      <c r="B590" s="15" t="s">
        <v>581</v>
      </c>
      <c r="C590" s="62" t="s">
        <v>153</v>
      </c>
      <c r="D590" s="190" t="s">
        <v>228</v>
      </c>
      <c r="E590" s="550">
        <v>0</v>
      </c>
      <c r="F590" s="550">
        <v>0</v>
      </c>
      <c r="G590" s="122"/>
      <c r="H590" s="204"/>
      <c r="I590" s="154"/>
      <c r="J590" s="163"/>
      <c r="K590" s="154"/>
      <c r="L590" s="154"/>
      <c r="M590" s="154"/>
      <c r="N590" s="154"/>
      <c r="O590" s="154"/>
      <c r="P590" s="154"/>
      <c r="Q590" s="154"/>
      <c r="R590" s="154"/>
      <c r="S590" s="154"/>
      <c r="T590" s="154"/>
      <c r="U590" s="154"/>
      <c r="V590" s="154"/>
      <c r="W590" s="154"/>
      <c r="X590" s="154"/>
      <c r="Y590" s="154"/>
      <c r="Z590" s="154"/>
      <c r="AA590" s="154"/>
      <c r="AB590" s="154"/>
      <c r="AC590" s="154"/>
      <c r="AD590" s="154"/>
      <c r="AE590" s="154"/>
      <c r="AF590" s="154"/>
    </row>
    <row r="591" spans="1:32">
      <c r="A591" s="233"/>
      <c r="B591" s="15"/>
      <c r="C591" s="41"/>
      <c r="D591" s="191"/>
      <c r="E591" s="550">
        <v>0</v>
      </c>
      <c r="F591" s="550">
        <v>0</v>
      </c>
      <c r="G591" s="18"/>
      <c r="H591" s="200"/>
      <c r="J591" s="163"/>
    </row>
    <row r="592" spans="1:32">
      <c r="A592" s="233" t="s">
        <v>468</v>
      </c>
      <c r="B592" s="15" t="s">
        <v>453</v>
      </c>
      <c r="C592" s="62" t="s">
        <v>153</v>
      </c>
      <c r="D592" s="191" t="s">
        <v>228</v>
      </c>
      <c r="E592" s="550">
        <v>0</v>
      </c>
      <c r="F592" s="550">
        <v>0</v>
      </c>
      <c r="G592" s="122"/>
      <c r="H592" s="204"/>
      <c r="J592" s="163"/>
    </row>
    <row r="593" spans="1:10">
      <c r="A593" s="233"/>
      <c r="B593" s="68"/>
      <c r="C593" s="62"/>
      <c r="D593" s="191"/>
      <c r="E593" s="550">
        <v>0</v>
      </c>
      <c r="F593" s="550">
        <v>0</v>
      </c>
      <c r="G593" s="18"/>
      <c r="H593" s="200"/>
      <c r="J593" s="163"/>
    </row>
    <row r="594" spans="1:10">
      <c r="A594" s="233" t="s">
        <v>469</v>
      </c>
      <c r="B594" s="15" t="s">
        <v>170</v>
      </c>
      <c r="C594" s="62" t="s">
        <v>153</v>
      </c>
      <c r="D594" s="190" t="s">
        <v>627</v>
      </c>
      <c r="E594" s="550">
        <v>0</v>
      </c>
      <c r="F594" s="550">
        <v>0</v>
      </c>
      <c r="G594" s="122"/>
      <c r="H594" s="204"/>
      <c r="J594" s="163"/>
    </row>
    <row r="595" spans="1:10">
      <c r="A595" s="233"/>
      <c r="B595" s="68"/>
      <c r="C595" s="62"/>
      <c r="D595" s="191"/>
      <c r="E595" s="550">
        <v>0</v>
      </c>
      <c r="F595" s="550">
        <v>0</v>
      </c>
      <c r="G595" s="18"/>
      <c r="H595" s="200"/>
      <c r="J595" s="163"/>
    </row>
    <row r="596" spans="1:10">
      <c r="A596" s="233" t="s">
        <v>470</v>
      </c>
      <c r="B596" s="15" t="s">
        <v>171</v>
      </c>
      <c r="C596" s="62" t="s">
        <v>153</v>
      </c>
      <c r="D596" s="190" t="s">
        <v>228</v>
      </c>
      <c r="E596" s="550">
        <v>0</v>
      </c>
      <c r="F596" s="550">
        <v>0</v>
      </c>
      <c r="G596" s="122"/>
      <c r="H596" s="204"/>
      <c r="J596" s="163"/>
    </row>
    <row r="597" spans="1:10">
      <c r="A597" s="234"/>
      <c r="B597" s="72"/>
      <c r="C597" s="64"/>
      <c r="D597" s="31"/>
      <c r="E597" s="551">
        <v>0</v>
      </c>
      <c r="F597" s="551">
        <v>0</v>
      </c>
      <c r="G597" s="18"/>
      <c r="H597" s="200"/>
      <c r="J597" s="163"/>
    </row>
    <row r="598" spans="1:10">
      <c r="A598" s="230"/>
      <c r="B598" s="94" t="s">
        <v>172</v>
      </c>
      <c r="C598" s="111"/>
      <c r="D598" s="107"/>
      <c r="E598" s="552">
        <v>0</v>
      </c>
      <c r="F598" s="552">
        <v>0</v>
      </c>
      <c r="G598" s="102">
        <f>SUM(G568:G597)</f>
        <v>440490</v>
      </c>
      <c r="H598" s="207">
        <f>SUM(H568:H597)</f>
        <v>163790</v>
      </c>
      <c r="J598" s="163"/>
    </row>
    <row r="599" spans="1:10">
      <c r="A599" s="227"/>
      <c r="B599" s="73"/>
      <c r="C599" s="74"/>
      <c r="D599" s="34"/>
      <c r="E599" s="553">
        <v>0</v>
      </c>
      <c r="F599" s="553">
        <v>0</v>
      </c>
      <c r="G599" s="35"/>
      <c r="H599" s="209"/>
      <c r="J599" s="163"/>
    </row>
    <row r="600" spans="1:10">
      <c r="A600" s="231">
        <v>10</v>
      </c>
      <c r="B600" s="105" t="s">
        <v>13</v>
      </c>
      <c r="C600" s="108"/>
      <c r="D600" s="107"/>
      <c r="E600" s="554">
        <v>0</v>
      </c>
      <c r="F600" s="554">
        <v>0</v>
      </c>
      <c r="G600" s="97"/>
      <c r="H600" s="196"/>
      <c r="J600" s="163"/>
    </row>
    <row r="601" spans="1:10">
      <c r="A601" s="210"/>
      <c r="B601" s="75"/>
      <c r="C601" s="52"/>
      <c r="D601" s="13"/>
      <c r="E601" s="555">
        <v>0</v>
      </c>
      <c r="F601" s="555">
        <v>0</v>
      </c>
      <c r="G601" s="18"/>
      <c r="H601" s="200"/>
      <c r="J601" s="163"/>
    </row>
    <row r="602" spans="1:10" ht="43.5">
      <c r="A602" s="233" t="s">
        <v>173</v>
      </c>
      <c r="B602" s="59" t="s">
        <v>174</v>
      </c>
      <c r="C602" s="41" t="s">
        <v>58</v>
      </c>
      <c r="D602" s="17" t="s">
        <v>228</v>
      </c>
      <c r="E602" s="550">
        <v>0</v>
      </c>
      <c r="F602" s="550">
        <v>0</v>
      </c>
      <c r="G602" s="122"/>
      <c r="H602" s="204"/>
      <c r="J602" s="163"/>
    </row>
    <row r="603" spans="1:10">
      <c r="A603" s="199"/>
      <c r="B603" s="15"/>
      <c r="C603" s="41"/>
      <c r="D603" s="17"/>
      <c r="E603" s="550">
        <v>0</v>
      </c>
      <c r="F603" s="550">
        <v>0</v>
      </c>
      <c r="G603" s="18"/>
      <c r="H603" s="200"/>
      <c r="J603" s="163"/>
    </row>
    <row r="604" spans="1:10" ht="58">
      <c r="A604" s="199" t="s">
        <v>175</v>
      </c>
      <c r="B604" s="38" t="s">
        <v>176</v>
      </c>
      <c r="C604" s="41" t="s">
        <v>58</v>
      </c>
      <c r="D604" s="17">
        <v>6</v>
      </c>
      <c r="E604" s="550">
        <v>10240</v>
      </c>
      <c r="F604" s="550">
        <v>2438</v>
      </c>
      <c r="G604" s="122">
        <f t="shared" ref="G604" si="120">E604*D604</f>
        <v>61440</v>
      </c>
      <c r="H604" s="204">
        <f t="shared" ref="H604" si="121">F604*D604</f>
        <v>14628</v>
      </c>
      <c r="J604" s="163"/>
    </row>
    <row r="605" spans="1:10">
      <c r="A605" s="199"/>
      <c r="B605" s="15"/>
      <c r="C605" s="41"/>
      <c r="D605" s="17"/>
      <c r="E605" s="550">
        <v>0</v>
      </c>
      <c r="F605" s="550">
        <v>0</v>
      </c>
      <c r="G605" s="18"/>
      <c r="H605" s="200"/>
      <c r="J605" s="163"/>
    </row>
    <row r="606" spans="1:10" ht="43.5">
      <c r="A606" s="199" t="s">
        <v>177</v>
      </c>
      <c r="B606" s="15" t="s">
        <v>535</v>
      </c>
      <c r="C606" s="41" t="s">
        <v>58</v>
      </c>
      <c r="D606" s="17" t="s">
        <v>228</v>
      </c>
      <c r="E606" s="550">
        <v>0</v>
      </c>
      <c r="F606" s="550">
        <v>0</v>
      </c>
      <c r="G606" s="122"/>
      <c r="H606" s="204"/>
      <c r="J606" s="163"/>
    </row>
    <row r="607" spans="1:10">
      <c r="A607" s="199"/>
      <c r="B607" s="15"/>
      <c r="C607" s="41"/>
      <c r="D607" s="17"/>
      <c r="E607" s="550">
        <v>0</v>
      </c>
      <c r="F607" s="550">
        <v>0</v>
      </c>
      <c r="G607" s="18"/>
      <c r="H607" s="200"/>
      <c r="J607" s="163"/>
    </row>
    <row r="608" spans="1:10">
      <c r="A608" s="199" t="s">
        <v>261</v>
      </c>
      <c r="B608" s="15" t="s">
        <v>262</v>
      </c>
      <c r="C608" s="41" t="s">
        <v>58</v>
      </c>
      <c r="D608" s="17" t="s">
        <v>228</v>
      </c>
      <c r="E608" s="550">
        <v>0</v>
      </c>
      <c r="F608" s="550">
        <v>0</v>
      </c>
      <c r="G608" s="122"/>
      <c r="H608" s="204"/>
      <c r="J608" s="163"/>
    </row>
    <row r="609" spans="1:10">
      <c r="A609" s="199"/>
      <c r="B609" s="15"/>
      <c r="C609" s="41"/>
      <c r="D609" s="17"/>
      <c r="E609" s="550">
        <v>0</v>
      </c>
      <c r="F609" s="550">
        <v>0</v>
      </c>
      <c r="G609" s="18"/>
      <c r="H609" s="200"/>
      <c r="J609" s="163"/>
    </row>
    <row r="610" spans="1:10">
      <c r="A610" s="233">
        <v>10.199999999999999</v>
      </c>
      <c r="B610" s="76" t="s">
        <v>178</v>
      </c>
      <c r="C610" s="41"/>
      <c r="D610" s="17"/>
      <c r="E610" s="550">
        <v>0</v>
      </c>
      <c r="F610" s="550">
        <v>0</v>
      </c>
      <c r="G610" s="18"/>
      <c r="H610" s="200"/>
      <c r="J610" s="163"/>
    </row>
    <row r="611" spans="1:10" ht="43.5">
      <c r="A611" s="199"/>
      <c r="B611" s="23" t="s">
        <v>179</v>
      </c>
      <c r="C611" s="41"/>
      <c r="D611" s="17"/>
      <c r="E611" s="550">
        <v>0</v>
      </c>
      <c r="F611" s="550">
        <v>0</v>
      </c>
      <c r="G611" s="18"/>
      <c r="H611" s="200"/>
      <c r="J611" s="163"/>
    </row>
    <row r="612" spans="1:10">
      <c r="A612" s="199"/>
      <c r="B612" s="77"/>
      <c r="C612" s="41"/>
      <c r="D612" s="17"/>
      <c r="E612" s="550">
        <v>0</v>
      </c>
      <c r="F612" s="550">
        <v>0</v>
      </c>
      <c r="G612" s="18"/>
      <c r="H612" s="200"/>
      <c r="J612" s="163"/>
    </row>
    <row r="613" spans="1:10">
      <c r="A613" s="199" t="s">
        <v>180</v>
      </c>
      <c r="B613" s="23" t="s">
        <v>181</v>
      </c>
      <c r="C613" s="16" t="s">
        <v>153</v>
      </c>
      <c r="D613" s="17">
        <v>150</v>
      </c>
      <c r="E613" s="550">
        <v>146</v>
      </c>
      <c r="F613" s="550">
        <v>49</v>
      </c>
      <c r="G613" s="122">
        <f t="shared" ref="G613" si="122">E613*D613</f>
        <v>21900</v>
      </c>
      <c r="H613" s="204">
        <f t="shared" ref="H613" si="123">F613*D613</f>
        <v>7350</v>
      </c>
      <c r="J613" s="163"/>
    </row>
    <row r="614" spans="1:10">
      <c r="A614" s="199"/>
      <c r="B614" s="61"/>
      <c r="C614" s="41"/>
      <c r="D614" s="17"/>
      <c r="E614" s="550">
        <v>0</v>
      </c>
      <c r="F614" s="550">
        <v>0</v>
      </c>
      <c r="G614" s="18"/>
      <c r="H614" s="200"/>
      <c r="J614" s="163"/>
    </row>
    <row r="615" spans="1:10">
      <c r="A615" s="199" t="s">
        <v>182</v>
      </c>
      <c r="B615" s="22" t="s">
        <v>183</v>
      </c>
      <c r="C615" s="16" t="s">
        <v>153</v>
      </c>
      <c r="D615" s="17">
        <v>150</v>
      </c>
      <c r="E615" s="550">
        <v>195</v>
      </c>
      <c r="F615" s="550">
        <v>49</v>
      </c>
      <c r="G615" s="122">
        <f t="shared" ref="G615" si="124">E615*D615</f>
        <v>29250</v>
      </c>
      <c r="H615" s="204">
        <f t="shared" ref="H615" si="125">F615*D615</f>
        <v>7350</v>
      </c>
      <c r="J615" s="163"/>
    </row>
    <row r="616" spans="1:10">
      <c r="A616" s="199"/>
      <c r="B616" s="61"/>
      <c r="C616" s="41"/>
      <c r="D616" s="17"/>
      <c r="E616" s="550">
        <v>0</v>
      </c>
      <c r="F616" s="550">
        <v>0</v>
      </c>
      <c r="G616" s="18"/>
      <c r="H616" s="200"/>
      <c r="J616" s="163"/>
    </row>
    <row r="617" spans="1:10" s="115" customFormat="1">
      <c r="A617" s="199" t="s">
        <v>184</v>
      </c>
      <c r="B617" s="113" t="s">
        <v>300</v>
      </c>
      <c r="C617" s="16" t="s">
        <v>153</v>
      </c>
      <c r="D617" s="17" t="s">
        <v>228</v>
      </c>
      <c r="E617" s="550">
        <v>0</v>
      </c>
      <c r="F617" s="550">
        <v>0</v>
      </c>
      <c r="G617" s="122"/>
      <c r="H617" s="204"/>
      <c r="I617" s="114"/>
      <c r="J617" s="114"/>
    </row>
    <row r="618" spans="1:10" s="115" customFormat="1">
      <c r="A618" s="199"/>
      <c r="B618" s="239"/>
      <c r="C618" s="16"/>
      <c r="D618" s="17"/>
      <c r="E618" s="550">
        <v>0</v>
      </c>
      <c r="F618" s="550">
        <v>0</v>
      </c>
      <c r="G618" s="18"/>
      <c r="H618" s="200"/>
      <c r="I618" s="114"/>
      <c r="J618" s="114"/>
    </row>
    <row r="619" spans="1:10">
      <c r="A619" s="199" t="s">
        <v>186</v>
      </c>
      <c r="B619" s="61" t="s">
        <v>185</v>
      </c>
      <c r="C619" s="16" t="s">
        <v>153</v>
      </c>
      <c r="D619" s="17">
        <v>1250</v>
      </c>
      <c r="E619" s="550">
        <v>244</v>
      </c>
      <c r="F619" s="550">
        <v>49</v>
      </c>
      <c r="G619" s="122">
        <f t="shared" ref="G619" si="126">E619*D619</f>
        <v>305000</v>
      </c>
      <c r="H619" s="204">
        <f t="shared" ref="H619" si="127">F619*D619</f>
        <v>61250</v>
      </c>
      <c r="J619" s="163"/>
    </row>
    <row r="620" spans="1:10">
      <c r="A620" s="199"/>
      <c r="B620" s="61"/>
      <c r="C620" s="41"/>
      <c r="D620" s="17"/>
      <c r="E620" s="550">
        <v>0</v>
      </c>
      <c r="F620" s="550">
        <v>0</v>
      </c>
      <c r="G620" s="18"/>
      <c r="H620" s="200"/>
      <c r="J620" s="163"/>
    </row>
    <row r="621" spans="1:10">
      <c r="A621" s="199" t="s">
        <v>542</v>
      </c>
      <c r="B621" s="61" t="s">
        <v>187</v>
      </c>
      <c r="C621" s="16" t="s">
        <v>153</v>
      </c>
      <c r="D621" s="17">
        <v>60</v>
      </c>
      <c r="E621" s="550">
        <v>341</v>
      </c>
      <c r="F621" s="550">
        <v>78</v>
      </c>
      <c r="G621" s="122">
        <f t="shared" ref="G621" si="128">E621*D621</f>
        <v>20460</v>
      </c>
      <c r="H621" s="204">
        <f t="shared" ref="H621" si="129">F621*D621</f>
        <v>4680</v>
      </c>
      <c r="J621" s="163"/>
    </row>
    <row r="622" spans="1:10">
      <c r="A622" s="199"/>
      <c r="B622" s="61"/>
      <c r="C622" s="41"/>
      <c r="D622" s="17"/>
      <c r="E622" s="550">
        <v>0</v>
      </c>
      <c r="F622" s="550">
        <v>0</v>
      </c>
      <c r="G622" s="18"/>
      <c r="H622" s="200"/>
      <c r="J622" s="163"/>
    </row>
    <row r="623" spans="1:10">
      <c r="A623" s="199" t="s">
        <v>542</v>
      </c>
      <c r="B623" s="61" t="s">
        <v>543</v>
      </c>
      <c r="C623" s="16" t="s">
        <v>153</v>
      </c>
      <c r="D623" s="17" t="s">
        <v>228</v>
      </c>
      <c r="E623" s="550">
        <v>0</v>
      </c>
      <c r="F623" s="550">
        <v>0</v>
      </c>
      <c r="G623" s="122"/>
      <c r="H623" s="204"/>
      <c r="J623" s="163"/>
    </row>
    <row r="624" spans="1:10">
      <c r="A624" s="199"/>
      <c r="B624" s="61"/>
      <c r="C624" s="16"/>
      <c r="D624" s="17"/>
      <c r="E624" s="550">
        <v>0</v>
      </c>
      <c r="F624" s="550">
        <v>0</v>
      </c>
      <c r="G624" s="122"/>
      <c r="H624" s="204"/>
      <c r="J624" s="163"/>
    </row>
    <row r="625" spans="1:10">
      <c r="A625" s="199">
        <v>10.3</v>
      </c>
      <c r="B625" s="42" t="s">
        <v>188</v>
      </c>
      <c r="C625" s="41"/>
      <c r="D625" s="17"/>
      <c r="E625" s="550">
        <v>0</v>
      </c>
      <c r="F625" s="550">
        <v>0</v>
      </c>
      <c r="G625" s="18"/>
      <c r="H625" s="200"/>
      <c r="J625" s="163"/>
    </row>
    <row r="626" spans="1:10" ht="58">
      <c r="A626" s="199"/>
      <c r="B626" s="23" t="s">
        <v>189</v>
      </c>
      <c r="C626" s="41"/>
      <c r="D626" s="17"/>
      <c r="E626" s="550">
        <v>0</v>
      </c>
      <c r="F626" s="550">
        <v>0</v>
      </c>
      <c r="G626" s="18"/>
      <c r="H626" s="200"/>
      <c r="J626" s="163"/>
    </row>
    <row r="627" spans="1:10">
      <c r="A627" s="199"/>
      <c r="B627" s="23"/>
      <c r="C627" s="41"/>
      <c r="D627" s="17"/>
      <c r="E627" s="550">
        <v>0</v>
      </c>
      <c r="F627" s="550">
        <v>0</v>
      </c>
      <c r="G627" s="18"/>
      <c r="H627" s="200"/>
      <c r="J627" s="163"/>
    </row>
    <row r="628" spans="1:10">
      <c r="A628" s="240" t="s">
        <v>190</v>
      </c>
      <c r="B628" s="38" t="s">
        <v>279</v>
      </c>
      <c r="C628" s="16" t="s">
        <v>79</v>
      </c>
      <c r="D628" s="17" t="s">
        <v>228</v>
      </c>
      <c r="E628" s="550">
        <v>0</v>
      </c>
      <c r="F628" s="550">
        <v>0</v>
      </c>
      <c r="G628" s="122"/>
      <c r="H628" s="204"/>
      <c r="J628" s="163"/>
    </row>
    <row r="629" spans="1:10">
      <c r="A629" s="240" t="s">
        <v>192</v>
      </c>
      <c r="B629" s="38" t="s">
        <v>80</v>
      </c>
      <c r="C629" s="16" t="s">
        <v>56</v>
      </c>
      <c r="D629" s="17" t="s">
        <v>228</v>
      </c>
      <c r="E629" s="556">
        <v>0</v>
      </c>
      <c r="F629" s="550">
        <v>0</v>
      </c>
      <c r="G629" s="122"/>
      <c r="H629" s="204"/>
      <c r="J629" s="163"/>
    </row>
    <row r="630" spans="1:10">
      <c r="A630" s="199"/>
      <c r="B630" s="38"/>
      <c r="C630" s="16"/>
      <c r="D630" s="17"/>
      <c r="E630" s="556">
        <v>0</v>
      </c>
      <c r="F630" s="550">
        <v>0</v>
      </c>
      <c r="G630" s="18"/>
      <c r="H630" s="200"/>
      <c r="J630" s="163"/>
    </row>
    <row r="631" spans="1:10">
      <c r="A631" s="241" t="s">
        <v>194</v>
      </c>
      <c r="B631" s="38" t="s">
        <v>310</v>
      </c>
      <c r="C631" s="16" t="s">
        <v>79</v>
      </c>
      <c r="D631" s="17" t="s">
        <v>228</v>
      </c>
      <c r="E631" s="550">
        <v>0</v>
      </c>
      <c r="F631" s="550">
        <v>0</v>
      </c>
      <c r="G631" s="122"/>
      <c r="H631" s="204"/>
      <c r="J631" s="163"/>
    </row>
    <row r="632" spans="1:10">
      <c r="A632" s="241" t="s">
        <v>196</v>
      </c>
      <c r="B632" s="38" t="s">
        <v>80</v>
      </c>
      <c r="C632" s="16" t="s">
        <v>56</v>
      </c>
      <c r="D632" s="17" t="s">
        <v>228</v>
      </c>
      <c r="E632" s="550">
        <v>0</v>
      </c>
      <c r="F632" s="550">
        <v>0</v>
      </c>
      <c r="G632" s="122"/>
      <c r="H632" s="204"/>
      <c r="J632" s="163"/>
    </row>
    <row r="633" spans="1:10">
      <c r="A633" s="199"/>
      <c r="B633" s="39"/>
      <c r="C633" s="16"/>
      <c r="D633" s="17"/>
      <c r="E633" s="550">
        <v>0</v>
      </c>
      <c r="F633" s="550">
        <v>0</v>
      </c>
      <c r="G633" s="18"/>
      <c r="H633" s="200"/>
      <c r="J633" s="163"/>
    </row>
    <row r="634" spans="1:10">
      <c r="A634" s="241" t="s">
        <v>232</v>
      </c>
      <c r="B634" s="15" t="s">
        <v>191</v>
      </c>
      <c r="C634" s="16" t="s">
        <v>79</v>
      </c>
      <c r="D634" s="17" t="s">
        <v>228</v>
      </c>
      <c r="E634" s="550">
        <v>0</v>
      </c>
      <c r="F634" s="550">
        <v>0</v>
      </c>
      <c r="G634" s="122"/>
      <c r="H634" s="204"/>
      <c r="J634" s="163"/>
    </row>
    <row r="635" spans="1:10">
      <c r="A635" s="241" t="s">
        <v>233</v>
      </c>
      <c r="B635" s="15" t="s">
        <v>193</v>
      </c>
      <c r="C635" s="16" t="s">
        <v>56</v>
      </c>
      <c r="D635" s="17" t="s">
        <v>228</v>
      </c>
      <c r="E635" s="550">
        <v>0</v>
      </c>
      <c r="F635" s="550">
        <v>0</v>
      </c>
      <c r="G635" s="122"/>
      <c r="H635" s="204"/>
      <c r="J635" s="163"/>
    </row>
    <row r="636" spans="1:10">
      <c r="A636" s="199"/>
      <c r="B636" s="23"/>
      <c r="C636" s="41"/>
      <c r="D636" s="17"/>
      <c r="E636" s="550">
        <v>0</v>
      </c>
      <c r="F636" s="550">
        <v>0</v>
      </c>
      <c r="G636" s="18"/>
      <c r="H636" s="200"/>
      <c r="J636" s="163"/>
    </row>
    <row r="637" spans="1:10">
      <c r="A637" s="241" t="s">
        <v>323</v>
      </c>
      <c r="B637" s="15" t="s">
        <v>195</v>
      </c>
      <c r="C637" s="16" t="s">
        <v>79</v>
      </c>
      <c r="D637" s="17" t="s">
        <v>228</v>
      </c>
      <c r="E637" s="550">
        <v>0</v>
      </c>
      <c r="F637" s="550">
        <v>0</v>
      </c>
      <c r="G637" s="122"/>
      <c r="H637" s="204"/>
      <c r="J637" s="163"/>
    </row>
    <row r="638" spans="1:10">
      <c r="A638" s="241" t="s">
        <v>324</v>
      </c>
      <c r="B638" s="15" t="s">
        <v>193</v>
      </c>
      <c r="C638" s="16" t="s">
        <v>56</v>
      </c>
      <c r="D638" s="17" t="s">
        <v>228</v>
      </c>
      <c r="E638" s="550">
        <v>0</v>
      </c>
      <c r="F638" s="550">
        <v>0</v>
      </c>
      <c r="G638" s="122"/>
      <c r="H638" s="204"/>
      <c r="J638" s="163"/>
    </row>
    <row r="639" spans="1:10">
      <c r="A639" s="199"/>
      <c r="B639" s="23"/>
      <c r="C639" s="41"/>
      <c r="D639" s="17"/>
      <c r="E639" s="550">
        <v>0</v>
      </c>
      <c r="F639" s="550">
        <v>0</v>
      </c>
      <c r="G639" s="18"/>
      <c r="H639" s="200"/>
      <c r="J639" s="163"/>
    </row>
    <row r="640" spans="1:10">
      <c r="A640" s="199" t="s">
        <v>198</v>
      </c>
      <c r="B640" s="15" t="s">
        <v>197</v>
      </c>
      <c r="C640" s="16" t="s">
        <v>79</v>
      </c>
      <c r="D640" s="17">
        <v>50</v>
      </c>
      <c r="E640" s="550">
        <v>117</v>
      </c>
      <c r="F640" s="550">
        <v>29</v>
      </c>
      <c r="G640" s="122">
        <f t="shared" ref="G640" si="130">E640*D640</f>
        <v>5850</v>
      </c>
      <c r="H640" s="204">
        <f t="shared" ref="H640" si="131">F640*D640</f>
        <v>1450</v>
      </c>
      <c r="J640" s="163"/>
    </row>
    <row r="641" spans="1:240">
      <c r="A641" s="199"/>
      <c r="B641" s="61"/>
      <c r="C641" s="41"/>
      <c r="D641" s="17"/>
      <c r="E641" s="550">
        <v>0</v>
      </c>
      <c r="F641" s="550">
        <v>0</v>
      </c>
      <c r="G641" s="18"/>
      <c r="H641" s="200"/>
      <c r="J641" s="163"/>
    </row>
    <row r="642" spans="1:240">
      <c r="A642" s="199" t="s">
        <v>200</v>
      </c>
      <c r="B642" s="15" t="s">
        <v>199</v>
      </c>
      <c r="C642" s="16" t="s">
        <v>79</v>
      </c>
      <c r="D642" s="17">
        <v>100</v>
      </c>
      <c r="E642" s="550">
        <v>98</v>
      </c>
      <c r="F642" s="550">
        <v>29</v>
      </c>
      <c r="G642" s="122">
        <f t="shared" ref="G642" si="132">E642*D642</f>
        <v>9800</v>
      </c>
      <c r="H642" s="204">
        <f t="shared" ref="H642" si="133">F642*D642</f>
        <v>2900</v>
      </c>
      <c r="J642" s="163"/>
    </row>
    <row r="643" spans="1:240">
      <c r="A643" s="199"/>
      <c r="B643" s="61"/>
      <c r="C643" s="41"/>
      <c r="D643" s="17"/>
      <c r="E643" s="550">
        <v>0</v>
      </c>
      <c r="F643" s="550">
        <v>0</v>
      </c>
      <c r="G643" s="122">
        <f t="shared" ref="G643:G644" si="134">E643*D643</f>
        <v>0</v>
      </c>
      <c r="H643" s="204">
        <f t="shared" ref="H643:H644" si="135">F643*D643</f>
        <v>0</v>
      </c>
      <c r="J643" s="163"/>
    </row>
    <row r="644" spans="1:240" ht="29">
      <c r="A644" s="199" t="s">
        <v>202</v>
      </c>
      <c r="B644" s="23" t="s">
        <v>201</v>
      </c>
      <c r="C644" s="16" t="s">
        <v>58</v>
      </c>
      <c r="D644" s="17">
        <v>12</v>
      </c>
      <c r="E644" s="550">
        <v>2926</v>
      </c>
      <c r="F644" s="550">
        <v>488</v>
      </c>
      <c r="G644" s="122">
        <f t="shared" si="134"/>
        <v>35112</v>
      </c>
      <c r="H644" s="204">
        <f t="shared" si="135"/>
        <v>5856</v>
      </c>
      <c r="J644" s="163"/>
    </row>
    <row r="645" spans="1:240">
      <c r="A645" s="199"/>
      <c r="B645" s="68"/>
      <c r="C645" s="16"/>
      <c r="D645" s="17"/>
      <c r="E645" s="550">
        <v>0</v>
      </c>
      <c r="F645" s="550">
        <v>0</v>
      </c>
      <c r="G645" s="18"/>
      <c r="H645" s="200"/>
      <c r="J645" s="163"/>
    </row>
    <row r="646" spans="1:240" ht="29">
      <c r="A646" s="199" t="s">
        <v>325</v>
      </c>
      <c r="B646" s="23" t="s">
        <v>203</v>
      </c>
      <c r="C646" s="16" t="s">
        <v>58</v>
      </c>
      <c r="D646" s="17">
        <v>2</v>
      </c>
      <c r="E646" s="550">
        <v>4876</v>
      </c>
      <c r="F646" s="550">
        <v>488</v>
      </c>
      <c r="G646" s="122">
        <f t="shared" ref="G646" si="136">E646*D646</f>
        <v>9752</v>
      </c>
      <c r="H646" s="204">
        <f t="shared" ref="H646" si="137">F646*D646</f>
        <v>976</v>
      </c>
      <c r="J646" s="163"/>
    </row>
    <row r="647" spans="1:240">
      <c r="A647" s="214"/>
      <c r="B647" s="78"/>
      <c r="C647" s="30"/>
      <c r="D647" s="31"/>
      <c r="E647" s="551">
        <v>0</v>
      </c>
      <c r="F647" s="551">
        <v>0</v>
      </c>
      <c r="G647" s="18"/>
      <c r="H647" s="200"/>
      <c r="J647" s="163"/>
    </row>
    <row r="648" spans="1:240">
      <c r="A648" s="206"/>
      <c r="B648" s="105" t="s">
        <v>204</v>
      </c>
      <c r="C648" s="111"/>
      <c r="D648" s="107"/>
      <c r="E648" s="552">
        <v>0</v>
      </c>
      <c r="F648" s="552">
        <v>0</v>
      </c>
      <c r="G648" s="102">
        <f>SUM(G604:G647)</f>
        <v>498564</v>
      </c>
      <c r="H648" s="207">
        <f>SUM(H604:H647)</f>
        <v>106440</v>
      </c>
      <c r="J648" s="163"/>
    </row>
    <row r="649" spans="1:240" s="126" customFormat="1">
      <c r="A649" s="242"/>
      <c r="B649" s="135"/>
      <c r="C649" s="136"/>
      <c r="D649" s="137"/>
      <c r="E649" s="563">
        <v>0</v>
      </c>
      <c r="F649" s="563">
        <v>0</v>
      </c>
      <c r="G649" s="138"/>
      <c r="H649" s="243"/>
      <c r="I649" s="125"/>
      <c r="J649" s="125"/>
      <c r="K649" s="125"/>
      <c r="L649" s="125"/>
      <c r="M649" s="125"/>
      <c r="N649" s="125"/>
      <c r="O649" s="125"/>
      <c r="P649" s="125"/>
      <c r="Q649" s="125"/>
      <c r="R649" s="125"/>
      <c r="S649" s="125"/>
      <c r="T649" s="125"/>
      <c r="U649" s="125"/>
      <c r="V649" s="125"/>
      <c r="W649" s="125"/>
      <c r="X649" s="125"/>
      <c r="Y649" s="125"/>
      <c r="Z649" s="125"/>
      <c r="AA649" s="125"/>
      <c r="AB649" s="125"/>
      <c r="AC649" s="125"/>
      <c r="AD649" s="125"/>
      <c r="AE649" s="125"/>
      <c r="AF649" s="125"/>
      <c r="AG649" s="125"/>
      <c r="AH649" s="125"/>
      <c r="AI649" s="125"/>
      <c r="AJ649" s="125"/>
      <c r="AK649" s="125"/>
      <c r="AL649" s="125"/>
      <c r="AM649" s="125"/>
      <c r="AN649" s="125"/>
      <c r="AO649" s="125"/>
      <c r="AP649" s="125"/>
      <c r="AQ649" s="125"/>
      <c r="AR649" s="125"/>
      <c r="AS649" s="125"/>
      <c r="AT649" s="125"/>
      <c r="AU649" s="125"/>
      <c r="AV649" s="125"/>
      <c r="AW649" s="125"/>
      <c r="AX649" s="125"/>
      <c r="AY649" s="125"/>
      <c r="AZ649" s="125"/>
      <c r="BA649" s="125"/>
      <c r="BB649" s="125"/>
      <c r="BC649" s="125"/>
      <c r="BD649" s="125"/>
      <c r="BE649" s="125"/>
      <c r="BF649" s="125"/>
      <c r="BG649" s="125"/>
      <c r="BH649" s="125"/>
      <c r="BI649" s="125"/>
      <c r="BJ649" s="125"/>
      <c r="BK649" s="125"/>
      <c r="BL649" s="125"/>
      <c r="BM649" s="125"/>
      <c r="BN649" s="125"/>
      <c r="BO649" s="125"/>
      <c r="BP649" s="125"/>
      <c r="BQ649" s="125"/>
      <c r="BR649" s="125"/>
      <c r="BS649" s="125"/>
      <c r="BT649" s="125"/>
      <c r="BU649" s="125"/>
      <c r="BV649" s="125"/>
      <c r="BW649" s="125"/>
      <c r="BX649" s="125"/>
      <c r="BY649" s="125"/>
      <c r="BZ649" s="125"/>
      <c r="CA649" s="125"/>
      <c r="CB649" s="125"/>
      <c r="CC649" s="125"/>
      <c r="CD649" s="125"/>
      <c r="CE649" s="125"/>
      <c r="CF649" s="125"/>
      <c r="CG649" s="125"/>
      <c r="CH649" s="125"/>
      <c r="CI649" s="125"/>
      <c r="CJ649" s="125"/>
      <c r="CK649" s="125"/>
      <c r="CL649" s="125"/>
      <c r="CM649" s="125"/>
      <c r="CN649" s="125"/>
      <c r="CO649" s="125"/>
      <c r="CP649" s="125"/>
      <c r="CQ649" s="125"/>
      <c r="CR649" s="125"/>
      <c r="CS649" s="125"/>
      <c r="CT649" s="125"/>
      <c r="CU649" s="125"/>
      <c r="CV649" s="125"/>
      <c r="CW649" s="125"/>
      <c r="CX649" s="125"/>
      <c r="CY649" s="125"/>
      <c r="CZ649" s="125"/>
      <c r="DA649" s="125"/>
      <c r="DB649" s="125"/>
      <c r="DC649" s="125"/>
      <c r="DD649" s="125"/>
      <c r="DE649" s="125"/>
      <c r="DF649" s="125"/>
      <c r="DG649" s="125"/>
      <c r="DH649" s="125"/>
      <c r="DI649" s="125"/>
      <c r="DJ649" s="125"/>
      <c r="DK649" s="125"/>
      <c r="DL649" s="125"/>
      <c r="DM649" s="125"/>
      <c r="DN649" s="125"/>
      <c r="DO649" s="125"/>
      <c r="DP649" s="125"/>
      <c r="DQ649" s="125"/>
      <c r="DR649" s="125"/>
      <c r="DS649" s="125"/>
      <c r="DT649" s="125"/>
      <c r="DU649" s="125"/>
      <c r="DV649" s="125"/>
      <c r="DW649" s="125"/>
      <c r="DX649" s="125"/>
      <c r="DY649" s="125"/>
      <c r="DZ649" s="125"/>
      <c r="EA649" s="125"/>
      <c r="EB649" s="125"/>
      <c r="EC649" s="125"/>
      <c r="ED649" s="125"/>
      <c r="EE649" s="125"/>
      <c r="EF649" s="125"/>
      <c r="EG649" s="125"/>
      <c r="EH649" s="125"/>
      <c r="EI649" s="125"/>
      <c r="EJ649" s="125"/>
      <c r="EK649" s="125"/>
      <c r="EL649" s="125"/>
      <c r="EM649" s="125"/>
      <c r="EN649" s="125"/>
      <c r="EO649" s="125"/>
      <c r="EP649" s="125"/>
      <c r="EQ649" s="125"/>
      <c r="ER649" s="125"/>
      <c r="ES649" s="125"/>
      <c r="ET649" s="125"/>
      <c r="EU649" s="125"/>
      <c r="EV649" s="125"/>
      <c r="EW649" s="125"/>
      <c r="EX649" s="125"/>
      <c r="EY649" s="125"/>
      <c r="EZ649" s="125"/>
      <c r="FA649" s="125"/>
      <c r="FB649" s="125"/>
      <c r="FC649" s="125"/>
      <c r="FD649" s="125"/>
      <c r="FE649" s="125"/>
      <c r="FF649" s="125"/>
      <c r="FG649" s="125"/>
      <c r="FH649" s="125"/>
      <c r="FI649" s="125"/>
      <c r="FJ649" s="125"/>
      <c r="FK649" s="125"/>
      <c r="FL649" s="125"/>
      <c r="FM649" s="125"/>
      <c r="FN649" s="125"/>
      <c r="FO649" s="125"/>
      <c r="FP649" s="125"/>
      <c r="FQ649" s="125"/>
      <c r="FR649" s="125"/>
      <c r="FS649" s="125"/>
      <c r="FT649" s="125"/>
      <c r="FU649" s="125"/>
      <c r="FV649" s="125"/>
      <c r="FW649" s="125"/>
      <c r="FX649" s="125"/>
      <c r="FY649" s="125"/>
      <c r="FZ649" s="125"/>
      <c r="GA649" s="125"/>
      <c r="GB649" s="125"/>
      <c r="GC649" s="125"/>
      <c r="GD649" s="125"/>
      <c r="GE649" s="125"/>
      <c r="GF649" s="125"/>
      <c r="GG649" s="125"/>
      <c r="GH649" s="125"/>
      <c r="GI649" s="125"/>
      <c r="GJ649" s="125"/>
      <c r="GK649" s="125"/>
      <c r="GL649" s="125"/>
      <c r="GM649" s="125"/>
      <c r="GN649" s="125"/>
      <c r="GO649" s="125"/>
      <c r="GP649" s="125"/>
      <c r="GQ649" s="125"/>
      <c r="GR649" s="125"/>
      <c r="GS649" s="125"/>
      <c r="GT649" s="125"/>
      <c r="GU649" s="125"/>
      <c r="GV649" s="125"/>
      <c r="GW649" s="125"/>
      <c r="GX649" s="125"/>
      <c r="GY649" s="125"/>
      <c r="GZ649" s="125"/>
      <c r="HA649" s="125"/>
      <c r="HB649" s="125"/>
      <c r="HC649" s="125"/>
      <c r="HD649" s="125"/>
      <c r="HE649" s="125"/>
      <c r="HF649" s="125"/>
      <c r="HG649" s="125"/>
      <c r="HH649" s="125"/>
      <c r="HI649" s="125"/>
      <c r="HJ649" s="125"/>
      <c r="HK649" s="125"/>
      <c r="HL649" s="125"/>
      <c r="HM649" s="125"/>
      <c r="HN649" s="125"/>
      <c r="HO649" s="125"/>
      <c r="HP649" s="125"/>
      <c r="HQ649" s="125"/>
      <c r="HR649" s="125"/>
      <c r="HS649" s="125"/>
      <c r="HT649" s="125"/>
      <c r="HU649" s="125"/>
      <c r="HV649" s="125"/>
      <c r="HW649" s="125"/>
      <c r="HX649" s="125"/>
      <c r="HY649" s="125"/>
      <c r="HZ649" s="125"/>
      <c r="IA649" s="125"/>
      <c r="IB649" s="125"/>
      <c r="IC649" s="125"/>
      <c r="ID649" s="125"/>
      <c r="IE649" s="125"/>
      <c r="IF649" s="125"/>
    </row>
    <row r="650" spans="1:240" s="126" customFormat="1">
      <c r="A650" s="244">
        <v>11</v>
      </c>
      <c r="B650" s="129" t="s">
        <v>408</v>
      </c>
      <c r="C650" s="130"/>
      <c r="D650" s="130"/>
      <c r="E650" s="564">
        <v>0</v>
      </c>
      <c r="F650" s="564">
        <v>0</v>
      </c>
      <c r="G650" s="131"/>
      <c r="H650" s="245"/>
      <c r="J650" s="125"/>
    </row>
    <row r="651" spans="1:240" s="126" customFormat="1">
      <c r="A651" s="246"/>
      <c r="B651" s="132"/>
      <c r="C651" s="133"/>
      <c r="D651" s="133"/>
      <c r="E651" s="565">
        <v>0</v>
      </c>
      <c r="F651" s="565">
        <v>0</v>
      </c>
      <c r="G651" s="134"/>
      <c r="H651" s="247"/>
      <c r="I651" s="125"/>
      <c r="J651" s="125"/>
      <c r="K651" s="125"/>
      <c r="L651" s="125"/>
      <c r="M651" s="125"/>
      <c r="N651" s="125"/>
      <c r="O651" s="125"/>
      <c r="P651" s="125"/>
      <c r="Q651" s="125"/>
      <c r="R651" s="125"/>
      <c r="S651" s="125"/>
      <c r="T651" s="125"/>
      <c r="U651" s="125"/>
      <c r="V651" s="125"/>
      <c r="W651" s="125"/>
      <c r="X651" s="125"/>
      <c r="Y651" s="125"/>
      <c r="Z651" s="125"/>
      <c r="AA651" s="125"/>
      <c r="AB651" s="125"/>
      <c r="AC651" s="125"/>
      <c r="AD651" s="125"/>
      <c r="AE651" s="125"/>
      <c r="AF651" s="125"/>
      <c r="AG651" s="125"/>
      <c r="AH651" s="125"/>
      <c r="AI651" s="125"/>
      <c r="AJ651" s="125"/>
      <c r="AK651" s="125"/>
      <c r="AL651" s="125"/>
      <c r="AM651" s="125"/>
      <c r="AN651" s="125"/>
      <c r="AO651" s="125"/>
      <c r="AP651" s="125"/>
      <c r="AQ651" s="125"/>
      <c r="AR651" s="125"/>
      <c r="AS651" s="125"/>
      <c r="AT651" s="125"/>
      <c r="AU651" s="125"/>
      <c r="AV651" s="125"/>
      <c r="AW651" s="125"/>
      <c r="AX651" s="125"/>
      <c r="AY651" s="125"/>
      <c r="AZ651" s="125"/>
      <c r="BA651" s="125"/>
      <c r="BB651" s="125"/>
      <c r="BC651" s="125"/>
      <c r="BD651" s="125"/>
      <c r="BE651" s="125"/>
      <c r="BF651" s="125"/>
      <c r="BG651" s="125"/>
      <c r="BH651" s="125"/>
      <c r="BI651" s="125"/>
      <c r="BJ651" s="125"/>
      <c r="BK651" s="125"/>
      <c r="BL651" s="125"/>
      <c r="BM651" s="125"/>
      <c r="BN651" s="125"/>
      <c r="BO651" s="125"/>
      <c r="BP651" s="125"/>
      <c r="BQ651" s="125"/>
      <c r="BR651" s="125"/>
      <c r="BS651" s="125"/>
      <c r="BT651" s="125"/>
      <c r="BU651" s="125"/>
      <c r="BV651" s="125"/>
      <c r="BW651" s="125"/>
      <c r="BX651" s="125"/>
      <c r="BY651" s="125"/>
      <c r="BZ651" s="125"/>
      <c r="CA651" s="125"/>
      <c r="CB651" s="125"/>
      <c r="CC651" s="125"/>
      <c r="CD651" s="125"/>
      <c r="CE651" s="125"/>
      <c r="CF651" s="125"/>
      <c r="CG651" s="125"/>
      <c r="CH651" s="125"/>
      <c r="CI651" s="125"/>
      <c r="CJ651" s="125"/>
      <c r="CK651" s="125"/>
      <c r="CL651" s="125"/>
      <c r="CM651" s="125"/>
      <c r="CN651" s="125"/>
      <c r="CO651" s="125"/>
      <c r="CP651" s="125"/>
      <c r="CQ651" s="125"/>
      <c r="CR651" s="125"/>
      <c r="CS651" s="125"/>
      <c r="CT651" s="125"/>
      <c r="CU651" s="125"/>
      <c r="CV651" s="125"/>
      <c r="CW651" s="125"/>
      <c r="CX651" s="125"/>
      <c r="CY651" s="125"/>
      <c r="CZ651" s="125"/>
      <c r="DA651" s="125"/>
      <c r="DB651" s="125"/>
      <c r="DC651" s="125"/>
      <c r="DD651" s="125"/>
      <c r="DE651" s="125"/>
      <c r="DF651" s="125"/>
      <c r="DG651" s="125"/>
      <c r="DH651" s="125"/>
      <c r="DI651" s="125"/>
      <c r="DJ651" s="125"/>
      <c r="DK651" s="125"/>
      <c r="DL651" s="125"/>
      <c r="DM651" s="125"/>
      <c r="DN651" s="125"/>
      <c r="DO651" s="125"/>
      <c r="DP651" s="125"/>
      <c r="DQ651" s="125"/>
      <c r="DR651" s="125"/>
      <c r="DS651" s="125"/>
      <c r="DT651" s="125"/>
      <c r="DU651" s="125"/>
      <c r="DV651" s="125"/>
      <c r="DW651" s="125"/>
      <c r="DX651" s="125"/>
      <c r="DY651" s="125"/>
      <c r="DZ651" s="125"/>
      <c r="EA651" s="125"/>
      <c r="EB651" s="125"/>
      <c r="EC651" s="125"/>
      <c r="ED651" s="125"/>
      <c r="EE651" s="125"/>
      <c r="EF651" s="125"/>
      <c r="EG651" s="125"/>
      <c r="EH651" s="125"/>
      <c r="EI651" s="125"/>
      <c r="EJ651" s="125"/>
      <c r="EK651" s="125"/>
      <c r="EL651" s="125"/>
      <c r="EM651" s="125"/>
      <c r="EN651" s="125"/>
      <c r="EO651" s="125"/>
      <c r="EP651" s="125"/>
      <c r="EQ651" s="125"/>
      <c r="ER651" s="125"/>
      <c r="ES651" s="125"/>
      <c r="ET651" s="125"/>
      <c r="EU651" s="125"/>
      <c r="EV651" s="125"/>
      <c r="EW651" s="125"/>
      <c r="EX651" s="125"/>
      <c r="EY651" s="125"/>
      <c r="EZ651" s="125"/>
      <c r="FA651" s="125"/>
      <c r="FB651" s="125"/>
      <c r="FC651" s="125"/>
      <c r="FD651" s="125"/>
      <c r="FE651" s="125"/>
      <c r="FF651" s="125"/>
      <c r="FG651" s="125"/>
      <c r="FH651" s="125"/>
      <c r="FI651" s="125"/>
      <c r="FJ651" s="125"/>
      <c r="FK651" s="125"/>
      <c r="FL651" s="125"/>
      <c r="FM651" s="125"/>
      <c r="FN651" s="125"/>
      <c r="FO651" s="125"/>
      <c r="FP651" s="125"/>
      <c r="FQ651" s="125"/>
      <c r="FR651" s="125"/>
      <c r="FS651" s="125"/>
      <c r="FT651" s="125"/>
      <c r="FU651" s="125"/>
      <c r="FV651" s="125"/>
      <c r="FW651" s="125"/>
      <c r="FX651" s="125"/>
      <c r="FY651" s="125"/>
      <c r="FZ651" s="125"/>
      <c r="GA651" s="125"/>
      <c r="GB651" s="125"/>
      <c r="GC651" s="125"/>
      <c r="GD651" s="125"/>
      <c r="GE651" s="125"/>
      <c r="GF651" s="125"/>
      <c r="GG651" s="125"/>
      <c r="GH651" s="125"/>
      <c r="GI651" s="125"/>
      <c r="GJ651" s="125"/>
      <c r="GK651" s="125"/>
      <c r="GL651" s="125"/>
      <c r="GM651" s="125"/>
      <c r="GN651" s="125"/>
      <c r="GO651" s="125"/>
      <c r="GP651" s="125"/>
      <c r="GQ651" s="125"/>
      <c r="GR651" s="125"/>
      <c r="GS651" s="125"/>
      <c r="GT651" s="125"/>
      <c r="GU651" s="125"/>
      <c r="GV651" s="125"/>
      <c r="GW651" s="125"/>
      <c r="GX651" s="125"/>
      <c r="GY651" s="125"/>
      <c r="GZ651" s="125"/>
      <c r="HA651" s="125"/>
      <c r="HB651" s="125"/>
      <c r="HC651" s="125"/>
      <c r="HD651" s="125"/>
      <c r="HE651" s="125"/>
      <c r="HF651" s="125"/>
      <c r="HG651" s="125"/>
      <c r="HH651" s="125"/>
      <c r="HI651" s="125"/>
      <c r="HJ651" s="125"/>
      <c r="HK651" s="125"/>
      <c r="HL651" s="125"/>
      <c r="HM651" s="125"/>
      <c r="HN651" s="125"/>
      <c r="HO651" s="125"/>
      <c r="HP651" s="125"/>
      <c r="HQ651" s="125"/>
      <c r="HR651" s="125"/>
      <c r="HS651" s="125"/>
      <c r="HT651" s="125"/>
      <c r="HU651" s="125"/>
      <c r="HV651" s="125"/>
      <c r="HW651" s="125"/>
      <c r="HX651" s="125"/>
      <c r="HY651" s="125"/>
      <c r="HZ651" s="125"/>
      <c r="IA651" s="125"/>
      <c r="IB651" s="125"/>
      <c r="IC651" s="125"/>
      <c r="ID651" s="125"/>
      <c r="IE651" s="125"/>
      <c r="IF651" s="125"/>
    </row>
    <row r="652" spans="1:240" s="126" customFormat="1" ht="43.5">
      <c r="A652" s="242"/>
      <c r="B652" s="135" t="s">
        <v>388</v>
      </c>
      <c r="C652" s="136"/>
      <c r="D652" s="137"/>
      <c r="E652" s="550">
        <v>0</v>
      </c>
      <c r="F652" s="550">
        <v>0</v>
      </c>
      <c r="G652" s="138"/>
      <c r="H652" s="243"/>
      <c r="I652" s="125"/>
      <c r="J652" s="125"/>
      <c r="K652" s="125"/>
      <c r="L652" s="125"/>
      <c r="M652" s="125"/>
      <c r="N652" s="125"/>
      <c r="O652" s="125"/>
      <c r="P652" s="125"/>
      <c r="Q652" s="125"/>
      <c r="R652" s="125"/>
      <c r="S652" s="125"/>
      <c r="T652" s="125"/>
      <c r="U652" s="125"/>
      <c r="V652" s="125"/>
      <c r="W652" s="125"/>
      <c r="X652" s="125"/>
      <c r="Y652" s="125"/>
      <c r="Z652" s="125"/>
      <c r="AA652" s="125"/>
      <c r="AB652" s="125"/>
      <c r="AC652" s="125"/>
      <c r="AD652" s="125"/>
      <c r="AE652" s="125"/>
      <c r="AF652" s="125"/>
      <c r="AG652" s="125"/>
      <c r="AH652" s="125"/>
      <c r="AI652" s="125"/>
      <c r="AJ652" s="125"/>
      <c r="AK652" s="125"/>
      <c r="AL652" s="125"/>
      <c r="AM652" s="125"/>
      <c r="AN652" s="125"/>
      <c r="AO652" s="125"/>
      <c r="AP652" s="125"/>
      <c r="AQ652" s="125"/>
      <c r="AR652" s="125"/>
      <c r="AS652" s="125"/>
      <c r="AT652" s="125"/>
      <c r="AU652" s="125"/>
      <c r="AV652" s="125"/>
      <c r="AW652" s="125"/>
      <c r="AX652" s="125"/>
      <c r="AY652" s="125"/>
      <c r="AZ652" s="125"/>
      <c r="BA652" s="125"/>
      <c r="BB652" s="125"/>
      <c r="BC652" s="125"/>
      <c r="BD652" s="125"/>
      <c r="BE652" s="125"/>
      <c r="BF652" s="125"/>
      <c r="BG652" s="125"/>
      <c r="BH652" s="125"/>
      <c r="BI652" s="125"/>
      <c r="BJ652" s="125"/>
      <c r="BK652" s="125"/>
      <c r="BL652" s="125"/>
      <c r="BM652" s="125"/>
      <c r="BN652" s="125"/>
      <c r="BO652" s="125"/>
      <c r="BP652" s="125"/>
      <c r="BQ652" s="125"/>
      <c r="BR652" s="125"/>
      <c r="BS652" s="125"/>
      <c r="BT652" s="125"/>
      <c r="BU652" s="125"/>
      <c r="BV652" s="125"/>
      <c r="BW652" s="125"/>
      <c r="BX652" s="125"/>
      <c r="BY652" s="125"/>
      <c r="BZ652" s="125"/>
      <c r="CA652" s="125"/>
      <c r="CB652" s="125"/>
      <c r="CC652" s="125"/>
      <c r="CD652" s="125"/>
      <c r="CE652" s="125"/>
      <c r="CF652" s="125"/>
      <c r="CG652" s="125"/>
      <c r="CH652" s="125"/>
      <c r="CI652" s="125"/>
      <c r="CJ652" s="125"/>
      <c r="CK652" s="125"/>
      <c r="CL652" s="125"/>
      <c r="CM652" s="125"/>
      <c r="CN652" s="125"/>
      <c r="CO652" s="125"/>
      <c r="CP652" s="125"/>
      <c r="CQ652" s="125"/>
      <c r="CR652" s="125"/>
      <c r="CS652" s="125"/>
      <c r="CT652" s="125"/>
      <c r="CU652" s="125"/>
      <c r="CV652" s="125"/>
      <c r="CW652" s="125"/>
      <c r="CX652" s="125"/>
      <c r="CY652" s="125"/>
      <c r="CZ652" s="125"/>
      <c r="DA652" s="125"/>
      <c r="DB652" s="125"/>
      <c r="DC652" s="125"/>
      <c r="DD652" s="125"/>
      <c r="DE652" s="125"/>
      <c r="DF652" s="125"/>
      <c r="DG652" s="125"/>
      <c r="DH652" s="125"/>
      <c r="DI652" s="125"/>
      <c r="DJ652" s="125"/>
      <c r="DK652" s="125"/>
      <c r="DL652" s="125"/>
      <c r="DM652" s="125"/>
      <c r="DN652" s="125"/>
      <c r="DO652" s="125"/>
      <c r="DP652" s="125"/>
      <c r="DQ652" s="125"/>
      <c r="DR652" s="125"/>
      <c r="DS652" s="125"/>
      <c r="DT652" s="125"/>
      <c r="DU652" s="125"/>
      <c r="DV652" s="125"/>
      <c r="DW652" s="125"/>
      <c r="DX652" s="125"/>
      <c r="DY652" s="125"/>
      <c r="DZ652" s="125"/>
      <c r="EA652" s="125"/>
      <c r="EB652" s="125"/>
      <c r="EC652" s="125"/>
      <c r="ED652" s="125"/>
      <c r="EE652" s="125"/>
      <c r="EF652" s="125"/>
      <c r="EG652" s="125"/>
      <c r="EH652" s="125"/>
      <c r="EI652" s="125"/>
      <c r="EJ652" s="125"/>
      <c r="EK652" s="125"/>
      <c r="EL652" s="125"/>
      <c r="EM652" s="125"/>
      <c r="EN652" s="125"/>
      <c r="EO652" s="125"/>
      <c r="EP652" s="125"/>
      <c r="EQ652" s="125"/>
      <c r="ER652" s="125"/>
      <c r="ES652" s="125"/>
      <c r="ET652" s="125"/>
      <c r="EU652" s="125"/>
      <c r="EV652" s="125"/>
      <c r="EW652" s="125"/>
      <c r="EX652" s="125"/>
      <c r="EY652" s="125"/>
      <c r="EZ652" s="125"/>
      <c r="FA652" s="125"/>
      <c r="FB652" s="125"/>
      <c r="FC652" s="125"/>
      <c r="FD652" s="125"/>
      <c r="FE652" s="125"/>
      <c r="FF652" s="125"/>
      <c r="FG652" s="125"/>
      <c r="FH652" s="125"/>
      <c r="FI652" s="125"/>
      <c r="FJ652" s="125"/>
      <c r="FK652" s="125"/>
      <c r="FL652" s="125"/>
      <c r="FM652" s="125"/>
      <c r="FN652" s="125"/>
      <c r="FO652" s="125"/>
      <c r="FP652" s="125"/>
      <c r="FQ652" s="125"/>
      <c r="FR652" s="125"/>
      <c r="FS652" s="125"/>
      <c r="FT652" s="125"/>
      <c r="FU652" s="125"/>
      <c r="FV652" s="125"/>
      <c r="FW652" s="125"/>
      <c r="FX652" s="125"/>
      <c r="FY652" s="125"/>
      <c r="FZ652" s="125"/>
      <c r="GA652" s="125"/>
      <c r="GB652" s="125"/>
      <c r="GC652" s="125"/>
      <c r="GD652" s="125"/>
      <c r="GE652" s="125"/>
      <c r="GF652" s="125"/>
      <c r="GG652" s="125"/>
      <c r="GH652" s="125"/>
      <c r="GI652" s="125"/>
      <c r="GJ652" s="125"/>
      <c r="GK652" s="125"/>
      <c r="GL652" s="125"/>
      <c r="GM652" s="125"/>
      <c r="GN652" s="125"/>
      <c r="GO652" s="125"/>
      <c r="GP652" s="125"/>
      <c r="GQ652" s="125"/>
      <c r="GR652" s="125"/>
      <c r="GS652" s="125"/>
      <c r="GT652" s="125"/>
      <c r="GU652" s="125"/>
      <c r="GV652" s="125"/>
      <c r="GW652" s="125"/>
      <c r="GX652" s="125"/>
      <c r="GY652" s="125"/>
      <c r="GZ652" s="125"/>
      <c r="HA652" s="125"/>
      <c r="HB652" s="125"/>
      <c r="HC652" s="125"/>
      <c r="HD652" s="125"/>
      <c r="HE652" s="125"/>
      <c r="HF652" s="125"/>
      <c r="HG652" s="125"/>
      <c r="HH652" s="125"/>
      <c r="HI652" s="125"/>
      <c r="HJ652" s="125"/>
      <c r="HK652" s="125"/>
      <c r="HL652" s="125"/>
      <c r="HM652" s="125"/>
      <c r="HN652" s="125"/>
      <c r="HO652" s="125"/>
      <c r="HP652" s="125"/>
      <c r="HQ652" s="125"/>
      <c r="HR652" s="125"/>
      <c r="HS652" s="125"/>
      <c r="HT652" s="125"/>
      <c r="HU652" s="125"/>
      <c r="HV652" s="125"/>
      <c r="HW652" s="125"/>
      <c r="HX652" s="125"/>
      <c r="HY652" s="125"/>
      <c r="HZ652" s="125"/>
      <c r="IA652" s="125"/>
      <c r="IB652" s="125"/>
      <c r="IC652" s="125"/>
      <c r="ID652" s="125"/>
      <c r="IE652" s="125"/>
      <c r="IF652" s="125"/>
    </row>
    <row r="653" spans="1:240" s="126" customFormat="1">
      <c r="A653" s="242"/>
      <c r="B653" s="139"/>
      <c r="C653" s="136"/>
      <c r="D653" s="137"/>
      <c r="E653" s="550">
        <v>0</v>
      </c>
      <c r="F653" s="550">
        <v>0</v>
      </c>
      <c r="G653" s="138"/>
      <c r="H653" s="243"/>
      <c r="I653" s="125"/>
      <c r="J653" s="125"/>
      <c r="K653" s="125"/>
      <c r="L653" s="125"/>
      <c r="M653" s="125"/>
      <c r="N653" s="125"/>
      <c r="O653" s="125"/>
      <c r="P653" s="125"/>
      <c r="Q653" s="125"/>
      <c r="R653" s="125"/>
      <c r="S653" s="125"/>
      <c r="T653" s="125"/>
      <c r="U653" s="125"/>
      <c r="V653" s="125"/>
      <c r="W653" s="125"/>
      <c r="X653" s="125"/>
      <c r="Y653" s="125"/>
      <c r="Z653" s="125"/>
      <c r="AA653" s="125"/>
      <c r="AB653" s="125"/>
      <c r="AC653" s="125"/>
      <c r="AD653" s="125"/>
      <c r="AE653" s="125"/>
      <c r="AF653" s="125"/>
      <c r="AG653" s="125"/>
      <c r="AH653" s="125"/>
      <c r="AI653" s="125"/>
      <c r="AJ653" s="125"/>
      <c r="AK653" s="125"/>
      <c r="AL653" s="125"/>
      <c r="AM653" s="125"/>
      <c r="AN653" s="125"/>
      <c r="AO653" s="125"/>
      <c r="AP653" s="125"/>
      <c r="AQ653" s="125"/>
      <c r="AR653" s="125"/>
      <c r="AS653" s="125"/>
      <c r="AT653" s="125"/>
      <c r="AU653" s="125"/>
      <c r="AV653" s="125"/>
      <c r="AW653" s="125"/>
      <c r="AX653" s="125"/>
      <c r="AY653" s="125"/>
      <c r="AZ653" s="125"/>
      <c r="BA653" s="125"/>
      <c r="BB653" s="125"/>
      <c r="BC653" s="125"/>
      <c r="BD653" s="125"/>
      <c r="BE653" s="125"/>
      <c r="BF653" s="125"/>
      <c r="BG653" s="125"/>
      <c r="BH653" s="125"/>
      <c r="BI653" s="125"/>
      <c r="BJ653" s="125"/>
      <c r="BK653" s="125"/>
      <c r="BL653" s="125"/>
      <c r="BM653" s="125"/>
      <c r="BN653" s="125"/>
      <c r="BO653" s="125"/>
      <c r="BP653" s="125"/>
      <c r="BQ653" s="125"/>
      <c r="BR653" s="125"/>
      <c r="BS653" s="125"/>
      <c r="BT653" s="125"/>
      <c r="BU653" s="125"/>
      <c r="BV653" s="125"/>
      <c r="BW653" s="125"/>
      <c r="BX653" s="125"/>
      <c r="BY653" s="125"/>
      <c r="BZ653" s="125"/>
      <c r="CA653" s="125"/>
      <c r="CB653" s="125"/>
      <c r="CC653" s="125"/>
      <c r="CD653" s="125"/>
      <c r="CE653" s="125"/>
      <c r="CF653" s="125"/>
      <c r="CG653" s="125"/>
      <c r="CH653" s="125"/>
      <c r="CI653" s="125"/>
      <c r="CJ653" s="125"/>
      <c r="CK653" s="125"/>
      <c r="CL653" s="125"/>
      <c r="CM653" s="125"/>
      <c r="CN653" s="125"/>
      <c r="CO653" s="125"/>
      <c r="CP653" s="125"/>
      <c r="CQ653" s="125"/>
      <c r="CR653" s="125"/>
      <c r="CS653" s="125"/>
      <c r="CT653" s="125"/>
      <c r="CU653" s="125"/>
      <c r="CV653" s="125"/>
      <c r="CW653" s="125"/>
      <c r="CX653" s="125"/>
      <c r="CY653" s="125"/>
      <c r="CZ653" s="125"/>
      <c r="DA653" s="125"/>
      <c r="DB653" s="125"/>
      <c r="DC653" s="125"/>
      <c r="DD653" s="125"/>
      <c r="DE653" s="125"/>
      <c r="DF653" s="125"/>
      <c r="DG653" s="125"/>
      <c r="DH653" s="125"/>
      <c r="DI653" s="125"/>
      <c r="DJ653" s="125"/>
      <c r="DK653" s="125"/>
      <c r="DL653" s="125"/>
      <c r="DM653" s="125"/>
      <c r="DN653" s="125"/>
      <c r="DO653" s="125"/>
      <c r="DP653" s="125"/>
      <c r="DQ653" s="125"/>
      <c r="DR653" s="125"/>
      <c r="DS653" s="125"/>
      <c r="DT653" s="125"/>
      <c r="DU653" s="125"/>
      <c r="DV653" s="125"/>
      <c r="DW653" s="125"/>
      <c r="DX653" s="125"/>
      <c r="DY653" s="125"/>
      <c r="DZ653" s="125"/>
      <c r="EA653" s="125"/>
      <c r="EB653" s="125"/>
      <c r="EC653" s="125"/>
      <c r="ED653" s="125"/>
      <c r="EE653" s="125"/>
      <c r="EF653" s="125"/>
      <c r="EG653" s="125"/>
      <c r="EH653" s="125"/>
      <c r="EI653" s="125"/>
      <c r="EJ653" s="125"/>
      <c r="EK653" s="125"/>
      <c r="EL653" s="125"/>
      <c r="EM653" s="125"/>
      <c r="EN653" s="125"/>
      <c r="EO653" s="125"/>
      <c r="EP653" s="125"/>
      <c r="EQ653" s="125"/>
      <c r="ER653" s="125"/>
      <c r="ES653" s="125"/>
      <c r="ET653" s="125"/>
      <c r="EU653" s="125"/>
      <c r="EV653" s="125"/>
      <c r="EW653" s="125"/>
      <c r="EX653" s="125"/>
      <c r="EY653" s="125"/>
      <c r="EZ653" s="125"/>
      <c r="FA653" s="125"/>
      <c r="FB653" s="125"/>
      <c r="FC653" s="125"/>
      <c r="FD653" s="125"/>
      <c r="FE653" s="125"/>
      <c r="FF653" s="125"/>
      <c r="FG653" s="125"/>
      <c r="FH653" s="125"/>
      <c r="FI653" s="125"/>
      <c r="FJ653" s="125"/>
      <c r="FK653" s="125"/>
      <c r="FL653" s="125"/>
      <c r="FM653" s="125"/>
      <c r="FN653" s="125"/>
      <c r="FO653" s="125"/>
      <c r="FP653" s="125"/>
      <c r="FQ653" s="125"/>
      <c r="FR653" s="125"/>
      <c r="FS653" s="125"/>
      <c r="FT653" s="125"/>
      <c r="FU653" s="125"/>
      <c r="FV653" s="125"/>
      <c r="FW653" s="125"/>
      <c r="FX653" s="125"/>
      <c r="FY653" s="125"/>
      <c r="FZ653" s="125"/>
      <c r="GA653" s="125"/>
      <c r="GB653" s="125"/>
      <c r="GC653" s="125"/>
      <c r="GD653" s="125"/>
      <c r="GE653" s="125"/>
      <c r="GF653" s="125"/>
      <c r="GG653" s="125"/>
      <c r="GH653" s="125"/>
      <c r="GI653" s="125"/>
      <c r="GJ653" s="125"/>
      <c r="GK653" s="125"/>
      <c r="GL653" s="125"/>
      <c r="GM653" s="125"/>
      <c r="GN653" s="125"/>
      <c r="GO653" s="125"/>
      <c r="GP653" s="125"/>
      <c r="GQ653" s="125"/>
      <c r="GR653" s="125"/>
      <c r="GS653" s="125"/>
      <c r="GT653" s="125"/>
      <c r="GU653" s="125"/>
      <c r="GV653" s="125"/>
      <c r="GW653" s="125"/>
      <c r="GX653" s="125"/>
      <c r="GY653" s="125"/>
      <c r="GZ653" s="125"/>
      <c r="HA653" s="125"/>
      <c r="HB653" s="125"/>
      <c r="HC653" s="125"/>
      <c r="HD653" s="125"/>
      <c r="HE653" s="125"/>
      <c r="HF653" s="125"/>
      <c r="HG653" s="125"/>
      <c r="HH653" s="125"/>
      <c r="HI653" s="125"/>
      <c r="HJ653" s="125"/>
      <c r="HK653" s="125"/>
      <c r="HL653" s="125"/>
      <c r="HM653" s="125"/>
      <c r="HN653" s="125"/>
      <c r="HO653" s="125"/>
      <c r="HP653" s="125"/>
      <c r="HQ653" s="125"/>
      <c r="HR653" s="125"/>
      <c r="HS653" s="125"/>
      <c r="HT653" s="125"/>
      <c r="HU653" s="125"/>
      <c r="HV653" s="125"/>
      <c r="HW653" s="125"/>
      <c r="HX653" s="125"/>
      <c r="HY653" s="125"/>
      <c r="HZ653" s="125"/>
      <c r="IA653" s="125"/>
      <c r="IB653" s="125"/>
      <c r="IC653" s="125"/>
      <c r="ID653" s="125"/>
      <c r="IE653" s="125"/>
      <c r="IF653" s="125"/>
    </row>
    <row r="654" spans="1:240" s="126" customFormat="1">
      <c r="A654" s="242">
        <f>A650+0.1</f>
        <v>11.1</v>
      </c>
      <c r="B654" s="140" t="s">
        <v>389</v>
      </c>
      <c r="C654" s="136" t="s">
        <v>79</v>
      </c>
      <c r="D654" s="137" t="s">
        <v>228</v>
      </c>
      <c r="E654" s="550">
        <v>0</v>
      </c>
      <c r="F654" s="550">
        <v>0</v>
      </c>
      <c r="G654" s="122"/>
      <c r="H654" s="204"/>
      <c r="I654" s="125"/>
      <c r="J654" s="125"/>
      <c r="K654" s="125"/>
      <c r="L654" s="125"/>
      <c r="M654" s="125"/>
      <c r="N654" s="125"/>
      <c r="O654" s="125"/>
      <c r="P654" s="125"/>
      <c r="Q654" s="125"/>
      <c r="R654" s="125"/>
      <c r="S654" s="125"/>
      <c r="T654" s="125"/>
      <c r="U654" s="125"/>
      <c r="V654" s="125"/>
      <c r="W654" s="125"/>
      <c r="X654" s="125"/>
      <c r="Y654" s="125"/>
      <c r="Z654" s="125"/>
      <c r="AA654" s="125"/>
      <c r="AB654" s="125"/>
      <c r="AC654" s="125"/>
      <c r="AD654" s="125"/>
      <c r="AE654" s="125"/>
      <c r="AF654" s="125"/>
      <c r="AG654" s="125"/>
      <c r="AH654" s="125"/>
      <c r="AI654" s="125"/>
      <c r="AJ654" s="125"/>
      <c r="AK654" s="125"/>
      <c r="AL654" s="125"/>
      <c r="AM654" s="125"/>
      <c r="AN654" s="125"/>
      <c r="AO654" s="125"/>
      <c r="AP654" s="125"/>
      <c r="AQ654" s="125"/>
      <c r="AR654" s="125"/>
      <c r="AS654" s="125"/>
      <c r="AT654" s="125"/>
      <c r="AU654" s="125"/>
      <c r="AV654" s="125"/>
      <c r="AW654" s="125"/>
      <c r="AX654" s="125"/>
      <c r="AY654" s="125"/>
      <c r="AZ654" s="125"/>
      <c r="BA654" s="125"/>
      <c r="BB654" s="125"/>
      <c r="BC654" s="125"/>
      <c r="BD654" s="125"/>
      <c r="BE654" s="125"/>
      <c r="BF654" s="125"/>
      <c r="BG654" s="125"/>
      <c r="BH654" s="125"/>
      <c r="BI654" s="125"/>
      <c r="BJ654" s="125"/>
      <c r="BK654" s="125"/>
      <c r="BL654" s="125"/>
      <c r="BM654" s="125"/>
      <c r="BN654" s="125"/>
      <c r="BO654" s="125"/>
      <c r="BP654" s="125"/>
      <c r="BQ654" s="125"/>
      <c r="BR654" s="125"/>
      <c r="BS654" s="125"/>
      <c r="BT654" s="125"/>
      <c r="BU654" s="125"/>
      <c r="BV654" s="125"/>
      <c r="BW654" s="125"/>
      <c r="BX654" s="125"/>
      <c r="BY654" s="125"/>
      <c r="BZ654" s="125"/>
      <c r="CA654" s="125"/>
      <c r="CB654" s="125"/>
      <c r="CC654" s="125"/>
      <c r="CD654" s="125"/>
      <c r="CE654" s="125"/>
      <c r="CF654" s="125"/>
      <c r="CG654" s="125"/>
      <c r="CH654" s="125"/>
      <c r="CI654" s="125"/>
      <c r="CJ654" s="125"/>
      <c r="CK654" s="125"/>
      <c r="CL654" s="125"/>
      <c r="CM654" s="125"/>
      <c r="CN654" s="125"/>
      <c r="CO654" s="125"/>
      <c r="CP654" s="125"/>
      <c r="CQ654" s="125"/>
      <c r="CR654" s="125"/>
      <c r="CS654" s="125"/>
      <c r="CT654" s="125"/>
      <c r="CU654" s="125"/>
      <c r="CV654" s="125"/>
      <c r="CW654" s="125"/>
      <c r="CX654" s="125"/>
      <c r="CY654" s="125"/>
      <c r="CZ654" s="125"/>
      <c r="DA654" s="125"/>
      <c r="DB654" s="125"/>
      <c r="DC654" s="125"/>
      <c r="DD654" s="125"/>
      <c r="DE654" s="125"/>
      <c r="DF654" s="125"/>
      <c r="DG654" s="125"/>
      <c r="DH654" s="125"/>
      <c r="DI654" s="125"/>
      <c r="DJ654" s="125"/>
      <c r="DK654" s="125"/>
      <c r="DL654" s="125"/>
      <c r="DM654" s="125"/>
      <c r="DN654" s="125"/>
      <c r="DO654" s="125"/>
      <c r="DP654" s="125"/>
      <c r="DQ654" s="125"/>
      <c r="DR654" s="125"/>
      <c r="DS654" s="125"/>
      <c r="DT654" s="125"/>
      <c r="DU654" s="125"/>
      <c r="DV654" s="125"/>
      <c r="DW654" s="125"/>
      <c r="DX654" s="125"/>
      <c r="DY654" s="125"/>
      <c r="DZ654" s="125"/>
      <c r="EA654" s="125"/>
      <c r="EB654" s="125"/>
      <c r="EC654" s="125"/>
      <c r="ED654" s="125"/>
      <c r="EE654" s="125"/>
      <c r="EF654" s="125"/>
      <c r="EG654" s="125"/>
      <c r="EH654" s="125"/>
      <c r="EI654" s="125"/>
      <c r="EJ654" s="125"/>
      <c r="EK654" s="125"/>
      <c r="EL654" s="125"/>
      <c r="EM654" s="125"/>
      <c r="EN654" s="125"/>
      <c r="EO654" s="125"/>
      <c r="EP654" s="125"/>
      <c r="EQ654" s="125"/>
      <c r="ER654" s="125"/>
      <c r="ES654" s="125"/>
      <c r="ET654" s="125"/>
      <c r="EU654" s="125"/>
      <c r="EV654" s="125"/>
      <c r="EW654" s="125"/>
      <c r="EX654" s="125"/>
      <c r="EY654" s="125"/>
      <c r="EZ654" s="125"/>
      <c r="FA654" s="125"/>
      <c r="FB654" s="125"/>
      <c r="FC654" s="125"/>
      <c r="FD654" s="125"/>
      <c r="FE654" s="125"/>
      <c r="FF654" s="125"/>
      <c r="FG654" s="125"/>
      <c r="FH654" s="125"/>
      <c r="FI654" s="125"/>
      <c r="FJ654" s="125"/>
      <c r="FK654" s="125"/>
      <c r="FL654" s="125"/>
      <c r="FM654" s="125"/>
      <c r="FN654" s="125"/>
      <c r="FO654" s="125"/>
      <c r="FP654" s="125"/>
      <c r="FQ654" s="125"/>
      <c r="FR654" s="125"/>
      <c r="FS654" s="125"/>
      <c r="FT654" s="125"/>
      <c r="FU654" s="125"/>
      <c r="FV654" s="125"/>
      <c r="FW654" s="125"/>
      <c r="FX654" s="125"/>
      <c r="FY654" s="125"/>
      <c r="FZ654" s="125"/>
      <c r="GA654" s="125"/>
      <c r="GB654" s="125"/>
      <c r="GC654" s="125"/>
      <c r="GD654" s="125"/>
      <c r="GE654" s="125"/>
      <c r="GF654" s="125"/>
      <c r="GG654" s="125"/>
      <c r="GH654" s="125"/>
      <c r="GI654" s="125"/>
      <c r="GJ654" s="125"/>
      <c r="GK654" s="125"/>
      <c r="GL654" s="125"/>
      <c r="GM654" s="125"/>
      <c r="GN654" s="125"/>
      <c r="GO654" s="125"/>
      <c r="GP654" s="125"/>
      <c r="GQ654" s="125"/>
      <c r="GR654" s="125"/>
      <c r="GS654" s="125"/>
      <c r="GT654" s="125"/>
      <c r="GU654" s="125"/>
      <c r="GV654" s="125"/>
      <c r="GW654" s="125"/>
      <c r="GX654" s="125"/>
      <c r="GY654" s="125"/>
      <c r="GZ654" s="125"/>
      <c r="HA654" s="125"/>
      <c r="HB654" s="125"/>
      <c r="HC654" s="125"/>
      <c r="HD654" s="125"/>
      <c r="HE654" s="125"/>
      <c r="HF654" s="125"/>
      <c r="HG654" s="125"/>
      <c r="HH654" s="125"/>
      <c r="HI654" s="125"/>
      <c r="HJ654" s="125"/>
      <c r="HK654" s="125"/>
      <c r="HL654" s="125"/>
      <c r="HM654" s="125"/>
      <c r="HN654" s="125"/>
      <c r="HO654" s="125"/>
      <c r="HP654" s="125"/>
      <c r="HQ654" s="125"/>
      <c r="HR654" s="125"/>
      <c r="HS654" s="125"/>
      <c r="HT654" s="125"/>
      <c r="HU654" s="125"/>
      <c r="HV654" s="125"/>
      <c r="HW654" s="125"/>
      <c r="HX654" s="125"/>
      <c r="HY654" s="125"/>
      <c r="HZ654" s="125"/>
      <c r="IA654" s="125"/>
      <c r="IB654" s="125"/>
      <c r="IC654" s="125"/>
      <c r="ID654" s="125"/>
      <c r="IE654" s="125"/>
      <c r="IF654" s="125"/>
    </row>
    <row r="655" spans="1:240" s="126" customFormat="1">
      <c r="A655" s="242"/>
      <c r="B655" s="140"/>
      <c r="C655" s="136"/>
      <c r="D655" s="137"/>
      <c r="E655" s="550">
        <v>0</v>
      </c>
      <c r="F655" s="550">
        <v>0</v>
      </c>
      <c r="G655" s="141"/>
      <c r="H655" s="248"/>
      <c r="I655" s="125"/>
      <c r="J655" s="125"/>
      <c r="K655" s="125"/>
      <c r="L655" s="125"/>
      <c r="M655" s="125"/>
      <c r="N655" s="125"/>
      <c r="O655" s="125"/>
      <c r="P655" s="125"/>
      <c r="Q655" s="125"/>
      <c r="R655" s="125"/>
      <c r="S655" s="125"/>
      <c r="T655" s="125"/>
      <c r="U655" s="125"/>
      <c r="V655" s="125"/>
      <c r="W655" s="125"/>
      <c r="X655" s="125"/>
      <c r="Y655" s="125"/>
      <c r="Z655" s="125"/>
      <c r="AA655" s="125"/>
      <c r="AB655" s="125"/>
      <c r="AC655" s="125"/>
      <c r="AD655" s="125"/>
      <c r="AE655" s="125"/>
      <c r="AF655" s="125"/>
      <c r="AG655" s="125"/>
      <c r="AH655" s="125"/>
      <c r="AI655" s="125"/>
      <c r="AJ655" s="125"/>
      <c r="AK655" s="125"/>
      <c r="AL655" s="125"/>
      <c r="AM655" s="125"/>
      <c r="AN655" s="125"/>
      <c r="AO655" s="125"/>
      <c r="AP655" s="125"/>
      <c r="AQ655" s="125"/>
      <c r="AR655" s="125"/>
      <c r="AS655" s="125"/>
      <c r="AT655" s="125"/>
      <c r="AU655" s="125"/>
      <c r="AV655" s="125"/>
      <c r="AW655" s="125"/>
      <c r="AX655" s="125"/>
      <c r="AY655" s="125"/>
      <c r="AZ655" s="125"/>
      <c r="BA655" s="125"/>
      <c r="BB655" s="125"/>
      <c r="BC655" s="125"/>
      <c r="BD655" s="125"/>
      <c r="BE655" s="125"/>
      <c r="BF655" s="125"/>
      <c r="BG655" s="125"/>
      <c r="BH655" s="125"/>
      <c r="BI655" s="125"/>
      <c r="BJ655" s="125"/>
      <c r="BK655" s="125"/>
      <c r="BL655" s="125"/>
      <c r="BM655" s="125"/>
      <c r="BN655" s="125"/>
      <c r="BO655" s="125"/>
      <c r="BP655" s="125"/>
      <c r="BQ655" s="125"/>
      <c r="BR655" s="125"/>
      <c r="BS655" s="125"/>
      <c r="BT655" s="125"/>
      <c r="BU655" s="125"/>
      <c r="BV655" s="125"/>
      <c r="BW655" s="125"/>
      <c r="BX655" s="125"/>
      <c r="BY655" s="125"/>
      <c r="BZ655" s="125"/>
      <c r="CA655" s="125"/>
      <c r="CB655" s="125"/>
      <c r="CC655" s="125"/>
      <c r="CD655" s="125"/>
      <c r="CE655" s="125"/>
      <c r="CF655" s="125"/>
      <c r="CG655" s="125"/>
      <c r="CH655" s="125"/>
      <c r="CI655" s="125"/>
      <c r="CJ655" s="125"/>
      <c r="CK655" s="125"/>
      <c r="CL655" s="125"/>
      <c r="CM655" s="125"/>
      <c r="CN655" s="125"/>
      <c r="CO655" s="125"/>
      <c r="CP655" s="125"/>
      <c r="CQ655" s="125"/>
      <c r="CR655" s="125"/>
      <c r="CS655" s="125"/>
      <c r="CT655" s="125"/>
      <c r="CU655" s="125"/>
      <c r="CV655" s="125"/>
      <c r="CW655" s="125"/>
      <c r="CX655" s="125"/>
      <c r="CY655" s="125"/>
      <c r="CZ655" s="125"/>
      <c r="DA655" s="125"/>
      <c r="DB655" s="125"/>
      <c r="DC655" s="125"/>
      <c r="DD655" s="125"/>
      <c r="DE655" s="125"/>
      <c r="DF655" s="125"/>
      <c r="DG655" s="125"/>
      <c r="DH655" s="125"/>
      <c r="DI655" s="125"/>
      <c r="DJ655" s="125"/>
      <c r="DK655" s="125"/>
      <c r="DL655" s="125"/>
      <c r="DM655" s="125"/>
      <c r="DN655" s="125"/>
      <c r="DO655" s="125"/>
      <c r="DP655" s="125"/>
      <c r="DQ655" s="125"/>
      <c r="DR655" s="125"/>
      <c r="DS655" s="125"/>
      <c r="DT655" s="125"/>
      <c r="DU655" s="125"/>
      <c r="DV655" s="125"/>
      <c r="DW655" s="125"/>
      <c r="DX655" s="125"/>
      <c r="DY655" s="125"/>
      <c r="DZ655" s="125"/>
      <c r="EA655" s="125"/>
      <c r="EB655" s="125"/>
      <c r="EC655" s="125"/>
      <c r="ED655" s="125"/>
      <c r="EE655" s="125"/>
      <c r="EF655" s="125"/>
      <c r="EG655" s="125"/>
      <c r="EH655" s="125"/>
      <c r="EI655" s="125"/>
      <c r="EJ655" s="125"/>
      <c r="EK655" s="125"/>
      <c r="EL655" s="125"/>
      <c r="EM655" s="125"/>
      <c r="EN655" s="125"/>
      <c r="EO655" s="125"/>
      <c r="EP655" s="125"/>
      <c r="EQ655" s="125"/>
      <c r="ER655" s="125"/>
      <c r="ES655" s="125"/>
      <c r="ET655" s="125"/>
      <c r="EU655" s="125"/>
      <c r="EV655" s="125"/>
      <c r="EW655" s="125"/>
      <c r="EX655" s="125"/>
      <c r="EY655" s="125"/>
      <c r="EZ655" s="125"/>
      <c r="FA655" s="125"/>
      <c r="FB655" s="125"/>
      <c r="FC655" s="125"/>
      <c r="FD655" s="125"/>
      <c r="FE655" s="125"/>
      <c r="FF655" s="125"/>
      <c r="FG655" s="125"/>
      <c r="FH655" s="125"/>
      <c r="FI655" s="125"/>
      <c r="FJ655" s="125"/>
      <c r="FK655" s="125"/>
      <c r="FL655" s="125"/>
      <c r="FM655" s="125"/>
      <c r="FN655" s="125"/>
      <c r="FO655" s="125"/>
      <c r="FP655" s="125"/>
      <c r="FQ655" s="125"/>
      <c r="FR655" s="125"/>
      <c r="FS655" s="125"/>
      <c r="FT655" s="125"/>
      <c r="FU655" s="125"/>
      <c r="FV655" s="125"/>
      <c r="FW655" s="125"/>
      <c r="FX655" s="125"/>
      <c r="FY655" s="125"/>
      <c r="FZ655" s="125"/>
      <c r="GA655" s="125"/>
      <c r="GB655" s="125"/>
      <c r="GC655" s="125"/>
      <c r="GD655" s="125"/>
      <c r="GE655" s="125"/>
      <c r="GF655" s="125"/>
      <c r="GG655" s="125"/>
      <c r="GH655" s="125"/>
      <c r="GI655" s="125"/>
      <c r="GJ655" s="125"/>
      <c r="GK655" s="125"/>
      <c r="GL655" s="125"/>
      <c r="GM655" s="125"/>
      <c r="GN655" s="125"/>
      <c r="GO655" s="125"/>
      <c r="GP655" s="125"/>
      <c r="GQ655" s="125"/>
      <c r="GR655" s="125"/>
      <c r="GS655" s="125"/>
      <c r="GT655" s="125"/>
      <c r="GU655" s="125"/>
      <c r="GV655" s="125"/>
      <c r="GW655" s="125"/>
      <c r="GX655" s="125"/>
      <c r="GY655" s="125"/>
      <c r="GZ655" s="125"/>
      <c r="HA655" s="125"/>
      <c r="HB655" s="125"/>
      <c r="HC655" s="125"/>
      <c r="HD655" s="125"/>
      <c r="HE655" s="125"/>
      <c r="HF655" s="125"/>
      <c r="HG655" s="125"/>
      <c r="HH655" s="125"/>
      <c r="HI655" s="125"/>
      <c r="HJ655" s="125"/>
      <c r="HK655" s="125"/>
      <c r="HL655" s="125"/>
      <c r="HM655" s="125"/>
      <c r="HN655" s="125"/>
      <c r="HO655" s="125"/>
      <c r="HP655" s="125"/>
      <c r="HQ655" s="125"/>
      <c r="HR655" s="125"/>
      <c r="HS655" s="125"/>
      <c r="HT655" s="125"/>
      <c r="HU655" s="125"/>
      <c r="HV655" s="125"/>
      <c r="HW655" s="125"/>
      <c r="HX655" s="125"/>
      <c r="HY655" s="125"/>
      <c r="HZ655" s="125"/>
      <c r="IA655" s="125"/>
      <c r="IB655" s="125"/>
      <c r="IC655" s="125"/>
      <c r="ID655" s="125"/>
      <c r="IE655" s="125"/>
      <c r="IF655" s="125"/>
    </row>
    <row r="656" spans="1:240" s="126" customFormat="1">
      <c r="A656" s="242">
        <f>A654+0.1</f>
        <v>11.2</v>
      </c>
      <c r="B656" s="140" t="s">
        <v>390</v>
      </c>
      <c r="C656" s="136" t="s">
        <v>79</v>
      </c>
      <c r="D656" s="137" t="s">
        <v>228</v>
      </c>
      <c r="E656" s="550">
        <v>0</v>
      </c>
      <c r="F656" s="550">
        <v>0</v>
      </c>
      <c r="G656" s="122"/>
      <c r="H656" s="204"/>
      <c r="I656" s="125"/>
      <c r="J656" s="125"/>
      <c r="K656" s="125"/>
      <c r="L656" s="125"/>
      <c r="M656" s="125"/>
      <c r="N656" s="125"/>
      <c r="O656" s="125"/>
      <c r="P656" s="125"/>
      <c r="Q656" s="125"/>
      <c r="R656" s="125"/>
      <c r="S656" s="125"/>
      <c r="T656" s="125"/>
      <c r="U656" s="125"/>
      <c r="V656" s="125"/>
      <c r="W656" s="125"/>
      <c r="X656" s="125"/>
      <c r="Y656" s="125"/>
      <c r="Z656" s="125"/>
      <c r="AA656" s="125"/>
      <c r="AB656" s="125"/>
      <c r="AC656" s="125"/>
      <c r="AD656" s="125"/>
      <c r="AE656" s="125"/>
      <c r="AF656" s="125"/>
      <c r="AG656" s="125"/>
      <c r="AH656" s="125"/>
      <c r="AI656" s="125"/>
      <c r="AJ656" s="125"/>
      <c r="AK656" s="125"/>
      <c r="AL656" s="125"/>
      <c r="AM656" s="125"/>
      <c r="AN656" s="125"/>
      <c r="AO656" s="125"/>
      <c r="AP656" s="125"/>
      <c r="AQ656" s="125"/>
      <c r="AR656" s="125"/>
      <c r="AS656" s="125"/>
      <c r="AT656" s="125"/>
      <c r="AU656" s="125"/>
      <c r="AV656" s="125"/>
      <c r="AW656" s="125"/>
      <c r="AX656" s="125"/>
      <c r="AY656" s="125"/>
      <c r="AZ656" s="125"/>
      <c r="BA656" s="125"/>
      <c r="BB656" s="125"/>
      <c r="BC656" s="125"/>
      <c r="BD656" s="125"/>
      <c r="BE656" s="125"/>
      <c r="BF656" s="125"/>
      <c r="BG656" s="125"/>
      <c r="BH656" s="125"/>
      <c r="BI656" s="125"/>
      <c r="BJ656" s="125"/>
      <c r="BK656" s="125"/>
      <c r="BL656" s="125"/>
      <c r="BM656" s="125"/>
      <c r="BN656" s="125"/>
      <c r="BO656" s="125"/>
      <c r="BP656" s="125"/>
      <c r="BQ656" s="125"/>
      <c r="BR656" s="125"/>
      <c r="BS656" s="125"/>
      <c r="BT656" s="125"/>
      <c r="BU656" s="125"/>
      <c r="BV656" s="125"/>
      <c r="BW656" s="125"/>
      <c r="BX656" s="125"/>
      <c r="BY656" s="125"/>
      <c r="BZ656" s="125"/>
      <c r="CA656" s="125"/>
      <c r="CB656" s="125"/>
      <c r="CC656" s="125"/>
      <c r="CD656" s="125"/>
      <c r="CE656" s="125"/>
      <c r="CF656" s="125"/>
      <c r="CG656" s="125"/>
      <c r="CH656" s="125"/>
      <c r="CI656" s="125"/>
      <c r="CJ656" s="125"/>
      <c r="CK656" s="125"/>
      <c r="CL656" s="125"/>
      <c r="CM656" s="125"/>
      <c r="CN656" s="125"/>
      <c r="CO656" s="125"/>
      <c r="CP656" s="125"/>
      <c r="CQ656" s="125"/>
      <c r="CR656" s="125"/>
      <c r="CS656" s="125"/>
      <c r="CT656" s="125"/>
      <c r="CU656" s="125"/>
      <c r="CV656" s="125"/>
      <c r="CW656" s="125"/>
      <c r="CX656" s="125"/>
      <c r="CY656" s="125"/>
      <c r="CZ656" s="125"/>
      <c r="DA656" s="125"/>
      <c r="DB656" s="125"/>
      <c r="DC656" s="125"/>
      <c r="DD656" s="125"/>
      <c r="DE656" s="125"/>
      <c r="DF656" s="125"/>
      <c r="DG656" s="125"/>
      <c r="DH656" s="125"/>
      <c r="DI656" s="125"/>
      <c r="DJ656" s="125"/>
      <c r="DK656" s="125"/>
      <c r="DL656" s="125"/>
      <c r="DM656" s="125"/>
      <c r="DN656" s="125"/>
      <c r="DO656" s="125"/>
      <c r="DP656" s="125"/>
      <c r="DQ656" s="125"/>
      <c r="DR656" s="125"/>
      <c r="DS656" s="125"/>
      <c r="DT656" s="125"/>
      <c r="DU656" s="125"/>
      <c r="DV656" s="125"/>
      <c r="DW656" s="125"/>
      <c r="DX656" s="125"/>
      <c r="DY656" s="125"/>
      <c r="DZ656" s="125"/>
      <c r="EA656" s="125"/>
      <c r="EB656" s="125"/>
      <c r="EC656" s="125"/>
      <c r="ED656" s="125"/>
      <c r="EE656" s="125"/>
      <c r="EF656" s="125"/>
      <c r="EG656" s="125"/>
      <c r="EH656" s="125"/>
      <c r="EI656" s="125"/>
      <c r="EJ656" s="125"/>
      <c r="EK656" s="125"/>
      <c r="EL656" s="125"/>
      <c r="EM656" s="125"/>
      <c r="EN656" s="125"/>
      <c r="EO656" s="125"/>
      <c r="EP656" s="125"/>
      <c r="EQ656" s="125"/>
      <c r="ER656" s="125"/>
      <c r="ES656" s="125"/>
      <c r="ET656" s="125"/>
      <c r="EU656" s="125"/>
      <c r="EV656" s="125"/>
      <c r="EW656" s="125"/>
      <c r="EX656" s="125"/>
      <c r="EY656" s="125"/>
      <c r="EZ656" s="125"/>
      <c r="FA656" s="125"/>
      <c r="FB656" s="125"/>
      <c r="FC656" s="125"/>
      <c r="FD656" s="125"/>
      <c r="FE656" s="125"/>
      <c r="FF656" s="125"/>
      <c r="FG656" s="125"/>
      <c r="FH656" s="125"/>
      <c r="FI656" s="125"/>
      <c r="FJ656" s="125"/>
      <c r="FK656" s="125"/>
      <c r="FL656" s="125"/>
      <c r="FM656" s="125"/>
      <c r="FN656" s="125"/>
      <c r="FO656" s="125"/>
      <c r="FP656" s="125"/>
      <c r="FQ656" s="125"/>
      <c r="FR656" s="125"/>
      <c r="FS656" s="125"/>
      <c r="FT656" s="125"/>
      <c r="FU656" s="125"/>
      <c r="FV656" s="125"/>
      <c r="FW656" s="125"/>
      <c r="FX656" s="125"/>
      <c r="FY656" s="125"/>
      <c r="FZ656" s="125"/>
      <c r="GA656" s="125"/>
      <c r="GB656" s="125"/>
      <c r="GC656" s="125"/>
      <c r="GD656" s="125"/>
      <c r="GE656" s="125"/>
      <c r="GF656" s="125"/>
      <c r="GG656" s="125"/>
      <c r="GH656" s="125"/>
      <c r="GI656" s="125"/>
      <c r="GJ656" s="125"/>
      <c r="GK656" s="125"/>
      <c r="GL656" s="125"/>
      <c r="GM656" s="125"/>
      <c r="GN656" s="125"/>
      <c r="GO656" s="125"/>
      <c r="GP656" s="125"/>
      <c r="GQ656" s="125"/>
      <c r="GR656" s="125"/>
      <c r="GS656" s="125"/>
      <c r="GT656" s="125"/>
      <c r="GU656" s="125"/>
      <c r="GV656" s="125"/>
      <c r="GW656" s="125"/>
      <c r="GX656" s="125"/>
      <c r="GY656" s="125"/>
      <c r="GZ656" s="125"/>
      <c r="HA656" s="125"/>
      <c r="HB656" s="125"/>
      <c r="HC656" s="125"/>
      <c r="HD656" s="125"/>
      <c r="HE656" s="125"/>
      <c r="HF656" s="125"/>
      <c r="HG656" s="125"/>
      <c r="HH656" s="125"/>
      <c r="HI656" s="125"/>
      <c r="HJ656" s="125"/>
      <c r="HK656" s="125"/>
      <c r="HL656" s="125"/>
      <c r="HM656" s="125"/>
      <c r="HN656" s="125"/>
      <c r="HO656" s="125"/>
      <c r="HP656" s="125"/>
      <c r="HQ656" s="125"/>
      <c r="HR656" s="125"/>
      <c r="HS656" s="125"/>
      <c r="HT656" s="125"/>
      <c r="HU656" s="125"/>
      <c r="HV656" s="125"/>
      <c r="HW656" s="125"/>
      <c r="HX656" s="125"/>
      <c r="HY656" s="125"/>
      <c r="HZ656" s="125"/>
      <c r="IA656" s="125"/>
      <c r="IB656" s="125"/>
      <c r="IC656" s="125"/>
      <c r="ID656" s="125"/>
      <c r="IE656" s="125"/>
      <c r="IF656" s="125"/>
    </row>
    <row r="657" spans="1:240" s="126" customFormat="1">
      <c r="A657" s="242"/>
      <c r="B657" s="140"/>
      <c r="C657" s="136"/>
      <c r="D657" s="137"/>
      <c r="E657" s="550">
        <v>0</v>
      </c>
      <c r="F657" s="550">
        <v>0</v>
      </c>
      <c r="G657" s="141"/>
      <c r="H657" s="248"/>
      <c r="I657" s="125"/>
      <c r="J657" s="125"/>
      <c r="K657" s="125"/>
      <c r="L657" s="125"/>
      <c r="M657" s="125"/>
      <c r="N657" s="125"/>
      <c r="O657" s="125"/>
      <c r="P657" s="125"/>
      <c r="Q657" s="125"/>
      <c r="R657" s="125"/>
      <c r="S657" s="125"/>
      <c r="T657" s="125"/>
      <c r="U657" s="125"/>
      <c r="V657" s="125"/>
      <c r="W657" s="125"/>
      <c r="X657" s="125"/>
      <c r="Y657" s="125"/>
      <c r="Z657" s="125"/>
      <c r="AA657" s="125"/>
      <c r="AB657" s="125"/>
      <c r="AC657" s="125"/>
      <c r="AD657" s="125"/>
      <c r="AE657" s="125"/>
      <c r="AF657" s="125"/>
      <c r="AG657" s="125"/>
      <c r="AH657" s="125"/>
      <c r="AI657" s="125"/>
      <c r="AJ657" s="125"/>
      <c r="AK657" s="125"/>
      <c r="AL657" s="125"/>
      <c r="AM657" s="125"/>
      <c r="AN657" s="125"/>
      <c r="AO657" s="125"/>
      <c r="AP657" s="125"/>
      <c r="AQ657" s="125"/>
      <c r="AR657" s="125"/>
      <c r="AS657" s="125"/>
      <c r="AT657" s="125"/>
      <c r="AU657" s="125"/>
      <c r="AV657" s="125"/>
      <c r="AW657" s="125"/>
      <c r="AX657" s="125"/>
      <c r="AY657" s="125"/>
      <c r="AZ657" s="125"/>
      <c r="BA657" s="125"/>
      <c r="BB657" s="125"/>
      <c r="BC657" s="125"/>
      <c r="BD657" s="125"/>
      <c r="BE657" s="125"/>
      <c r="BF657" s="125"/>
      <c r="BG657" s="125"/>
      <c r="BH657" s="125"/>
      <c r="BI657" s="125"/>
      <c r="BJ657" s="125"/>
      <c r="BK657" s="125"/>
      <c r="BL657" s="125"/>
      <c r="BM657" s="125"/>
      <c r="BN657" s="125"/>
      <c r="BO657" s="125"/>
      <c r="BP657" s="125"/>
      <c r="BQ657" s="125"/>
      <c r="BR657" s="125"/>
      <c r="BS657" s="125"/>
      <c r="BT657" s="125"/>
      <c r="BU657" s="125"/>
      <c r="BV657" s="125"/>
      <c r="BW657" s="125"/>
      <c r="BX657" s="125"/>
      <c r="BY657" s="125"/>
      <c r="BZ657" s="125"/>
      <c r="CA657" s="125"/>
      <c r="CB657" s="125"/>
      <c r="CC657" s="125"/>
      <c r="CD657" s="125"/>
      <c r="CE657" s="125"/>
      <c r="CF657" s="125"/>
      <c r="CG657" s="125"/>
      <c r="CH657" s="125"/>
      <c r="CI657" s="125"/>
      <c r="CJ657" s="125"/>
      <c r="CK657" s="125"/>
      <c r="CL657" s="125"/>
      <c r="CM657" s="125"/>
      <c r="CN657" s="125"/>
      <c r="CO657" s="125"/>
      <c r="CP657" s="125"/>
      <c r="CQ657" s="125"/>
      <c r="CR657" s="125"/>
      <c r="CS657" s="125"/>
      <c r="CT657" s="125"/>
      <c r="CU657" s="125"/>
      <c r="CV657" s="125"/>
      <c r="CW657" s="125"/>
      <c r="CX657" s="125"/>
      <c r="CY657" s="125"/>
      <c r="CZ657" s="125"/>
      <c r="DA657" s="125"/>
      <c r="DB657" s="125"/>
      <c r="DC657" s="125"/>
      <c r="DD657" s="125"/>
      <c r="DE657" s="125"/>
      <c r="DF657" s="125"/>
      <c r="DG657" s="125"/>
      <c r="DH657" s="125"/>
      <c r="DI657" s="125"/>
      <c r="DJ657" s="125"/>
      <c r="DK657" s="125"/>
      <c r="DL657" s="125"/>
      <c r="DM657" s="125"/>
      <c r="DN657" s="125"/>
      <c r="DO657" s="125"/>
      <c r="DP657" s="125"/>
      <c r="DQ657" s="125"/>
      <c r="DR657" s="125"/>
      <c r="DS657" s="125"/>
      <c r="DT657" s="125"/>
      <c r="DU657" s="125"/>
      <c r="DV657" s="125"/>
      <c r="DW657" s="125"/>
      <c r="DX657" s="125"/>
      <c r="DY657" s="125"/>
      <c r="DZ657" s="125"/>
      <c r="EA657" s="125"/>
      <c r="EB657" s="125"/>
      <c r="EC657" s="125"/>
      <c r="ED657" s="125"/>
      <c r="EE657" s="125"/>
      <c r="EF657" s="125"/>
      <c r="EG657" s="125"/>
      <c r="EH657" s="125"/>
      <c r="EI657" s="125"/>
      <c r="EJ657" s="125"/>
      <c r="EK657" s="125"/>
      <c r="EL657" s="125"/>
      <c r="EM657" s="125"/>
      <c r="EN657" s="125"/>
      <c r="EO657" s="125"/>
      <c r="EP657" s="125"/>
      <c r="EQ657" s="125"/>
      <c r="ER657" s="125"/>
      <c r="ES657" s="125"/>
      <c r="ET657" s="125"/>
      <c r="EU657" s="125"/>
      <c r="EV657" s="125"/>
      <c r="EW657" s="125"/>
      <c r="EX657" s="125"/>
      <c r="EY657" s="125"/>
      <c r="EZ657" s="125"/>
      <c r="FA657" s="125"/>
      <c r="FB657" s="125"/>
      <c r="FC657" s="125"/>
      <c r="FD657" s="125"/>
      <c r="FE657" s="125"/>
      <c r="FF657" s="125"/>
      <c r="FG657" s="125"/>
      <c r="FH657" s="125"/>
      <c r="FI657" s="125"/>
      <c r="FJ657" s="125"/>
      <c r="FK657" s="125"/>
      <c r="FL657" s="125"/>
      <c r="FM657" s="125"/>
      <c r="FN657" s="125"/>
      <c r="FO657" s="125"/>
      <c r="FP657" s="125"/>
      <c r="FQ657" s="125"/>
      <c r="FR657" s="125"/>
      <c r="FS657" s="125"/>
      <c r="FT657" s="125"/>
      <c r="FU657" s="125"/>
      <c r="FV657" s="125"/>
      <c r="FW657" s="125"/>
      <c r="FX657" s="125"/>
      <c r="FY657" s="125"/>
      <c r="FZ657" s="125"/>
      <c r="GA657" s="125"/>
      <c r="GB657" s="125"/>
      <c r="GC657" s="125"/>
      <c r="GD657" s="125"/>
      <c r="GE657" s="125"/>
      <c r="GF657" s="125"/>
      <c r="GG657" s="125"/>
      <c r="GH657" s="125"/>
      <c r="GI657" s="125"/>
      <c r="GJ657" s="125"/>
      <c r="GK657" s="125"/>
      <c r="GL657" s="125"/>
      <c r="GM657" s="125"/>
      <c r="GN657" s="125"/>
      <c r="GO657" s="125"/>
      <c r="GP657" s="125"/>
      <c r="GQ657" s="125"/>
      <c r="GR657" s="125"/>
      <c r="GS657" s="125"/>
      <c r="GT657" s="125"/>
      <c r="GU657" s="125"/>
      <c r="GV657" s="125"/>
      <c r="GW657" s="125"/>
      <c r="GX657" s="125"/>
      <c r="GY657" s="125"/>
      <c r="GZ657" s="125"/>
      <c r="HA657" s="125"/>
      <c r="HB657" s="125"/>
      <c r="HC657" s="125"/>
      <c r="HD657" s="125"/>
      <c r="HE657" s="125"/>
      <c r="HF657" s="125"/>
      <c r="HG657" s="125"/>
      <c r="HH657" s="125"/>
      <c r="HI657" s="125"/>
      <c r="HJ657" s="125"/>
      <c r="HK657" s="125"/>
      <c r="HL657" s="125"/>
      <c r="HM657" s="125"/>
      <c r="HN657" s="125"/>
      <c r="HO657" s="125"/>
      <c r="HP657" s="125"/>
      <c r="HQ657" s="125"/>
      <c r="HR657" s="125"/>
      <c r="HS657" s="125"/>
      <c r="HT657" s="125"/>
      <c r="HU657" s="125"/>
      <c r="HV657" s="125"/>
      <c r="HW657" s="125"/>
      <c r="HX657" s="125"/>
      <c r="HY657" s="125"/>
      <c r="HZ657" s="125"/>
      <c r="IA657" s="125"/>
      <c r="IB657" s="125"/>
      <c r="IC657" s="125"/>
      <c r="ID657" s="125"/>
      <c r="IE657" s="125"/>
      <c r="IF657" s="125"/>
    </row>
    <row r="658" spans="1:240" s="126" customFormat="1">
      <c r="A658" s="242">
        <f>A656+0.1</f>
        <v>11.299999999999999</v>
      </c>
      <c r="B658" s="140" t="s">
        <v>391</v>
      </c>
      <c r="C658" s="136" t="s">
        <v>79</v>
      </c>
      <c r="D658" s="137" t="s">
        <v>228</v>
      </c>
      <c r="E658" s="550">
        <v>0</v>
      </c>
      <c r="F658" s="550">
        <v>0</v>
      </c>
      <c r="G658" s="122"/>
      <c r="H658" s="204"/>
      <c r="I658" s="125"/>
      <c r="J658" s="125"/>
      <c r="K658" s="125"/>
      <c r="L658" s="125"/>
      <c r="M658" s="125"/>
      <c r="N658" s="125"/>
      <c r="O658" s="125"/>
      <c r="P658" s="125"/>
      <c r="Q658" s="125"/>
      <c r="R658" s="125"/>
      <c r="S658" s="125"/>
      <c r="T658" s="125"/>
      <c r="U658" s="125"/>
      <c r="V658" s="125"/>
      <c r="W658" s="125"/>
      <c r="X658" s="125"/>
      <c r="Y658" s="125"/>
      <c r="Z658" s="125"/>
      <c r="AA658" s="125"/>
      <c r="AB658" s="125"/>
      <c r="AC658" s="125"/>
      <c r="AD658" s="125"/>
      <c r="AE658" s="125"/>
      <c r="AF658" s="125"/>
      <c r="AG658" s="125"/>
      <c r="AH658" s="125"/>
      <c r="AI658" s="125"/>
      <c r="AJ658" s="125"/>
      <c r="AK658" s="125"/>
      <c r="AL658" s="125"/>
      <c r="AM658" s="125"/>
      <c r="AN658" s="125"/>
      <c r="AO658" s="125"/>
      <c r="AP658" s="125"/>
      <c r="AQ658" s="125"/>
      <c r="AR658" s="125"/>
      <c r="AS658" s="125"/>
      <c r="AT658" s="125"/>
      <c r="AU658" s="125"/>
      <c r="AV658" s="125"/>
      <c r="AW658" s="125"/>
      <c r="AX658" s="125"/>
      <c r="AY658" s="125"/>
      <c r="AZ658" s="125"/>
      <c r="BA658" s="125"/>
      <c r="BB658" s="125"/>
      <c r="BC658" s="125"/>
      <c r="BD658" s="125"/>
      <c r="BE658" s="125"/>
      <c r="BF658" s="125"/>
      <c r="BG658" s="125"/>
      <c r="BH658" s="125"/>
      <c r="BI658" s="125"/>
      <c r="BJ658" s="125"/>
      <c r="BK658" s="125"/>
      <c r="BL658" s="125"/>
      <c r="BM658" s="125"/>
      <c r="BN658" s="125"/>
      <c r="BO658" s="125"/>
      <c r="BP658" s="125"/>
      <c r="BQ658" s="125"/>
      <c r="BR658" s="125"/>
      <c r="BS658" s="125"/>
      <c r="BT658" s="125"/>
      <c r="BU658" s="125"/>
      <c r="BV658" s="125"/>
      <c r="BW658" s="125"/>
      <c r="BX658" s="125"/>
      <c r="BY658" s="125"/>
      <c r="BZ658" s="125"/>
      <c r="CA658" s="125"/>
      <c r="CB658" s="125"/>
      <c r="CC658" s="125"/>
      <c r="CD658" s="125"/>
      <c r="CE658" s="125"/>
      <c r="CF658" s="125"/>
      <c r="CG658" s="125"/>
      <c r="CH658" s="125"/>
      <c r="CI658" s="125"/>
      <c r="CJ658" s="125"/>
      <c r="CK658" s="125"/>
      <c r="CL658" s="125"/>
      <c r="CM658" s="125"/>
      <c r="CN658" s="125"/>
      <c r="CO658" s="125"/>
      <c r="CP658" s="125"/>
      <c r="CQ658" s="125"/>
      <c r="CR658" s="125"/>
      <c r="CS658" s="125"/>
      <c r="CT658" s="125"/>
      <c r="CU658" s="125"/>
      <c r="CV658" s="125"/>
      <c r="CW658" s="125"/>
      <c r="CX658" s="125"/>
      <c r="CY658" s="125"/>
      <c r="CZ658" s="125"/>
      <c r="DA658" s="125"/>
      <c r="DB658" s="125"/>
      <c r="DC658" s="125"/>
      <c r="DD658" s="125"/>
      <c r="DE658" s="125"/>
      <c r="DF658" s="125"/>
      <c r="DG658" s="125"/>
      <c r="DH658" s="125"/>
      <c r="DI658" s="125"/>
      <c r="DJ658" s="125"/>
      <c r="DK658" s="125"/>
      <c r="DL658" s="125"/>
      <c r="DM658" s="125"/>
      <c r="DN658" s="125"/>
      <c r="DO658" s="125"/>
      <c r="DP658" s="125"/>
      <c r="DQ658" s="125"/>
      <c r="DR658" s="125"/>
      <c r="DS658" s="125"/>
      <c r="DT658" s="125"/>
      <c r="DU658" s="125"/>
      <c r="DV658" s="125"/>
      <c r="DW658" s="125"/>
      <c r="DX658" s="125"/>
      <c r="DY658" s="125"/>
      <c r="DZ658" s="125"/>
      <c r="EA658" s="125"/>
      <c r="EB658" s="125"/>
      <c r="EC658" s="125"/>
      <c r="ED658" s="125"/>
      <c r="EE658" s="125"/>
      <c r="EF658" s="125"/>
      <c r="EG658" s="125"/>
      <c r="EH658" s="125"/>
      <c r="EI658" s="125"/>
      <c r="EJ658" s="125"/>
      <c r="EK658" s="125"/>
      <c r="EL658" s="125"/>
      <c r="EM658" s="125"/>
      <c r="EN658" s="125"/>
      <c r="EO658" s="125"/>
      <c r="EP658" s="125"/>
      <c r="EQ658" s="125"/>
      <c r="ER658" s="125"/>
      <c r="ES658" s="125"/>
      <c r="ET658" s="125"/>
      <c r="EU658" s="125"/>
      <c r="EV658" s="125"/>
      <c r="EW658" s="125"/>
      <c r="EX658" s="125"/>
      <c r="EY658" s="125"/>
      <c r="EZ658" s="125"/>
      <c r="FA658" s="125"/>
      <c r="FB658" s="125"/>
      <c r="FC658" s="125"/>
      <c r="FD658" s="125"/>
      <c r="FE658" s="125"/>
      <c r="FF658" s="125"/>
      <c r="FG658" s="125"/>
      <c r="FH658" s="125"/>
      <c r="FI658" s="125"/>
      <c r="FJ658" s="125"/>
      <c r="FK658" s="125"/>
      <c r="FL658" s="125"/>
      <c r="FM658" s="125"/>
      <c r="FN658" s="125"/>
      <c r="FO658" s="125"/>
      <c r="FP658" s="125"/>
      <c r="FQ658" s="125"/>
      <c r="FR658" s="125"/>
      <c r="FS658" s="125"/>
      <c r="FT658" s="125"/>
      <c r="FU658" s="125"/>
      <c r="FV658" s="125"/>
      <c r="FW658" s="125"/>
      <c r="FX658" s="125"/>
      <c r="FY658" s="125"/>
      <c r="FZ658" s="125"/>
      <c r="GA658" s="125"/>
      <c r="GB658" s="125"/>
      <c r="GC658" s="125"/>
      <c r="GD658" s="125"/>
      <c r="GE658" s="125"/>
      <c r="GF658" s="125"/>
      <c r="GG658" s="125"/>
      <c r="GH658" s="125"/>
      <c r="GI658" s="125"/>
      <c r="GJ658" s="125"/>
      <c r="GK658" s="125"/>
      <c r="GL658" s="125"/>
      <c r="GM658" s="125"/>
      <c r="GN658" s="125"/>
      <c r="GO658" s="125"/>
      <c r="GP658" s="125"/>
      <c r="GQ658" s="125"/>
      <c r="GR658" s="125"/>
      <c r="GS658" s="125"/>
      <c r="GT658" s="125"/>
      <c r="GU658" s="125"/>
      <c r="GV658" s="125"/>
      <c r="GW658" s="125"/>
      <c r="GX658" s="125"/>
      <c r="GY658" s="125"/>
      <c r="GZ658" s="125"/>
      <c r="HA658" s="125"/>
      <c r="HB658" s="125"/>
      <c r="HC658" s="125"/>
      <c r="HD658" s="125"/>
      <c r="HE658" s="125"/>
      <c r="HF658" s="125"/>
      <c r="HG658" s="125"/>
      <c r="HH658" s="125"/>
      <c r="HI658" s="125"/>
      <c r="HJ658" s="125"/>
      <c r="HK658" s="125"/>
      <c r="HL658" s="125"/>
      <c r="HM658" s="125"/>
      <c r="HN658" s="125"/>
      <c r="HO658" s="125"/>
      <c r="HP658" s="125"/>
      <c r="HQ658" s="125"/>
      <c r="HR658" s="125"/>
      <c r="HS658" s="125"/>
      <c r="HT658" s="125"/>
      <c r="HU658" s="125"/>
      <c r="HV658" s="125"/>
      <c r="HW658" s="125"/>
      <c r="HX658" s="125"/>
      <c r="HY658" s="125"/>
      <c r="HZ658" s="125"/>
      <c r="IA658" s="125"/>
      <c r="IB658" s="125"/>
      <c r="IC658" s="125"/>
      <c r="ID658" s="125"/>
      <c r="IE658" s="125"/>
      <c r="IF658" s="125"/>
    </row>
    <row r="659" spans="1:240" s="126" customFormat="1">
      <c r="A659" s="242"/>
      <c r="B659" s="140"/>
      <c r="C659" s="136"/>
      <c r="D659" s="137"/>
      <c r="E659" s="550">
        <v>0</v>
      </c>
      <c r="F659" s="550">
        <v>0</v>
      </c>
      <c r="G659" s="141"/>
      <c r="H659" s="248"/>
      <c r="I659" s="125"/>
      <c r="J659" s="125"/>
      <c r="K659" s="125"/>
      <c r="L659" s="125"/>
      <c r="M659" s="125"/>
      <c r="N659" s="125"/>
      <c r="O659" s="125"/>
      <c r="P659" s="125"/>
      <c r="Q659" s="125"/>
      <c r="R659" s="125"/>
      <c r="S659" s="125"/>
      <c r="T659" s="125"/>
      <c r="U659" s="125"/>
      <c r="V659" s="125"/>
      <c r="W659" s="125"/>
      <c r="X659" s="125"/>
      <c r="Y659" s="125"/>
      <c r="Z659" s="125"/>
      <c r="AA659" s="125"/>
      <c r="AB659" s="125"/>
      <c r="AC659" s="125"/>
      <c r="AD659" s="125"/>
      <c r="AE659" s="125"/>
      <c r="AF659" s="125"/>
      <c r="AG659" s="125"/>
      <c r="AH659" s="125"/>
      <c r="AI659" s="125"/>
      <c r="AJ659" s="125"/>
      <c r="AK659" s="125"/>
      <c r="AL659" s="125"/>
      <c r="AM659" s="125"/>
      <c r="AN659" s="125"/>
      <c r="AO659" s="125"/>
      <c r="AP659" s="125"/>
      <c r="AQ659" s="125"/>
      <c r="AR659" s="125"/>
      <c r="AS659" s="125"/>
      <c r="AT659" s="125"/>
      <c r="AU659" s="125"/>
      <c r="AV659" s="125"/>
      <c r="AW659" s="125"/>
      <c r="AX659" s="125"/>
      <c r="AY659" s="125"/>
      <c r="AZ659" s="125"/>
      <c r="BA659" s="125"/>
      <c r="BB659" s="125"/>
      <c r="BC659" s="125"/>
      <c r="BD659" s="125"/>
      <c r="BE659" s="125"/>
      <c r="BF659" s="125"/>
      <c r="BG659" s="125"/>
      <c r="BH659" s="125"/>
      <c r="BI659" s="125"/>
      <c r="BJ659" s="125"/>
      <c r="BK659" s="125"/>
      <c r="BL659" s="125"/>
      <c r="BM659" s="125"/>
      <c r="BN659" s="125"/>
      <c r="BO659" s="125"/>
      <c r="BP659" s="125"/>
      <c r="BQ659" s="125"/>
      <c r="BR659" s="125"/>
      <c r="BS659" s="125"/>
      <c r="BT659" s="125"/>
      <c r="BU659" s="125"/>
      <c r="BV659" s="125"/>
      <c r="BW659" s="125"/>
      <c r="BX659" s="125"/>
      <c r="BY659" s="125"/>
      <c r="BZ659" s="125"/>
      <c r="CA659" s="125"/>
      <c r="CB659" s="125"/>
      <c r="CC659" s="125"/>
      <c r="CD659" s="125"/>
      <c r="CE659" s="125"/>
      <c r="CF659" s="125"/>
      <c r="CG659" s="125"/>
      <c r="CH659" s="125"/>
      <c r="CI659" s="125"/>
      <c r="CJ659" s="125"/>
      <c r="CK659" s="125"/>
      <c r="CL659" s="125"/>
      <c r="CM659" s="125"/>
      <c r="CN659" s="125"/>
      <c r="CO659" s="125"/>
      <c r="CP659" s="125"/>
      <c r="CQ659" s="125"/>
      <c r="CR659" s="125"/>
      <c r="CS659" s="125"/>
      <c r="CT659" s="125"/>
      <c r="CU659" s="125"/>
      <c r="CV659" s="125"/>
      <c r="CW659" s="125"/>
      <c r="CX659" s="125"/>
      <c r="CY659" s="125"/>
      <c r="CZ659" s="125"/>
      <c r="DA659" s="125"/>
      <c r="DB659" s="125"/>
      <c r="DC659" s="125"/>
      <c r="DD659" s="125"/>
      <c r="DE659" s="125"/>
      <c r="DF659" s="125"/>
      <c r="DG659" s="125"/>
      <c r="DH659" s="125"/>
      <c r="DI659" s="125"/>
      <c r="DJ659" s="125"/>
      <c r="DK659" s="125"/>
      <c r="DL659" s="125"/>
      <c r="DM659" s="125"/>
      <c r="DN659" s="125"/>
      <c r="DO659" s="125"/>
      <c r="DP659" s="125"/>
      <c r="DQ659" s="125"/>
      <c r="DR659" s="125"/>
      <c r="DS659" s="125"/>
      <c r="DT659" s="125"/>
      <c r="DU659" s="125"/>
      <c r="DV659" s="125"/>
      <c r="DW659" s="125"/>
      <c r="DX659" s="125"/>
      <c r="DY659" s="125"/>
      <c r="DZ659" s="125"/>
      <c r="EA659" s="125"/>
      <c r="EB659" s="125"/>
      <c r="EC659" s="125"/>
      <c r="ED659" s="125"/>
      <c r="EE659" s="125"/>
      <c r="EF659" s="125"/>
      <c r="EG659" s="125"/>
      <c r="EH659" s="125"/>
      <c r="EI659" s="125"/>
      <c r="EJ659" s="125"/>
      <c r="EK659" s="125"/>
      <c r="EL659" s="125"/>
      <c r="EM659" s="125"/>
      <c r="EN659" s="125"/>
      <c r="EO659" s="125"/>
      <c r="EP659" s="125"/>
      <c r="EQ659" s="125"/>
      <c r="ER659" s="125"/>
      <c r="ES659" s="125"/>
      <c r="ET659" s="125"/>
      <c r="EU659" s="125"/>
      <c r="EV659" s="125"/>
      <c r="EW659" s="125"/>
      <c r="EX659" s="125"/>
      <c r="EY659" s="125"/>
      <c r="EZ659" s="125"/>
      <c r="FA659" s="125"/>
      <c r="FB659" s="125"/>
      <c r="FC659" s="125"/>
      <c r="FD659" s="125"/>
      <c r="FE659" s="125"/>
      <c r="FF659" s="125"/>
      <c r="FG659" s="125"/>
      <c r="FH659" s="125"/>
      <c r="FI659" s="125"/>
      <c r="FJ659" s="125"/>
      <c r="FK659" s="125"/>
      <c r="FL659" s="125"/>
      <c r="FM659" s="125"/>
      <c r="FN659" s="125"/>
      <c r="FO659" s="125"/>
      <c r="FP659" s="125"/>
      <c r="FQ659" s="125"/>
      <c r="FR659" s="125"/>
      <c r="FS659" s="125"/>
      <c r="FT659" s="125"/>
      <c r="FU659" s="125"/>
      <c r="FV659" s="125"/>
      <c r="FW659" s="125"/>
      <c r="FX659" s="125"/>
      <c r="FY659" s="125"/>
      <c r="FZ659" s="125"/>
      <c r="GA659" s="125"/>
      <c r="GB659" s="125"/>
      <c r="GC659" s="125"/>
      <c r="GD659" s="125"/>
      <c r="GE659" s="125"/>
      <c r="GF659" s="125"/>
      <c r="GG659" s="125"/>
      <c r="GH659" s="125"/>
      <c r="GI659" s="125"/>
      <c r="GJ659" s="125"/>
      <c r="GK659" s="125"/>
      <c r="GL659" s="125"/>
      <c r="GM659" s="125"/>
      <c r="GN659" s="125"/>
      <c r="GO659" s="125"/>
      <c r="GP659" s="125"/>
      <c r="GQ659" s="125"/>
      <c r="GR659" s="125"/>
      <c r="GS659" s="125"/>
      <c r="GT659" s="125"/>
      <c r="GU659" s="125"/>
      <c r="GV659" s="125"/>
      <c r="GW659" s="125"/>
      <c r="GX659" s="125"/>
      <c r="GY659" s="125"/>
      <c r="GZ659" s="125"/>
      <c r="HA659" s="125"/>
      <c r="HB659" s="125"/>
      <c r="HC659" s="125"/>
      <c r="HD659" s="125"/>
      <c r="HE659" s="125"/>
      <c r="HF659" s="125"/>
      <c r="HG659" s="125"/>
      <c r="HH659" s="125"/>
      <c r="HI659" s="125"/>
      <c r="HJ659" s="125"/>
      <c r="HK659" s="125"/>
      <c r="HL659" s="125"/>
      <c r="HM659" s="125"/>
      <c r="HN659" s="125"/>
      <c r="HO659" s="125"/>
      <c r="HP659" s="125"/>
      <c r="HQ659" s="125"/>
      <c r="HR659" s="125"/>
      <c r="HS659" s="125"/>
      <c r="HT659" s="125"/>
      <c r="HU659" s="125"/>
      <c r="HV659" s="125"/>
      <c r="HW659" s="125"/>
      <c r="HX659" s="125"/>
      <c r="HY659" s="125"/>
      <c r="HZ659" s="125"/>
      <c r="IA659" s="125"/>
      <c r="IB659" s="125"/>
      <c r="IC659" s="125"/>
      <c r="ID659" s="125"/>
      <c r="IE659" s="125"/>
      <c r="IF659" s="125"/>
    </row>
    <row r="660" spans="1:240" s="126" customFormat="1">
      <c r="A660" s="242">
        <f>A658+0.1</f>
        <v>11.399999999999999</v>
      </c>
      <c r="B660" s="140" t="s">
        <v>392</v>
      </c>
      <c r="C660" s="136" t="s">
        <v>79</v>
      </c>
      <c r="D660" s="137">
        <v>75</v>
      </c>
      <c r="E660" s="550">
        <v>1073</v>
      </c>
      <c r="F660" s="550">
        <v>244</v>
      </c>
      <c r="G660" s="122">
        <f t="shared" ref="G660" si="138">E660*D660</f>
        <v>80475</v>
      </c>
      <c r="H660" s="204">
        <f t="shared" ref="H660" si="139">F660*D660</f>
        <v>18300</v>
      </c>
      <c r="I660" s="125"/>
      <c r="J660" s="125"/>
      <c r="K660" s="125"/>
      <c r="L660" s="125"/>
      <c r="M660" s="125"/>
      <c r="N660" s="125"/>
      <c r="O660" s="125"/>
      <c r="P660" s="125"/>
      <c r="Q660" s="125"/>
      <c r="R660" s="125"/>
      <c r="S660" s="125"/>
      <c r="T660" s="125"/>
      <c r="U660" s="125"/>
      <c r="V660" s="125"/>
      <c r="W660" s="125"/>
      <c r="X660" s="125"/>
      <c r="Y660" s="125"/>
      <c r="Z660" s="125"/>
      <c r="AA660" s="125"/>
      <c r="AB660" s="125"/>
      <c r="AC660" s="125"/>
      <c r="AD660" s="125"/>
      <c r="AE660" s="125"/>
      <c r="AF660" s="125"/>
      <c r="AG660" s="125"/>
      <c r="AH660" s="125"/>
      <c r="AI660" s="125"/>
      <c r="AJ660" s="125"/>
      <c r="AK660" s="125"/>
      <c r="AL660" s="125"/>
      <c r="AM660" s="125"/>
      <c r="AN660" s="125"/>
      <c r="AO660" s="125"/>
      <c r="AP660" s="125"/>
      <c r="AQ660" s="125"/>
      <c r="AR660" s="125"/>
      <c r="AS660" s="125"/>
      <c r="AT660" s="125"/>
      <c r="AU660" s="125"/>
      <c r="AV660" s="125"/>
      <c r="AW660" s="125"/>
      <c r="AX660" s="125"/>
      <c r="AY660" s="125"/>
      <c r="AZ660" s="125"/>
      <c r="BA660" s="125"/>
      <c r="BB660" s="125"/>
      <c r="BC660" s="125"/>
      <c r="BD660" s="125"/>
      <c r="BE660" s="125"/>
      <c r="BF660" s="125"/>
      <c r="BG660" s="125"/>
      <c r="BH660" s="125"/>
      <c r="BI660" s="125"/>
      <c r="BJ660" s="125"/>
      <c r="BK660" s="125"/>
      <c r="BL660" s="125"/>
      <c r="BM660" s="125"/>
      <c r="BN660" s="125"/>
      <c r="BO660" s="125"/>
      <c r="BP660" s="125"/>
      <c r="BQ660" s="125"/>
      <c r="BR660" s="125"/>
      <c r="BS660" s="125"/>
      <c r="BT660" s="125"/>
      <c r="BU660" s="125"/>
      <c r="BV660" s="125"/>
      <c r="BW660" s="125"/>
      <c r="BX660" s="125"/>
      <c r="BY660" s="125"/>
      <c r="BZ660" s="125"/>
      <c r="CA660" s="125"/>
      <c r="CB660" s="125"/>
      <c r="CC660" s="125"/>
      <c r="CD660" s="125"/>
      <c r="CE660" s="125"/>
      <c r="CF660" s="125"/>
      <c r="CG660" s="125"/>
      <c r="CH660" s="125"/>
      <c r="CI660" s="125"/>
      <c r="CJ660" s="125"/>
      <c r="CK660" s="125"/>
      <c r="CL660" s="125"/>
      <c r="CM660" s="125"/>
      <c r="CN660" s="125"/>
      <c r="CO660" s="125"/>
      <c r="CP660" s="125"/>
      <c r="CQ660" s="125"/>
      <c r="CR660" s="125"/>
      <c r="CS660" s="125"/>
      <c r="CT660" s="125"/>
      <c r="CU660" s="125"/>
      <c r="CV660" s="125"/>
      <c r="CW660" s="125"/>
      <c r="CX660" s="125"/>
      <c r="CY660" s="125"/>
      <c r="CZ660" s="125"/>
      <c r="DA660" s="125"/>
      <c r="DB660" s="125"/>
      <c r="DC660" s="125"/>
      <c r="DD660" s="125"/>
      <c r="DE660" s="125"/>
      <c r="DF660" s="125"/>
      <c r="DG660" s="125"/>
      <c r="DH660" s="125"/>
      <c r="DI660" s="125"/>
      <c r="DJ660" s="125"/>
      <c r="DK660" s="125"/>
      <c r="DL660" s="125"/>
      <c r="DM660" s="125"/>
      <c r="DN660" s="125"/>
      <c r="DO660" s="125"/>
      <c r="DP660" s="125"/>
      <c r="DQ660" s="125"/>
      <c r="DR660" s="125"/>
      <c r="DS660" s="125"/>
      <c r="DT660" s="125"/>
      <c r="DU660" s="125"/>
      <c r="DV660" s="125"/>
      <c r="DW660" s="125"/>
      <c r="DX660" s="125"/>
      <c r="DY660" s="125"/>
      <c r="DZ660" s="125"/>
      <c r="EA660" s="125"/>
      <c r="EB660" s="125"/>
      <c r="EC660" s="125"/>
      <c r="ED660" s="125"/>
      <c r="EE660" s="125"/>
      <c r="EF660" s="125"/>
      <c r="EG660" s="125"/>
      <c r="EH660" s="125"/>
      <c r="EI660" s="125"/>
      <c r="EJ660" s="125"/>
      <c r="EK660" s="125"/>
      <c r="EL660" s="125"/>
      <c r="EM660" s="125"/>
      <c r="EN660" s="125"/>
      <c r="EO660" s="125"/>
      <c r="EP660" s="125"/>
      <c r="EQ660" s="125"/>
      <c r="ER660" s="125"/>
      <c r="ES660" s="125"/>
      <c r="ET660" s="125"/>
      <c r="EU660" s="125"/>
      <c r="EV660" s="125"/>
      <c r="EW660" s="125"/>
      <c r="EX660" s="125"/>
      <c r="EY660" s="125"/>
      <c r="EZ660" s="125"/>
      <c r="FA660" s="125"/>
      <c r="FB660" s="125"/>
      <c r="FC660" s="125"/>
      <c r="FD660" s="125"/>
      <c r="FE660" s="125"/>
      <c r="FF660" s="125"/>
      <c r="FG660" s="125"/>
      <c r="FH660" s="125"/>
      <c r="FI660" s="125"/>
      <c r="FJ660" s="125"/>
      <c r="FK660" s="125"/>
      <c r="FL660" s="125"/>
      <c r="FM660" s="125"/>
      <c r="FN660" s="125"/>
      <c r="FO660" s="125"/>
      <c r="FP660" s="125"/>
      <c r="FQ660" s="125"/>
      <c r="FR660" s="125"/>
      <c r="FS660" s="125"/>
      <c r="FT660" s="125"/>
      <c r="FU660" s="125"/>
      <c r="FV660" s="125"/>
      <c r="FW660" s="125"/>
      <c r="FX660" s="125"/>
      <c r="FY660" s="125"/>
      <c r="FZ660" s="125"/>
      <c r="GA660" s="125"/>
      <c r="GB660" s="125"/>
      <c r="GC660" s="125"/>
      <c r="GD660" s="125"/>
      <c r="GE660" s="125"/>
      <c r="GF660" s="125"/>
      <c r="GG660" s="125"/>
      <c r="GH660" s="125"/>
      <c r="GI660" s="125"/>
      <c r="GJ660" s="125"/>
      <c r="GK660" s="125"/>
      <c r="GL660" s="125"/>
      <c r="GM660" s="125"/>
      <c r="GN660" s="125"/>
      <c r="GO660" s="125"/>
      <c r="GP660" s="125"/>
      <c r="GQ660" s="125"/>
      <c r="GR660" s="125"/>
      <c r="GS660" s="125"/>
      <c r="GT660" s="125"/>
      <c r="GU660" s="125"/>
      <c r="GV660" s="125"/>
      <c r="GW660" s="125"/>
      <c r="GX660" s="125"/>
      <c r="GY660" s="125"/>
      <c r="GZ660" s="125"/>
      <c r="HA660" s="125"/>
      <c r="HB660" s="125"/>
      <c r="HC660" s="125"/>
      <c r="HD660" s="125"/>
      <c r="HE660" s="125"/>
      <c r="HF660" s="125"/>
      <c r="HG660" s="125"/>
      <c r="HH660" s="125"/>
      <c r="HI660" s="125"/>
      <c r="HJ660" s="125"/>
      <c r="HK660" s="125"/>
      <c r="HL660" s="125"/>
      <c r="HM660" s="125"/>
      <c r="HN660" s="125"/>
      <c r="HO660" s="125"/>
      <c r="HP660" s="125"/>
      <c r="HQ660" s="125"/>
      <c r="HR660" s="125"/>
      <c r="HS660" s="125"/>
      <c r="HT660" s="125"/>
      <c r="HU660" s="125"/>
      <c r="HV660" s="125"/>
      <c r="HW660" s="125"/>
      <c r="HX660" s="125"/>
      <c r="HY660" s="125"/>
      <c r="HZ660" s="125"/>
      <c r="IA660" s="125"/>
      <c r="IB660" s="125"/>
      <c r="IC660" s="125"/>
      <c r="ID660" s="125"/>
      <c r="IE660" s="125"/>
      <c r="IF660" s="125"/>
    </row>
    <row r="661" spans="1:240" s="126" customFormat="1">
      <c r="A661" s="242"/>
      <c r="B661" s="142"/>
      <c r="C661" s="143"/>
      <c r="D661" s="137"/>
      <c r="E661" s="550">
        <v>0</v>
      </c>
      <c r="F661" s="550">
        <v>0</v>
      </c>
      <c r="G661" s="124"/>
      <c r="H661" s="249"/>
      <c r="I661" s="125"/>
      <c r="J661" s="125"/>
      <c r="K661" s="125"/>
      <c r="L661" s="125"/>
      <c r="M661" s="125"/>
      <c r="N661" s="125"/>
      <c r="O661" s="125"/>
      <c r="P661" s="125"/>
      <c r="Q661" s="125"/>
      <c r="R661" s="125"/>
      <c r="S661" s="125"/>
      <c r="T661" s="125"/>
      <c r="U661" s="125"/>
      <c r="V661" s="125"/>
      <c r="W661" s="125"/>
      <c r="X661" s="125"/>
      <c r="Y661" s="125"/>
      <c r="Z661" s="125"/>
      <c r="AA661" s="125"/>
      <c r="AB661" s="125"/>
      <c r="AC661" s="125"/>
      <c r="AD661" s="125"/>
      <c r="AE661" s="125"/>
      <c r="AF661" s="125"/>
      <c r="AG661" s="125"/>
      <c r="AH661" s="125"/>
      <c r="AI661" s="125"/>
      <c r="AJ661" s="125"/>
      <c r="AK661" s="125"/>
      <c r="AL661" s="125"/>
      <c r="AM661" s="125"/>
      <c r="AN661" s="125"/>
      <c r="AO661" s="125"/>
      <c r="AP661" s="125"/>
      <c r="AQ661" s="125"/>
      <c r="AR661" s="125"/>
      <c r="AS661" s="125"/>
      <c r="AT661" s="125"/>
      <c r="AU661" s="125"/>
      <c r="AV661" s="125"/>
      <c r="AW661" s="125"/>
      <c r="AX661" s="125"/>
      <c r="AY661" s="125"/>
      <c r="AZ661" s="125"/>
      <c r="BA661" s="125"/>
      <c r="BB661" s="125"/>
      <c r="BC661" s="125"/>
      <c r="BD661" s="125"/>
      <c r="BE661" s="125"/>
      <c r="BF661" s="125"/>
      <c r="BG661" s="125"/>
      <c r="BH661" s="125"/>
      <c r="BI661" s="125"/>
      <c r="BJ661" s="125"/>
      <c r="BK661" s="125"/>
      <c r="BL661" s="125"/>
      <c r="BM661" s="125"/>
      <c r="BN661" s="125"/>
      <c r="BO661" s="125"/>
      <c r="BP661" s="125"/>
      <c r="BQ661" s="125"/>
      <c r="BR661" s="125"/>
      <c r="BS661" s="125"/>
      <c r="BT661" s="125"/>
      <c r="BU661" s="125"/>
      <c r="BV661" s="125"/>
      <c r="BW661" s="125"/>
      <c r="BX661" s="125"/>
      <c r="BY661" s="125"/>
      <c r="BZ661" s="125"/>
      <c r="CA661" s="125"/>
      <c r="CB661" s="125"/>
      <c r="CC661" s="125"/>
      <c r="CD661" s="125"/>
      <c r="CE661" s="125"/>
      <c r="CF661" s="125"/>
      <c r="CG661" s="125"/>
      <c r="CH661" s="125"/>
      <c r="CI661" s="125"/>
      <c r="CJ661" s="125"/>
      <c r="CK661" s="125"/>
      <c r="CL661" s="125"/>
      <c r="CM661" s="125"/>
      <c r="CN661" s="125"/>
      <c r="CO661" s="125"/>
      <c r="CP661" s="125"/>
      <c r="CQ661" s="125"/>
      <c r="CR661" s="125"/>
      <c r="CS661" s="125"/>
      <c r="CT661" s="125"/>
      <c r="CU661" s="125"/>
      <c r="CV661" s="125"/>
      <c r="CW661" s="125"/>
      <c r="CX661" s="125"/>
      <c r="CY661" s="125"/>
      <c r="CZ661" s="125"/>
      <c r="DA661" s="125"/>
      <c r="DB661" s="125"/>
      <c r="DC661" s="125"/>
      <c r="DD661" s="125"/>
      <c r="DE661" s="125"/>
      <c r="DF661" s="125"/>
      <c r="DG661" s="125"/>
      <c r="DH661" s="125"/>
      <c r="DI661" s="125"/>
      <c r="DJ661" s="125"/>
      <c r="DK661" s="125"/>
      <c r="DL661" s="125"/>
      <c r="DM661" s="125"/>
      <c r="DN661" s="125"/>
      <c r="DO661" s="125"/>
      <c r="DP661" s="125"/>
      <c r="DQ661" s="125"/>
      <c r="DR661" s="125"/>
      <c r="DS661" s="125"/>
      <c r="DT661" s="125"/>
      <c r="DU661" s="125"/>
      <c r="DV661" s="125"/>
      <c r="DW661" s="125"/>
      <c r="DX661" s="125"/>
      <c r="DY661" s="125"/>
      <c r="DZ661" s="125"/>
      <c r="EA661" s="125"/>
      <c r="EB661" s="125"/>
      <c r="EC661" s="125"/>
      <c r="ED661" s="125"/>
      <c r="EE661" s="125"/>
      <c r="EF661" s="125"/>
      <c r="EG661" s="125"/>
      <c r="EH661" s="125"/>
      <c r="EI661" s="125"/>
      <c r="EJ661" s="125"/>
      <c r="EK661" s="125"/>
      <c r="EL661" s="125"/>
      <c r="EM661" s="125"/>
      <c r="EN661" s="125"/>
      <c r="EO661" s="125"/>
      <c r="EP661" s="125"/>
      <c r="EQ661" s="125"/>
      <c r="ER661" s="125"/>
      <c r="ES661" s="125"/>
      <c r="ET661" s="125"/>
      <c r="EU661" s="125"/>
      <c r="EV661" s="125"/>
      <c r="EW661" s="125"/>
      <c r="EX661" s="125"/>
      <c r="EY661" s="125"/>
      <c r="EZ661" s="125"/>
      <c r="FA661" s="125"/>
      <c r="FB661" s="125"/>
      <c r="FC661" s="125"/>
      <c r="FD661" s="125"/>
      <c r="FE661" s="125"/>
      <c r="FF661" s="125"/>
      <c r="FG661" s="125"/>
      <c r="FH661" s="125"/>
      <c r="FI661" s="125"/>
      <c r="FJ661" s="125"/>
      <c r="FK661" s="125"/>
      <c r="FL661" s="125"/>
      <c r="FM661" s="125"/>
      <c r="FN661" s="125"/>
      <c r="FO661" s="125"/>
      <c r="FP661" s="125"/>
      <c r="FQ661" s="125"/>
      <c r="FR661" s="125"/>
      <c r="FS661" s="125"/>
      <c r="FT661" s="125"/>
      <c r="FU661" s="125"/>
      <c r="FV661" s="125"/>
      <c r="FW661" s="125"/>
      <c r="FX661" s="125"/>
      <c r="FY661" s="125"/>
      <c r="FZ661" s="125"/>
      <c r="GA661" s="125"/>
      <c r="GB661" s="125"/>
      <c r="GC661" s="125"/>
      <c r="GD661" s="125"/>
      <c r="GE661" s="125"/>
      <c r="GF661" s="125"/>
      <c r="GG661" s="125"/>
      <c r="GH661" s="125"/>
      <c r="GI661" s="125"/>
      <c r="GJ661" s="125"/>
      <c r="GK661" s="125"/>
      <c r="GL661" s="125"/>
      <c r="GM661" s="125"/>
      <c r="GN661" s="125"/>
      <c r="GO661" s="125"/>
      <c r="GP661" s="125"/>
      <c r="GQ661" s="125"/>
      <c r="GR661" s="125"/>
      <c r="GS661" s="125"/>
      <c r="GT661" s="125"/>
      <c r="GU661" s="125"/>
      <c r="GV661" s="125"/>
      <c r="GW661" s="125"/>
      <c r="GX661" s="125"/>
      <c r="GY661" s="125"/>
      <c r="GZ661" s="125"/>
      <c r="HA661" s="125"/>
      <c r="HB661" s="125"/>
      <c r="HC661" s="125"/>
      <c r="HD661" s="125"/>
      <c r="HE661" s="125"/>
      <c r="HF661" s="125"/>
      <c r="HG661" s="125"/>
      <c r="HH661" s="125"/>
      <c r="HI661" s="125"/>
      <c r="HJ661" s="125"/>
      <c r="HK661" s="125"/>
      <c r="HL661" s="125"/>
      <c r="HM661" s="125"/>
      <c r="HN661" s="125"/>
      <c r="HO661" s="125"/>
      <c r="HP661" s="125"/>
      <c r="HQ661" s="125"/>
      <c r="HR661" s="125"/>
      <c r="HS661" s="125"/>
      <c r="HT661" s="125"/>
      <c r="HU661" s="125"/>
      <c r="HV661" s="125"/>
      <c r="HW661" s="125"/>
      <c r="HX661" s="125"/>
      <c r="HY661" s="125"/>
      <c r="HZ661" s="125"/>
      <c r="IA661" s="125"/>
      <c r="IB661" s="125"/>
      <c r="IC661" s="125"/>
      <c r="ID661" s="125"/>
      <c r="IE661" s="125"/>
      <c r="IF661" s="125"/>
    </row>
    <row r="662" spans="1:240" s="126" customFormat="1" ht="43.5">
      <c r="A662" s="242"/>
      <c r="B662" s="135" t="s">
        <v>393</v>
      </c>
      <c r="C662" s="136"/>
      <c r="D662" s="137"/>
      <c r="E662" s="550">
        <v>0</v>
      </c>
      <c r="F662" s="550">
        <v>0</v>
      </c>
      <c r="G662" s="138"/>
      <c r="H662" s="243"/>
      <c r="I662" s="125"/>
      <c r="J662" s="125"/>
      <c r="K662" s="125"/>
      <c r="L662" s="125"/>
      <c r="M662" s="125"/>
      <c r="N662" s="125"/>
      <c r="O662" s="125"/>
      <c r="P662" s="125"/>
      <c r="Q662" s="125"/>
      <c r="R662" s="125"/>
      <c r="S662" s="125"/>
      <c r="T662" s="125"/>
      <c r="U662" s="125"/>
      <c r="V662" s="125"/>
      <c r="W662" s="125"/>
      <c r="X662" s="125"/>
      <c r="Y662" s="125"/>
      <c r="Z662" s="125"/>
      <c r="AA662" s="125"/>
      <c r="AB662" s="125"/>
      <c r="AC662" s="125"/>
      <c r="AD662" s="125"/>
      <c r="AE662" s="125"/>
      <c r="AF662" s="125"/>
      <c r="AG662" s="125"/>
      <c r="AH662" s="125"/>
      <c r="AI662" s="125"/>
      <c r="AJ662" s="125"/>
      <c r="AK662" s="125"/>
      <c r="AL662" s="125"/>
      <c r="AM662" s="125"/>
      <c r="AN662" s="125"/>
      <c r="AO662" s="125"/>
      <c r="AP662" s="125"/>
      <c r="AQ662" s="125"/>
      <c r="AR662" s="125"/>
      <c r="AS662" s="125"/>
      <c r="AT662" s="125"/>
      <c r="AU662" s="125"/>
      <c r="AV662" s="125"/>
      <c r="AW662" s="125"/>
      <c r="AX662" s="125"/>
      <c r="AY662" s="125"/>
      <c r="AZ662" s="125"/>
      <c r="BA662" s="125"/>
      <c r="BB662" s="125"/>
      <c r="BC662" s="125"/>
      <c r="BD662" s="125"/>
      <c r="BE662" s="125"/>
      <c r="BF662" s="125"/>
      <c r="BG662" s="125"/>
      <c r="BH662" s="125"/>
      <c r="BI662" s="125"/>
      <c r="BJ662" s="125"/>
      <c r="BK662" s="125"/>
      <c r="BL662" s="125"/>
      <c r="BM662" s="125"/>
      <c r="BN662" s="125"/>
      <c r="BO662" s="125"/>
      <c r="BP662" s="125"/>
      <c r="BQ662" s="125"/>
      <c r="BR662" s="125"/>
      <c r="BS662" s="125"/>
      <c r="BT662" s="125"/>
      <c r="BU662" s="125"/>
      <c r="BV662" s="125"/>
      <c r="BW662" s="125"/>
      <c r="BX662" s="125"/>
      <c r="BY662" s="125"/>
      <c r="BZ662" s="125"/>
      <c r="CA662" s="125"/>
      <c r="CB662" s="125"/>
      <c r="CC662" s="125"/>
      <c r="CD662" s="125"/>
      <c r="CE662" s="125"/>
      <c r="CF662" s="125"/>
      <c r="CG662" s="125"/>
      <c r="CH662" s="125"/>
      <c r="CI662" s="125"/>
      <c r="CJ662" s="125"/>
      <c r="CK662" s="125"/>
      <c r="CL662" s="125"/>
      <c r="CM662" s="125"/>
      <c r="CN662" s="125"/>
      <c r="CO662" s="125"/>
      <c r="CP662" s="125"/>
      <c r="CQ662" s="125"/>
      <c r="CR662" s="125"/>
      <c r="CS662" s="125"/>
      <c r="CT662" s="125"/>
      <c r="CU662" s="125"/>
      <c r="CV662" s="125"/>
      <c r="CW662" s="125"/>
      <c r="CX662" s="125"/>
      <c r="CY662" s="125"/>
      <c r="CZ662" s="125"/>
      <c r="DA662" s="125"/>
      <c r="DB662" s="125"/>
      <c r="DC662" s="125"/>
      <c r="DD662" s="125"/>
      <c r="DE662" s="125"/>
      <c r="DF662" s="125"/>
      <c r="DG662" s="125"/>
      <c r="DH662" s="125"/>
      <c r="DI662" s="125"/>
      <c r="DJ662" s="125"/>
      <c r="DK662" s="125"/>
      <c r="DL662" s="125"/>
      <c r="DM662" s="125"/>
      <c r="DN662" s="125"/>
      <c r="DO662" s="125"/>
      <c r="DP662" s="125"/>
      <c r="DQ662" s="125"/>
      <c r="DR662" s="125"/>
      <c r="DS662" s="125"/>
      <c r="DT662" s="125"/>
      <c r="DU662" s="125"/>
      <c r="DV662" s="125"/>
      <c r="DW662" s="125"/>
      <c r="DX662" s="125"/>
      <c r="DY662" s="125"/>
      <c r="DZ662" s="125"/>
      <c r="EA662" s="125"/>
      <c r="EB662" s="125"/>
      <c r="EC662" s="125"/>
      <c r="ED662" s="125"/>
      <c r="EE662" s="125"/>
      <c r="EF662" s="125"/>
      <c r="EG662" s="125"/>
      <c r="EH662" s="125"/>
      <c r="EI662" s="125"/>
      <c r="EJ662" s="125"/>
      <c r="EK662" s="125"/>
      <c r="EL662" s="125"/>
      <c r="EM662" s="125"/>
      <c r="EN662" s="125"/>
      <c r="EO662" s="125"/>
      <c r="EP662" s="125"/>
      <c r="EQ662" s="125"/>
      <c r="ER662" s="125"/>
      <c r="ES662" s="125"/>
      <c r="ET662" s="125"/>
      <c r="EU662" s="125"/>
      <c r="EV662" s="125"/>
      <c r="EW662" s="125"/>
      <c r="EX662" s="125"/>
      <c r="EY662" s="125"/>
      <c r="EZ662" s="125"/>
      <c r="FA662" s="125"/>
      <c r="FB662" s="125"/>
      <c r="FC662" s="125"/>
      <c r="FD662" s="125"/>
      <c r="FE662" s="125"/>
      <c r="FF662" s="125"/>
      <c r="FG662" s="125"/>
      <c r="FH662" s="125"/>
      <c r="FI662" s="125"/>
      <c r="FJ662" s="125"/>
      <c r="FK662" s="125"/>
      <c r="FL662" s="125"/>
      <c r="FM662" s="125"/>
      <c r="FN662" s="125"/>
      <c r="FO662" s="125"/>
      <c r="FP662" s="125"/>
      <c r="FQ662" s="125"/>
      <c r="FR662" s="125"/>
      <c r="FS662" s="125"/>
      <c r="FT662" s="125"/>
      <c r="FU662" s="125"/>
      <c r="FV662" s="125"/>
      <c r="FW662" s="125"/>
      <c r="FX662" s="125"/>
      <c r="FY662" s="125"/>
      <c r="FZ662" s="125"/>
      <c r="GA662" s="125"/>
      <c r="GB662" s="125"/>
      <c r="GC662" s="125"/>
      <c r="GD662" s="125"/>
      <c r="GE662" s="125"/>
      <c r="GF662" s="125"/>
      <c r="GG662" s="125"/>
      <c r="GH662" s="125"/>
      <c r="GI662" s="125"/>
      <c r="GJ662" s="125"/>
      <c r="GK662" s="125"/>
      <c r="GL662" s="125"/>
      <c r="GM662" s="125"/>
      <c r="GN662" s="125"/>
      <c r="GO662" s="125"/>
      <c r="GP662" s="125"/>
      <c r="GQ662" s="125"/>
      <c r="GR662" s="125"/>
      <c r="GS662" s="125"/>
      <c r="GT662" s="125"/>
      <c r="GU662" s="125"/>
      <c r="GV662" s="125"/>
      <c r="GW662" s="125"/>
      <c r="GX662" s="125"/>
      <c r="GY662" s="125"/>
      <c r="GZ662" s="125"/>
      <c r="HA662" s="125"/>
      <c r="HB662" s="125"/>
      <c r="HC662" s="125"/>
      <c r="HD662" s="125"/>
      <c r="HE662" s="125"/>
      <c r="HF662" s="125"/>
      <c r="HG662" s="125"/>
      <c r="HH662" s="125"/>
      <c r="HI662" s="125"/>
      <c r="HJ662" s="125"/>
      <c r="HK662" s="125"/>
      <c r="HL662" s="125"/>
      <c r="HM662" s="125"/>
      <c r="HN662" s="125"/>
      <c r="HO662" s="125"/>
      <c r="HP662" s="125"/>
      <c r="HQ662" s="125"/>
      <c r="HR662" s="125"/>
      <c r="HS662" s="125"/>
      <c r="HT662" s="125"/>
      <c r="HU662" s="125"/>
      <c r="HV662" s="125"/>
      <c r="HW662" s="125"/>
      <c r="HX662" s="125"/>
      <c r="HY662" s="125"/>
      <c r="HZ662" s="125"/>
      <c r="IA662" s="125"/>
      <c r="IB662" s="125"/>
      <c r="IC662" s="125"/>
      <c r="ID662" s="125"/>
      <c r="IE662" s="125"/>
      <c r="IF662" s="125"/>
    </row>
    <row r="663" spans="1:240" s="126" customFormat="1">
      <c r="A663" s="242"/>
      <c r="B663" s="140"/>
      <c r="C663" s="136"/>
      <c r="D663" s="137"/>
      <c r="E663" s="550">
        <v>0</v>
      </c>
      <c r="F663" s="550">
        <v>0</v>
      </c>
      <c r="G663" s="122"/>
      <c r="H663" s="204"/>
      <c r="I663" s="125"/>
      <c r="J663" s="125"/>
      <c r="K663" s="125"/>
      <c r="L663" s="125"/>
      <c r="M663" s="125"/>
      <c r="N663" s="125"/>
      <c r="O663" s="125"/>
      <c r="P663" s="125"/>
      <c r="Q663" s="125"/>
      <c r="R663" s="125"/>
      <c r="S663" s="125"/>
      <c r="T663" s="125"/>
      <c r="U663" s="125"/>
      <c r="V663" s="125"/>
      <c r="W663" s="125"/>
      <c r="X663" s="125"/>
      <c r="Y663" s="125"/>
      <c r="Z663" s="125"/>
      <c r="AA663" s="125"/>
      <c r="AB663" s="125"/>
      <c r="AC663" s="125"/>
      <c r="AD663" s="125"/>
      <c r="AE663" s="125"/>
      <c r="AF663" s="125"/>
      <c r="AG663" s="125"/>
      <c r="AH663" s="125"/>
      <c r="AI663" s="125"/>
      <c r="AJ663" s="125"/>
      <c r="AK663" s="125"/>
      <c r="AL663" s="125"/>
      <c r="AM663" s="125"/>
      <c r="AN663" s="125"/>
      <c r="AO663" s="125"/>
      <c r="AP663" s="125"/>
      <c r="AQ663" s="125"/>
      <c r="AR663" s="125"/>
      <c r="AS663" s="125"/>
      <c r="AT663" s="125"/>
      <c r="AU663" s="125"/>
      <c r="AV663" s="125"/>
      <c r="AW663" s="125"/>
      <c r="AX663" s="125"/>
      <c r="AY663" s="125"/>
      <c r="AZ663" s="125"/>
      <c r="BA663" s="125"/>
      <c r="BB663" s="125"/>
      <c r="BC663" s="125"/>
      <c r="BD663" s="125"/>
      <c r="BE663" s="125"/>
      <c r="BF663" s="125"/>
      <c r="BG663" s="125"/>
      <c r="BH663" s="125"/>
      <c r="BI663" s="125"/>
      <c r="BJ663" s="125"/>
      <c r="BK663" s="125"/>
      <c r="BL663" s="125"/>
      <c r="BM663" s="125"/>
      <c r="BN663" s="125"/>
      <c r="BO663" s="125"/>
      <c r="BP663" s="125"/>
      <c r="BQ663" s="125"/>
      <c r="BR663" s="125"/>
      <c r="BS663" s="125"/>
      <c r="BT663" s="125"/>
      <c r="BU663" s="125"/>
      <c r="BV663" s="125"/>
      <c r="BW663" s="125"/>
      <c r="BX663" s="125"/>
      <c r="BY663" s="125"/>
      <c r="BZ663" s="125"/>
      <c r="CA663" s="125"/>
      <c r="CB663" s="125"/>
      <c r="CC663" s="125"/>
      <c r="CD663" s="125"/>
      <c r="CE663" s="125"/>
      <c r="CF663" s="125"/>
      <c r="CG663" s="125"/>
      <c r="CH663" s="125"/>
      <c r="CI663" s="125"/>
      <c r="CJ663" s="125"/>
      <c r="CK663" s="125"/>
      <c r="CL663" s="125"/>
      <c r="CM663" s="125"/>
      <c r="CN663" s="125"/>
      <c r="CO663" s="125"/>
      <c r="CP663" s="125"/>
      <c r="CQ663" s="125"/>
      <c r="CR663" s="125"/>
      <c r="CS663" s="125"/>
      <c r="CT663" s="125"/>
      <c r="CU663" s="125"/>
      <c r="CV663" s="125"/>
      <c r="CW663" s="125"/>
      <c r="CX663" s="125"/>
      <c r="CY663" s="125"/>
      <c r="CZ663" s="125"/>
      <c r="DA663" s="125"/>
      <c r="DB663" s="125"/>
      <c r="DC663" s="125"/>
      <c r="DD663" s="125"/>
      <c r="DE663" s="125"/>
      <c r="DF663" s="125"/>
      <c r="DG663" s="125"/>
      <c r="DH663" s="125"/>
      <c r="DI663" s="125"/>
      <c r="DJ663" s="125"/>
      <c r="DK663" s="125"/>
      <c r="DL663" s="125"/>
      <c r="DM663" s="125"/>
      <c r="DN663" s="125"/>
      <c r="DO663" s="125"/>
      <c r="DP663" s="125"/>
      <c r="DQ663" s="125"/>
      <c r="DR663" s="125"/>
      <c r="DS663" s="125"/>
      <c r="DT663" s="125"/>
      <c r="DU663" s="125"/>
      <c r="DV663" s="125"/>
      <c r="DW663" s="125"/>
      <c r="DX663" s="125"/>
      <c r="DY663" s="125"/>
      <c r="DZ663" s="125"/>
      <c r="EA663" s="125"/>
      <c r="EB663" s="125"/>
      <c r="EC663" s="125"/>
      <c r="ED663" s="125"/>
      <c r="EE663" s="125"/>
      <c r="EF663" s="125"/>
      <c r="EG663" s="125"/>
      <c r="EH663" s="125"/>
      <c r="EI663" s="125"/>
      <c r="EJ663" s="125"/>
      <c r="EK663" s="125"/>
      <c r="EL663" s="125"/>
      <c r="EM663" s="125"/>
      <c r="EN663" s="125"/>
      <c r="EO663" s="125"/>
      <c r="EP663" s="125"/>
      <c r="EQ663" s="125"/>
      <c r="ER663" s="125"/>
      <c r="ES663" s="125"/>
      <c r="ET663" s="125"/>
      <c r="EU663" s="125"/>
      <c r="EV663" s="125"/>
      <c r="EW663" s="125"/>
      <c r="EX663" s="125"/>
      <c r="EY663" s="125"/>
      <c r="EZ663" s="125"/>
      <c r="FA663" s="125"/>
      <c r="FB663" s="125"/>
      <c r="FC663" s="125"/>
      <c r="FD663" s="125"/>
      <c r="FE663" s="125"/>
      <c r="FF663" s="125"/>
      <c r="FG663" s="125"/>
      <c r="FH663" s="125"/>
      <c r="FI663" s="125"/>
      <c r="FJ663" s="125"/>
      <c r="FK663" s="125"/>
      <c r="FL663" s="125"/>
      <c r="FM663" s="125"/>
      <c r="FN663" s="125"/>
      <c r="FO663" s="125"/>
      <c r="FP663" s="125"/>
      <c r="FQ663" s="125"/>
      <c r="FR663" s="125"/>
      <c r="FS663" s="125"/>
      <c r="FT663" s="125"/>
      <c r="FU663" s="125"/>
      <c r="FV663" s="125"/>
      <c r="FW663" s="125"/>
      <c r="FX663" s="125"/>
      <c r="FY663" s="125"/>
      <c r="FZ663" s="125"/>
      <c r="GA663" s="125"/>
      <c r="GB663" s="125"/>
      <c r="GC663" s="125"/>
      <c r="GD663" s="125"/>
      <c r="GE663" s="125"/>
      <c r="GF663" s="125"/>
      <c r="GG663" s="125"/>
      <c r="GH663" s="125"/>
      <c r="GI663" s="125"/>
      <c r="GJ663" s="125"/>
      <c r="GK663" s="125"/>
      <c r="GL663" s="125"/>
      <c r="GM663" s="125"/>
      <c r="GN663" s="125"/>
      <c r="GO663" s="125"/>
      <c r="GP663" s="125"/>
      <c r="GQ663" s="125"/>
      <c r="GR663" s="125"/>
      <c r="GS663" s="125"/>
      <c r="GT663" s="125"/>
      <c r="GU663" s="125"/>
      <c r="GV663" s="125"/>
      <c r="GW663" s="125"/>
      <c r="GX663" s="125"/>
      <c r="GY663" s="125"/>
      <c r="GZ663" s="125"/>
      <c r="HA663" s="125"/>
      <c r="HB663" s="125"/>
      <c r="HC663" s="125"/>
      <c r="HD663" s="125"/>
      <c r="HE663" s="125"/>
      <c r="HF663" s="125"/>
      <c r="HG663" s="125"/>
      <c r="HH663" s="125"/>
      <c r="HI663" s="125"/>
      <c r="HJ663" s="125"/>
      <c r="HK663" s="125"/>
      <c r="HL663" s="125"/>
      <c r="HM663" s="125"/>
      <c r="HN663" s="125"/>
      <c r="HO663" s="125"/>
      <c r="HP663" s="125"/>
      <c r="HQ663" s="125"/>
      <c r="HR663" s="125"/>
      <c r="HS663" s="125"/>
      <c r="HT663" s="125"/>
      <c r="HU663" s="125"/>
      <c r="HV663" s="125"/>
      <c r="HW663" s="125"/>
      <c r="HX663" s="125"/>
      <c r="HY663" s="125"/>
      <c r="HZ663" s="125"/>
      <c r="IA663" s="125"/>
      <c r="IB663" s="125"/>
      <c r="IC663" s="125"/>
      <c r="ID663" s="125"/>
      <c r="IE663" s="125"/>
      <c r="IF663" s="125"/>
    </row>
    <row r="664" spans="1:240" s="126" customFormat="1">
      <c r="A664" s="242">
        <f>A660+0.1</f>
        <v>11.499999999999998</v>
      </c>
      <c r="B664" s="140" t="s">
        <v>394</v>
      </c>
      <c r="C664" s="136" t="s">
        <v>79</v>
      </c>
      <c r="D664" s="137">
        <v>50</v>
      </c>
      <c r="E664" s="550">
        <v>926</v>
      </c>
      <c r="F664" s="550">
        <v>244</v>
      </c>
      <c r="G664" s="122">
        <f t="shared" ref="G664" si="140">E664*D664</f>
        <v>46300</v>
      </c>
      <c r="H664" s="204">
        <f t="shared" ref="H664" si="141">F664*D664</f>
        <v>12200</v>
      </c>
      <c r="I664" s="125"/>
      <c r="J664" s="125"/>
      <c r="K664" s="125"/>
      <c r="L664" s="125"/>
      <c r="M664" s="125"/>
      <c r="N664" s="125"/>
      <c r="O664" s="125"/>
      <c r="P664" s="125"/>
      <c r="Q664" s="125"/>
      <c r="R664" s="125"/>
      <c r="S664" s="125"/>
      <c r="T664" s="125"/>
      <c r="U664" s="125"/>
      <c r="V664" s="125"/>
      <c r="W664" s="125"/>
      <c r="X664" s="125"/>
      <c r="Y664" s="125"/>
      <c r="Z664" s="125"/>
      <c r="AA664" s="125"/>
      <c r="AB664" s="125"/>
      <c r="AC664" s="125"/>
      <c r="AD664" s="125"/>
      <c r="AE664" s="125"/>
      <c r="AF664" s="125"/>
      <c r="AG664" s="125"/>
      <c r="AH664" s="125"/>
      <c r="AI664" s="125"/>
      <c r="AJ664" s="125"/>
      <c r="AK664" s="125"/>
      <c r="AL664" s="125"/>
      <c r="AM664" s="125"/>
      <c r="AN664" s="125"/>
      <c r="AO664" s="125"/>
      <c r="AP664" s="125"/>
      <c r="AQ664" s="125"/>
      <c r="AR664" s="125"/>
      <c r="AS664" s="125"/>
      <c r="AT664" s="125"/>
      <c r="AU664" s="125"/>
      <c r="AV664" s="125"/>
      <c r="AW664" s="125"/>
      <c r="AX664" s="125"/>
      <c r="AY664" s="125"/>
      <c r="AZ664" s="125"/>
      <c r="BA664" s="125"/>
      <c r="BB664" s="125"/>
      <c r="BC664" s="125"/>
      <c r="BD664" s="125"/>
      <c r="BE664" s="125"/>
      <c r="BF664" s="125"/>
      <c r="BG664" s="125"/>
      <c r="BH664" s="125"/>
      <c r="BI664" s="125"/>
      <c r="BJ664" s="125"/>
      <c r="BK664" s="125"/>
      <c r="BL664" s="125"/>
      <c r="BM664" s="125"/>
      <c r="BN664" s="125"/>
      <c r="BO664" s="125"/>
      <c r="BP664" s="125"/>
      <c r="BQ664" s="125"/>
      <c r="BR664" s="125"/>
      <c r="BS664" s="125"/>
      <c r="BT664" s="125"/>
      <c r="BU664" s="125"/>
      <c r="BV664" s="125"/>
      <c r="BW664" s="125"/>
      <c r="BX664" s="125"/>
      <c r="BY664" s="125"/>
      <c r="BZ664" s="125"/>
      <c r="CA664" s="125"/>
      <c r="CB664" s="125"/>
      <c r="CC664" s="125"/>
      <c r="CD664" s="125"/>
      <c r="CE664" s="125"/>
      <c r="CF664" s="125"/>
      <c r="CG664" s="125"/>
      <c r="CH664" s="125"/>
      <c r="CI664" s="125"/>
      <c r="CJ664" s="125"/>
      <c r="CK664" s="125"/>
      <c r="CL664" s="125"/>
      <c r="CM664" s="125"/>
      <c r="CN664" s="125"/>
      <c r="CO664" s="125"/>
      <c r="CP664" s="125"/>
      <c r="CQ664" s="125"/>
      <c r="CR664" s="125"/>
      <c r="CS664" s="125"/>
      <c r="CT664" s="125"/>
      <c r="CU664" s="125"/>
      <c r="CV664" s="125"/>
      <c r="CW664" s="125"/>
      <c r="CX664" s="125"/>
      <c r="CY664" s="125"/>
      <c r="CZ664" s="125"/>
      <c r="DA664" s="125"/>
      <c r="DB664" s="125"/>
      <c r="DC664" s="125"/>
      <c r="DD664" s="125"/>
      <c r="DE664" s="125"/>
      <c r="DF664" s="125"/>
      <c r="DG664" s="125"/>
      <c r="DH664" s="125"/>
      <c r="DI664" s="125"/>
      <c r="DJ664" s="125"/>
      <c r="DK664" s="125"/>
      <c r="DL664" s="125"/>
      <c r="DM664" s="125"/>
      <c r="DN664" s="125"/>
      <c r="DO664" s="125"/>
      <c r="DP664" s="125"/>
      <c r="DQ664" s="125"/>
      <c r="DR664" s="125"/>
      <c r="DS664" s="125"/>
      <c r="DT664" s="125"/>
      <c r="DU664" s="125"/>
      <c r="DV664" s="125"/>
      <c r="DW664" s="125"/>
      <c r="DX664" s="125"/>
      <c r="DY664" s="125"/>
      <c r="DZ664" s="125"/>
      <c r="EA664" s="125"/>
      <c r="EB664" s="125"/>
      <c r="EC664" s="125"/>
      <c r="ED664" s="125"/>
      <c r="EE664" s="125"/>
      <c r="EF664" s="125"/>
      <c r="EG664" s="125"/>
      <c r="EH664" s="125"/>
      <c r="EI664" s="125"/>
      <c r="EJ664" s="125"/>
      <c r="EK664" s="125"/>
      <c r="EL664" s="125"/>
      <c r="EM664" s="125"/>
      <c r="EN664" s="125"/>
      <c r="EO664" s="125"/>
      <c r="EP664" s="125"/>
      <c r="EQ664" s="125"/>
      <c r="ER664" s="125"/>
      <c r="ES664" s="125"/>
      <c r="ET664" s="125"/>
      <c r="EU664" s="125"/>
      <c r="EV664" s="125"/>
      <c r="EW664" s="125"/>
      <c r="EX664" s="125"/>
      <c r="EY664" s="125"/>
      <c r="EZ664" s="125"/>
      <c r="FA664" s="125"/>
      <c r="FB664" s="125"/>
      <c r="FC664" s="125"/>
      <c r="FD664" s="125"/>
      <c r="FE664" s="125"/>
      <c r="FF664" s="125"/>
      <c r="FG664" s="125"/>
      <c r="FH664" s="125"/>
      <c r="FI664" s="125"/>
      <c r="FJ664" s="125"/>
      <c r="FK664" s="125"/>
      <c r="FL664" s="125"/>
      <c r="FM664" s="125"/>
      <c r="FN664" s="125"/>
      <c r="FO664" s="125"/>
      <c r="FP664" s="125"/>
      <c r="FQ664" s="125"/>
      <c r="FR664" s="125"/>
      <c r="FS664" s="125"/>
      <c r="FT664" s="125"/>
      <c r="FU664" s="125"/>
      <c r="FV664" s="125"/>
      <c r="FW664" s="125"/>
      <c r="FX664" s="125"/>
      <c r="FY664" s="125"/>
      <c r="FZ664" s="125"/>
      <c r="GA664" s="125"/>
      <c r="GB664" s="125"/>
      <c r="GC664" s="125"/>
      <c r="GD664" s="125"/>
      <c r="GE664" s="125"/>
      <c r="GF664" s="125"/>
      <c r="GG664" s="125"/>
      <c r="GH664" s="125"/>
      <c r="GI664" s="125"/>
      <c r="GJ664" s="125"/>
      <c r="GK664" s="125"/>
      <c r="GL664" s="125"/>
      <c r="GM664" s="125"/>
      <c r="GN664" s="125"/>
      <c r="GO664" s="125"/>
      <c r="GP664" s="125"/>
      <c r="GQ664" s="125"/>
      <c r="GR664" s="125"/>
      <c r="GS664" s="125"/>
      <c r="GT664" s="125"/>
      <c r="GU664" s="125"/>
      <c r="GV664" s="125"/>
      <c r="GW664" s="125"/>
      <c r="GX664" s="125"/>
      <c r="GY664" s="125"/>
      <c r="GZ664" s="125"/>
      <c r="HA664" s="125"/>
      <c r="HB664" s="125"/>
      <c r="HC664" s="125"/>
      <c r="HD664" s="125"/>
      <c r="HE664" s="125"/>
      <c r="HF664" s="125"/>
      <c r="HG664" s="125"/>
      <c r="HH664" s="125"/>
      <c r="HI664" s="125"/>
      <c r="HJ664" s="125"/>
      <c r="HK664" s="125"/>
      <c r="HL664" s="125"/>
      <c r="HM664" s="125"/>
      <c r="HN664" s="125"/>
      <c r="HO664" s="125"/>
      <c r="HP664" s="125"/>
      <c r="HQ664" s="125"/>
      <c r="HR664" s="125"/>
      <c r="HS664" s="125"/>
      <c r="HT664" s="125"/>
      <c r="HU664" s="125"/>
      <c r="HV664" s="125"/>
      <c r="HW664" s="125"/>
      <c r="HX664" s="125"/>
      <c r="HY664" s="125"/>
      <c r="HZ664" s="125"/>
      <c r="IA664" s="125"/>
      <c r="IB664" s="125"/>
      <c r="IC664" s="125"/>
      <c r="ID664" s="125"/>
      <c r="IE664" s="125"/>
      <c r="IF664" s="125"/>
    </row>
    <row r="665" spans="1:240" s="126" customFormat="1">
      <c r="A665" s="242"/>
      <c r="B665" s="144"/>
      <c r="C665" s="145"/>
      <c r="D665" s="137"/>
      <c r="E665" s="550">
        <v>0</v>
      </c>
      <c r="F665" s="550">
        <v>0</v>
      </c>
      <c r="G665" s="141"/>
      <c r="H665" s="248"/>
      <c r="I665" s="125"/>
      <c r="J665" s="125"/>
      <c r="K665" s="125"/>
      <c r="L665" s="125"/>
      <c r="M665" s="125"/>
      <c r="N665" s="125"/>
      <c r="O665" s="125"/>
      <c r="P665" s="125"/>
      <c r="Q665" s="125"/>
      <c r="R665" s="125"/>
      <c r="S665" s="125"/>
      <c r="T665" s="125"/>
      <c r="U665" s="125"/>
      <c r="V665" s="125"/>
      <c r="W665" s="125"/>
      <c r="X665" s="125"/>
      <c r="Y665" s="125"/>
      <c r="Z665" s="125"/>
      <c r="AA665" s="125"/>
      <c r="AB665" s="125"/>
      <c r="AC665" s="125"/>
      <c r="AD665" s="125"/>
      <c r="AE665" s="125"/>
      <c r="AF665" s="125"/>
      <c r="AG665" s="125"/>
      <c r="AH665" s="125"/>
      <c r="AI665" s="125"/>
      <c r="AJ665" s="125"/>
      <c r="AK665" s="125"/>
      <c r="AL665" s="125"/>
      <c r="AM665" s="125"/>
      <c r="AN665" s="125"/>
      <c r="AO665" s="125"/>
      <c r="AP665" s="125"/>
      <c r="AQ665" s="125"/>
      <c r="AR665" s="125"/>
      <c r="AS665" s="125"/>
      <c r="AT665" s="125"/>
      <c r="AU665" s="125"/>
      <c r="AV665" s="125"/>
      <c r="AW665" s="125"/>
      <c r="AX665" s="125"/>
      <c r="AY665" s="125"/>
      <c r="AZ665" s="125"/>
      <c r="BA665" s="125"/>
      <c r="BB665" s="125"/>
      <c r="BC665" s="125"/>
      <c r="BD665" s="125"/>
      <c r="BE665" s="125"/>
      <c r="BF665" s="125"/>
      <c r="BG665" s="125"/>
      <c r="BH665" s="125"/>
      <c r="BI665" s="125"/>
      <c r="BJ665" s="125"/>
      <c r="BK665" s="125"/>
      <c r="BL665" s="125"/>
      <c r="BM665" s="125"/>
      <c r="BN665" s="125"/>
      <c r="BO665" s="125"/>
      <c r="BP665" s="125"/>
      <c r="BQ665" s="125"/>
      <c r="BR665" s="125"/>
      <c r="BS665" s="125"/>
      <c r="BT665" s="125"/>
      <c r="BU665" s="125"/>
      <c r="BV665" s="125"/>
      <c r="BW665" s="125"/>
      <c r="BX665" s="125"/>
      <c r="BY665" s="125"/>
      <c r="BZ665" s="125"/>
      <c r="CA665" s="125"/>
      <c r="CB665" s="125"/>
      <c r="CC665" s="125"/>
      <c r="CD665" s="125"/>
      <c r="CE665" s="125"/>
      <c r="CF665" s="125"/>
      <c r="CG665" s="125"/>
      <c r="CH665" s="125"/>
      <c r="CI665" s="125"/>
      <c r="CJ665" s="125"/>
      <c r="CK665" s="125"/>
      <c r="CL665" s="125"/>
      <c r="CM665" s="125"/>
      <c r="CN665" s="125"/>
      <c r="CO665" s="125"/>
      <c r="CP665" s="125"/>
      <c r="CQ665" s="125"/>
      <c r="CR665" s="125"/>
      <c r="CS665" s="125"/>
      <c r="CT665" s="125"/>
      <c r="CU665" s="125"/>
      <c r="CV665" s="125"/>
      <c r="CW665" s="125"/>
      <c r="CX665" s="125"/>
      <c r="CY665" s="125"/>
      <c r="CZ665" s="125"/>
      <c r="DA665" s="125"/>
      <c r="DB665" s="125"/>
      <c r="DC665" s="125"/>
      <c r="DD665" s="125"/>
      <c r="DE665" s="125"/>
      <c r="DF665" s="125"/>
      <c r="DG665" s="125"/>
      <c r="DH665" s="125"/>
      <c r="DI665" s="125"/>
      <c r="DJ665" s="125"/>
      <c r="DK665" s="125"/>
      <c r="DL665" s="125"/>
      <c r="DM665" s="125"/>
      <c r="DN665" s="125"/>
      <c r="DO665" s="125"/>
      <c r="DP665" s="125"/>
      <c r="DQ665" s="125"/>
      <c r="DR665" s="125"/>
      <c r="DS665" s="125"/>
      <c r="DT665" s="125"/>
      <c r="DU665" s="125"/>
      <c r="DV665" s="125"/>
      <c r="DW665" s="125"/>
      <c r="DX665" s="125"/>
      <c r="DY665" s="125"/>
      <c r="DZ665" s="125"/>
      <c r="EA665" s="125"/>
      <c r="EB665" s="125"/>
      <c r="EC665" s="125"/>
      <c r="ED665" s="125"/>
      <c r="EE665" s="125"/>
      <c r="EF665" s="125"/>
      <c r="EG665" s="125"/>
      <c r="EH665" s="125"/>
      <c r="EI665" s="125"/>
      <c r="EJ665" s="125"/>
      <c r="EK665" s="125"/>
      <c r="EL665" s="125"/>
      <c r="EM665" s="125"/>
      <c r="EN665" s="125"/>
      <c r="EO665" s="125"/>
      <c r="EP665" s="125"/>
      <c r="EQ665" s="125"/>
      <c r="ER665" s="125"/>
      <c r="ES665" s="125"/>
      <c r="ET665" s="125"/>
      <c r="EU665" s="125"/>
      <c r="EV665" s="125"/>
      <c r="EW665" s="125"/>
      <c r="EX665" s="125"/>
      <c r="EY665" s="125"/>
      <c r="EZ665" s="125"/>
      <c r="FA665" s="125"/>
      <c r="FB665" s="125"/>
      <c r="FC665" s="125"/>
      <c r="FD665" s="125"/>
      <c r="FE665" s="125"/>
      <c r="FF665" s="125"/>
      <c r="FG665" s="125"/>
      <c r="FH665" s="125"/>
      <c r="FI665" s="125"/>
      <c r="FJ665" s="125"/>
      <c r="FK665" s="125"/>
      <c r="FL665" s="125"/>
      <c r="FM665" s="125"/>
      <c r="FN665" s="125"/>
      <c r="FO665" s="125"/>
      <c r="FP665" s="125"/>
      <c r="FQ665" s="125"/>
      <c r="FR665" s="125"/>
      <c r="FS665" s="125"/>
      <c r="FT665" s="125"/>
      <c r="FU665" s="125"/>
      <c r="FV665" s="125"/>
      <c r="FW665" s="125"/>
      <c r="FX665" s="125"/>
      <c r="FY665" s="125"/>
      <c r="FZ665" s="125"/>
      <c r="GA665" s="125"/>
      <c r="GB665" s="125"/>
      <c r="GC665" s="125"/>
      <c r="GD665" s="125"/>
      <c r="GE665" s="125"/>
      <c r="GF665" s="125"/>
      <c r="GG665" s="125"/>
      <c r="GH665" s="125"/>
      <c r="GI665" s="125"/>
      <c r="GJ665" s="125"/>
      <c r="GK665" s="125"/>
      <c r="GL665" s="125"/>
      <c r="GM665" s="125"/>
      <c r="GN665" s="125"/>
      <c r="GO665" s="125"/>
      <c r="GP665" s="125"/>
      <c r="GQ665" s="125"/>
      <c r="GR665" s="125"/>
      <c r="GS665" s="125"/>
      <c r="GT665" s="125"/>
      <c r="GU665" s="125"/>
      <c r="GV665" s="125"/>
      <c r="GW665" s="125"/>
      <c r="GX665" s="125"/>
      <c r="GY665" s="125"/>
      <c r="GZ665" s="125"/>
      <c r="HA665" s="125"/>
      <c r="HB665" s="125"/>
      <c r="HC665" s="125"/>
      <c r="HD665" s="125"/>
      <c r="HE665" s="125"/>
      <c r="HF665" s="125"/>
      <c r="HG665" s="125"/>
      <c r="HH665" s="125"/>
      <c r="HI665" s="125"/>
      <c r="HJ665" s="125"/>
      <c r="HK665" s="125"/>
      <c r="HL665" s="125"/>
      <c r="HM665" s="125"/>
      <c r="HN665" s="125"/>
      <c r="HO665" s="125"/>
      <c r="HP665" s="125"/>
      <c r="HQ665" s="125"/>
      <c r="HR665" s="125"/>
      <c r="HS665" s="125"/>
      <c r="HT665" s="125"/>
      <c r="HU665" s="125"/>
      <c r="HV665" s="125"/>
      <c r="HW665" s="125"/>
      <c r="HX665" s="125"/>
      <c r="HY665" s="125"/>
      <c r="HZ665" s="125"/>
      <c r="IA665" s="125"/>
      <c r="IB665" s="125"/>
      <c r="IC665" s="125"/>
      <c r="ID665" s="125"/>
      <c r="IE665" s="125"/>
      <c r="IF665" s="125"/>
    </row>
    <row r="666" spans="1:240" s="126" customFormat="1">
      <c r="A666" s="250"/>
      <c r="B666" s="146" t="s">
        <v>619</v>
      </c>
      <c r="C666" s="147"/>
      <c r="D666" s="148"/>
      <c r="E666" s="550">
        <v>0</v>
      </c>
      <c r="F666" s="550">
        <v>0</v>
      </c>
      <c r="G666" s="149"/>
      <c r="H666" s="251"/>
    </row>
    <row r="667" spans="1:240" s="126" customFormat="1" ht="116">
      <c r="A667" s="252"/>
      <c r="B667" s="150" t="s">
        <v>456</v>
      </c>
      <c r="C667" s="147"/>
      <c r="D667" s="148"/>
      <c r="E667" s="550">
        <v>0</v>
      </c>
      <c r="F667" s="550">
        <v>0</v>
      </c>
      <c r="G667" s="149"/>
      <c r="H667" s="251"/>
    </row>
    <row r="668" spans="1:240" s="126" customFormat="1">
      <c r="A668" s="242">
        <f>A664+0.1</f>
        <v>11.599999999999998</v>
      </c>
      <c r="B668" s="150" t="s">
        <v>395</v>
      </c>
      <c r="C668" s="148" t="s">
        <v>396</v>
      </c>
      <c r="D668" s="137" t="s">
        <v>228</v>
      </c>
      <c r="E668" s="550">
        <v>0</v>
      </c>
      <c r="F668" s="550">
        <v>0</v>
      </c>
      <c r="G668" s="122"/>
      <c r="H668" s="204"/>
    </row>
    <row r="669" spans="1:240" s="126" customFormat="1">
      <c r="A669" s="242">
        <f>A668+0.1</f>
        <v>11.699999999999998</v>
      </c>
      <c r="B669" s="150" t="s">
        <v>397</v>
      </c>
      <c r="C669" s="148" t="s">
        <v>396</v>
      </c>
      <c r="D669" s="137" t="s">
        <v>228</v>
      </c>
      <c r="E669" s="550">
        <v>0</v>
      </c>
      <c r="F669" s="550">
        <v>0</v>
      </c>
      <c r="G669" s="122"/>
      <c r="H669" s="204"/>
    </row>
    <row r="670" spans="1:240" s="126" customFormat="1">
      <c r="A670" s="242">
        <f>A669+0.1</f>
        <v>11.799999999999997</v>
      </c>
      <c r="B670" s="150" t="s">
        <v>398</v>
      </c>
      <c r="C670" s="148" t="s">
        <v>396</v>
      </c>
      <c r="D670" s="137" t="s">
        <v>228</v>
      </c>
      <c r="E670" s="550">
        <v>0</v>
      </c>
      <c r="F670" s="550">
        <v>0</v>
      </c>
      <c r="G670" s="122"/>
      <c r="H670" s="204"/>
    </row>
    <row r="671" spans="1:240" s="126" customFormat="1">
      <c r="A671" s="242">
        <f>A670+0.1</f>
        <v>11.899999999999997</v>
      </c>
      <c r="B671" s="150" t="s">
        <v>399</v>
      </c>
      <c r="C671" s="148" t="s">
        <v>396</v>
      </c>
      <c r="D671" s="137" t="s">
        <v>228</v>
      </c>
      <c r="E671" s="550">
        <v>0</v>
      </c>
      <c r="F671" s="550">
        <v>0</v>
      </c>
      <c r="G671" s="122"/>
      <c r="H671" s="204"/>
    </row>
    <row r="672" spans="1:240" s="126" customFormat="1">
      <c r="A672" s="253">
        <v>11.1</v>
      </c>
      <c r="B672" s="150" t="s">
        <v>400</v>
      </c>
      <c r="C672" s="148" t="s">
        <v>396</v>
      </c>
      <c r="D672" s="137" t="s">
        <v>228</v>
      </c>
      <c r="E672" s="550">
        <v>0</v>
      </c>
      <c r="F672" s="550">
        <v>0</v>
      </c>
      <c r="G672" s="122"/>
      <c r="H672" s="204"/>
    </row>
    <row r="673" spans="1:240" s="126" customFormat="1">
      <c r="A673" s="254"/>
      <c r="B673" s="151"/>
      <c r="C673" s="152"/>
      <c r="D673" s="128"/>
      <c r="E673" s="550">
        <v>0</v>
      </c>
      <c r="F673" s="550">
        <v>0</v>
      </c>
      <c r="G673" s="153"/>
      <c r="H673" s="255"/>
      <c r="I673" s="125"/>
      <c r="J673" s="125"/>
      <c r="K673" s="125"/>
      <c r="L673" s="125"/>
      <c r="M673" s="125"/>
      <c r="N673" s="125"/>
      <c r="O673" s="125"/>
      <c r="P673" s="125"/>
      <c r="Q673" s="125"/>
      <c r="R673" s="125"/>
      <c r="S673" s="125"/>
      <c r="T673" s="125"/>
      <c r="U673" s="125"/>
      <c r="V673" s="125"/>
      <c r="W673" s="125"/>
      <c r="X673" s="125"/>
      <c r="Y673" s="125"/>
      <c r="Z673" s="125"/>
      <c r="AA673" s="125"/>
      <c r="AB673" s="125"/>
      <c r="AC673" s="125"/>
      <c r="AD673" s="125"/>
      <c r="AE673" s="125"/>
      <c r="AF673" s="125"/>
      <c r="AG673" s="125"/>
      <c r="AH673" s="125"/>
      <c r="AI673" s="125"/>
      <c r="AJ673" s="125"/>
      <c r="AK673" s="125"/>
      <c r="AL673" s="125"/>
      <c r="AM673" s="125"/>
      <c r="AN673" s="125"/>
      <c r="AO673" s="125"/>
      <c r="AP673" s="125"/>
      <c r="AQ673" s="125"/>
      <c r="AR673" s="125"/>
      <c r="AS673" s="125"/>
      <c r="AT673" s="125"/>
      <c r="AU673" s="125"/>
      <c r="AV673" s="125"/>
      <c r="AW673" s="125"/>
      <c r="AX673" s="125"/>
      <c r="AY673" s="125"/>
      <c r="AZ673" s="125"/>
      <c r="BA673" s="125"/>
      <c r="BB673" s="125"/>
      <c r="BC673" s="125"/>
      <c r="BD673" s="125"/>
      <c r="BE673" s="125"/>
      <c r="BF673" s="125"/>
      <c r="BG673" s="125"/>
      <c r="BH673" s="125"/>
      <c r="BI673" s="125"/>
      <c r="BJ673" s="125"/>
      <c r="BK673" s="125"/>
      <c r="BL673" s="125"/>
      <c r="BM673" s="125"/>
      <c r="BN673" s="125"/>
      <c r="BO673" s="125"/>
      <c r="BP673" s="125"/>
      <c r="BQ673" s="125"/>
      <c r="BR673" s="125"/>
      <c r="BS673" s="125"/>
      <c r="BT673" s="125"/>
      <c r="BU673" s="125"/>
      <c r="BV673" s="125"/>
      <c r="BW673" s="125"/>
      <c r="BX673" s="125"/>
      <c r="BY673" s="125"/>
      <c r="BZ673" s="125"/>
      <c r="CA673" s="125"/>
      <c r="CB673" s="125"/>
      <c r="CC673" s="125"/>
      <c r="CD673" s="125"/>
      <c r="CE673" s="125"/>
      <c r="CF673" s="125"/>
      <c r="CG673" s="125"/>
      <c r="CH673" s="125"/>
      <c r="CI673" s="125"/>
      <c r="CJ673" s="125"/>
      <c r="CK673" s="125"/>
      <c r="CL673" s="125"/>
      <c r="CM673" s="125"/>
      <c r="CN673" s="125"/>
      <c r="CO673" s="125"/>
      <c r="CP673" s="125"/>
      <c r="CQ673" s="125"/>
      <c r="CR673" s="125"/>
      <c r="CS673" s="125"/>
      <c r="CT673" s="125"/>
      <c r="CU673" s="125"/>
      <c r="CV673" s="125"/>
      <c r="CW673" s="125"/>
      <c r="CX673" s="125"/>
      <c r="CY673" s="125"/>
      <c r="CZ673" s="125"/>
      <c r="DA673" s="125"/>
      <c r="DB673" s="125"/>
      <c r="DC673" s="125"/>
      <c r="DD673" s="125"/>
      <c r="DE673" s="125"/>
      <c r="DF673" s="125"/>
      <c r="DG673" s="125"/>
      <c r="DH673" s="125"/>
      <c r="DI673" s="125"/>
      <c r="DJ673" s="125"/>
      <c r="DK673" s="125"/>
      <c r="DL673" s="125"/>
      <c r="DM673" s="125"/>
      <c r="DN673" s="125"/>
      <c r="DO673" s="125"/>
      <c r="DP673" s="125"/>
      <c r="DQ673" s="125"/>
      <c r="DR673" s="125"/>
      <c r="DS673" s="125"/>
      <c r="DT673" s="125"/>
      <c r="DU673" s="125"/>
      <c r="DV673" s="125"/>
      <c r="DW673" s="125"/>
      <c r="DX673" s="125"/>
      <c r="DY673" s="125"/>
      <c r="DZ673" s="125"/>
      <c r="EA673" s="125"/>
      <c r="EB673" s="125"/>
      <c r="EC673" s="125"/>
      <c r="ED673" s="125"/>
      <c r="EE673" s="125"/>
      <c r="EF673" s="125"/>
      <c r="EG673" s="125"/>
      <c r="EH673" s="125"/>
      <c r="EI673" s="125"/>
      <c r="EJ673" s="125"/>
      <c r="EK673" s="125"/>
      <c r="EL673" s="125"/>
      <c r="EM673" s="125"/>
      <c r="EN673" s="125"/>
      <c r="EO673" s="125"/>
      <c r="EP673" s="125"/>
      <c r="EQ673" s="125"/>
      <c r="ER673" s="125"/>
      <c r="ES673" s="125"/>
      <c r="ET673" s="125"/>
      <c r="EU673" s="125"/>
      <c r="EV673" s="125"/>
      <c r="EW673" s="125"/>
      <c r="EX673" s="125"/>
      <c r="EY673" s="125"/>
      <c r="EZ673" s="125"/>
      <c r="FA673" s="125"/>
      <c r="FB673" s="125"/>
      <c r="FC673" s="125"/>
      <c r="FD673" s="125"/>
      <c r="FE673" s="125"/>
      <c r="FF673" s="125"/>
      <c r="FG673" s="125"/>
      <c r="FH673" s="125"/>
      <c r="FI673" s="125"/>
      <c r="FJ673" s="125"/>
      <c r="FK673" s="125"/>
      <c r="FL673" s="125"/>
      <c r="FM673" s="125"/>
      <c r="FN673" s="125"/>
      <c r="FO673" s="125"/>
      <c r="FP673" s="125"/>
      <c r="FQ673" s="125"/>
      <c r="FR673" s="125"/>
      <c r="FS673" s="125"/>
      <c r="FT673" s="125"/>
      <c r="FU673" s="125"/>
      <c r="FV673" s="125"/>
      <c r="FW673" s="125"/>
      <c r="FX673" s="125"/>
      <c r="FY673" s="125"/>
      <c r="FZ673" s="125"/>
      <c r="GA673" s="125"/>
      <c r="GB673" s="125"/>
      <c r="GC673" s="125"/>
      <c r="GD673" s="125"/>
      <c r="GE673" s="125"/>
      <c r="GF673" s="125"/>
      <c r="GG673" s="125"/>
      <c r="GH673" s="125"/>
      <c r="GI673" s="125"/>
      <c r="GJ673" s="125"/>
      <c r="GK673" s="125"/>
      <c r="GL673" s="125"/>
      <c r="GM673" s="125"/>
      <c r="GN673" s="125"/>
      <c r="GO673" s="125"/>
      <c r="GP673" s="125"/>
      <c r="GQ673" s="125"/>
      <c r="GR673" s="125"/>
      <c r="GS673" s="125"/>
      <c r="GT673" s="125"/>
      <c r="GU673" s="125"/>
      <c r="GV673" s="125"/>
      <c r="GW673" s="125"/>
      <c r="GX673" s="125"/>
      <c r="GY673" s="125"/>
      <c r="GZ673" s="125"/>
      <c r="HA673" s="125"/>
      <c r="HB673" s="125"/>
      <c r="HC673" s="125"/>
      <c r="HD673" s="125"/>
      <c r="HE673" s="125"/>
      <c r="HF673" s="125"/>
      <c r="HG673" s="125"/>
      <c r="HH673" s="125"/>
      <c r="HI673" s="125"/>
      <c r="HJ673" s="125"/>
      <c r="HK673" s="125"/>
      <c r="HL673" s="125"/>
      <c r="HM673" s="125"/>
      <c r="HN673" s="125"/>
      <c r="HO673" s="125"/>
      <c r="HP673" s="125"/>
      <c r="HQ673" s="125"/>
      <c r="HR673" s="125"/>
      <c r="HS673" s="125"/>
      <c r="HT673" s="125"/>
      <c r="HU673" s="125"/>
      <c r="HV673" s="125"/>
      <c r="HW673" s="125"/>
      <c r="HX673" s="125"/>
      <c r="HY673" s="125"/>
      <c r="HZ673" s="125"/>
      <c r="IA673" s="125"/>
      <c r="IB673" s="125"/>
      <c r="IC673" s="125"/>
      <c r="ID673" s="125"/>
      <c r="IE673" s="125"/>
      <c r="IF673" s="125"/>
    </row>
    <row r="674" spans="1:240" s="126" customFormat="1">
      <c r="A674" s="256">
        <f>A672+0.01</f>
        <v>11.11</v>
      </c>
      <c r="B674" s="146" t="s">
        <v>401</v>
      </c>
      <c r="C674" s="148"/>
      <c r="D674" s="148"/>
      <c r="E674" s="550">
        <v>0</v>
      </c>
      <c r="F674" s="550">
        <v>0</v>
      </c>
      <c r="G674" s="149"/>
      <c r="H674" s="251"/>
      <c r="I674" s="125"/>
      <c r="J674" s="125"/>
      <c r="K674" s="125"/>
      <c r="L674" s="125"/>
      <c r="M674" s="125"/>
      <c r="N674" s="125"/>
      <c r="O674" s="125"/>
      <c r="P674" s="125"/>
      <c r="Q674" s="125"/>
      <c r="R674" s="125"/>
      <c r="S674" s="125"/>
      <c r="T674" s="125"/>
      <c r="U674" s="125"/>
      <c r="V674" s="125"/>
      <c r="W674" s="125"/>
      <c r="X674" s="125"/>
      <c r="Y674" s="125"/>
      <c r="Z674" s="125"/>
      <c r="AA674" s="125"/>
      <c r="AB674" s="125"/>
      <c r="AC674" s="125"/>
      <c r="AD674" s="125"/>
      <c r="AE674" s="125"/>
      <c r="AF674" s="125"/>
      <c r="AG674" s="125"/>
      <c r="AH674" s="125"/>
      <c r="AI674" s="125"/>
      <c r="AJ674" s="125"/>
      <c r="AK674" s="125"/>
      <c r="AL674" s="125"/>
      <c r="AM674" s="125"/>
      <c r="AN674" s="125"/>
      <c r="AO674" s="125"/>
      <c r="AP674" s="125"/>
      <c r="AQ674" s="125"/>
      <c r="AR674" s="125"/>
      <c r="AS674" s="125"/>
      <c r="AT674" s="125"/>
      <c r="AU674" s="125"/>
      <c r="AV674" s="125"/>
      <c r="AW674" s="125"/>
      <c r="AX674" s="125"/>
      <c r="AY674" s="125"/>
      <c r="AZ674" s="125"/>
      <c r="BA674" s="125"/>
      <c r="BB674" s="125"/>
      <c r="BC674" s="125"/>
      <c r="BD674" s="125"/>
      <c r="BE674" s="125"/>
      <c r="BF674" s="125"/>
      <c r="BG674" s="125"/>
      <c r="BH674" s="125"/>
      <c r="BI674" s="125"/>
      <c r="BJ674" s="125"/>
      <c r="BK674" s="125"/>
      <c r="BL674" s="125"/>
      <c r="BM674" s="125"/>
      <c r="BN674" s="125"/>
      <c r="BO674" s="125"/>
      <c r="BP674" s="125"/>
      <c r="BQ674" s="125"/>
      <c r="BR674" s="125"/>
      <c r="BS674" s="125"/>
      <c r="BT674" s="125"/>
      <c r="BU674" s="125"/>
      <c r="BV674" s="125"/>
      <c r="BW674" s="125"/>
      <c r="BX674" s="125"/>
      <c r="BY674" s="125"/>
      <c r="BZ674" s="125"/>
      <c r="CA674" s="125"/>
      <c r="CB674" s="125"/>
      <c r="CC674" s="125"/>
      <c r="CD674" s="125"/>
      <c r="CE674" s="125"/>
      <c r="CF674" s="125"/>
      <c r="CG674" s="125"/>
      <c r="CH674" s="125"/>
      <c r="CI674" s="125"/>
      <c r="CJ674" s="125"/>
      <c r="CK674" s="125"/>
      <c r="CL674" s="125"/>
      <c r="CM674" s="125"/>
      <c r="CN674" s="125"/>
      <c r="CO674" s="125"/>
      <c r="CP674" s="125"/>
      <c r="CQ674" s="125"/>
      <c r="CR674" s="125"/>
      <c r="CS674" s="125"/>
      <c r="CT674" s="125"/>
      <c r="CU674" s="125"/>
      <c r="CV674" s="125"/>
      <c r="CW674" s="125"/>
      <c r="CX674" s="125"/>
      <c r="CY674" s="125"/>
      <c r="CZ674" s="125"/>
      <c r="DA674" s="125"/>
      <c r="DB674" s="125"/>
      <c r="DC674" s="125"/>
      <c r="DD674" s="125"/>
      <c r="DE674" s="125"/>
      <c r="DF674" s="125"/>
      <c r="DG674" s="125"/>
      <c r="DH674" s="125"/>
      <c r="DI674" s="125"/>
      <c r="DJ674" s="125"/>
      <c r="DK674" s="125"/>
      <c r="DL674" s="125"/>
      <c r="DM674" s="125"/>
      <c r="DN674" s="125"/>
      <c r="DO674" s="125"/>
      <c r="DP674" s="125"/>
      <c r="DQ674" s="125"/>
      <c r="DR674" s="125"/>
      <c r="DS674" s="125"/>
      <c r="DT674" s="125"/>
      <c r="DU674" s="125"/>
      <c r="DV674" s="125"/>
      <c r="DW674" s="125"/>
      <c r="DX674" s="125"/>
      <c r="DY674" s="125"/>
      <c r="DZ674" s="125"/>
      <c r="EA674" s="125"/>
      <c r="EB674" s="125"/>
      <c r="EC674" s="125"/>
      <c r="ED674" s="125"/>
      <c r="EE674" s="125"/>
      <c r="EF674" s="125"/>
      <c r="EG674" s="125"/>
      <c r="EH674" s="125"/>
      <c r="EI674" s="125"/>
      <c r="EJ674" s="125"/>
      <c r="EK674" s="125"/>
      <c r="EL674" s="125"/>
      <c r="EM674" s="125"/>
      <c r="EN674" s="125"/>
      <c r="EO674" s="125"/>
      <c r="EP674" s="125"/>
      <c r="EQ674" s="125"/>
      <c r="ER674" s="125"/>
      <c r="ES674" s="125"/>
      <c r="ET674" s="125"/>
      <c r="EU674" s="125"/>
      <c r="EV674" s="125"/>
      <c r="EW674" s="125"/>
      <c r="EX674" s="125"/>
      <c r="EY674" s="125"/>
      <c r="EZ674" s="125"/>
      <c r="FA674" s="125"/>
      <c r="FB674" s="125"/>
      <c r="FC674" s="125"/>
      <c r="FD674" s="125"/>
      <c r="FE674" s="125"/>
      <c r="FF674" s="125"/>
      <c r="FG674" s="125"/>
      <c r="FH674" s="125"/>
      <c r="FI674" s="125"/>
      <c r="FJ674" s="125"/>
      <c r="FK674" s="125"/>
      <c r="FL674" s="125"/>
      <c r="FM674" s="125"/>
      <c r="FN674" s="125"/>
      <c r="FO674" s="125"/>
      <c r="FP674" s="125"/>
      <c r="FQ674" s="125"/>
      <c r="FR674" s="125"/>
      <c r="FS674" s="125"/>
      <c r="FT674" s="125"/>
      <c r="FU674" s="125"/>
      <c r="FV674" s="125"/>
      <c r="FW674" s="125"/>
      <c r="FX674" s="125"/>
      <c r="FY674" s="125"/>
      <c r="FZ674" s="125"/>
      <c r="GA674" s="125"/>
      <c r="GB674" s="125"/>
      <c r="GC674" s="125"/>
      <c r="GD674" s="125"/>
      <c r="GE674" s="125"/>
      <c r="GF674" s="125"/>
      <c r="GG674" s="125"/>
      <c r="GH674" s="125"/>
      <c r="GI674" s="125"/>
      <c r="GJ674" s="125"/>
      <c r="GK674" s="125"/>
      <c r="GL674" s="125"/>
      <c r="GM674" s="125"/>
      <c r="GN674" s="125"/>
      <c r="GO674" s="125"/>
      <c r="GP674" s="125"/>
      <c r="GQ674" s="125"/>
      <c r="GR674" s="125"/>
      <c r="GS674" s="125"/>
      <c r="GT674" s="125"/>
      <c r="GU674" s="125"/>
      <c r="GV674" s="125"/>
      <c r="GW674" s="125"/>
      <c r="GX674" s="125"/>
      <c r="GY674" s="125"/>
      <c r="GZ674" s="125"/>
      <c r="HA674" s="125"/>
      <c r="HB674" s="125"/>
      <c r="HC674" s="125"/>
      <c r="HD674" s="125"/>
      <c r="HE674" s="125"/>
      <c r="HF674" s="125"/>
      <c r="HG674" s="125"/>
      <c r="HH674" s="125"/>
      <c r="HI674" s="125"/>
      <c r="HJ674" s="125"/>
      <c r="HK674" s="125"/>
      <c r="HL674" s="125"/>
      <c r="HM674" s="125"/>
      <c r="HN674" s="125"/>
      <c r="HO674" s="125"/>
      <c r="HP674" s="125"/>
      <c r="HQ674" s="125"/>
      <c r="HR674" s="125"/>
      <c r="HS674" s="125"/>
      <c r="HT674" s="125"/>
      <c r="HU674" s="125"/>
      <c r="HV674" s="125"/>
      <c r="HW674" s="125"/>
      <c r="HX674" s="125"/>
      <c r="HY674" s="125"/>
      <c r="HZ674" s="125"/>
      <c r="IA674" s="125"/>
      <c r="IB674" s="125"/>
      <c r="IC674" s="125"/>
      <c r="ID674" s="125"/>
      <c r="IE674" s="125"/>
      <c r="IF674" s="125"/>
    </row>
    <row r="675" spans="1:240" s="126" customFormat="1" ht="58">
      <c r="A675" s="252"/>
      <c r="B675" s="150" t="s">
        <v>457</v>
      </c>
      <c r="C675" s="148" t="s">
        <v>402</v>
      </c>
      <c r="D675" s="257" t="s">
        <v>228</v>
      </c>
      <c r="E675" s="550">
        <v>0</v>
      </c>
      <c r="F675" s="550">
        <v>0</v>
      </c>
      <c r="G675" s="122"/>
      <c r="H675" s="204"/>
      <c r="I675" s="125"/>
      <c r="J675" s="125"/>
      <c r="K675" s="125"/>
      <c r="L675" s="125"/>
      <c r="M675" s="125"/>
      <c r="N675" s="125"/>
      <c r="O675" s="125"/>
      <c r="P675" s="125"/>
      <c r="Q675" s="125"/>
      <c r="R675" s="125"/>
      <c r="S675" s="125"/>
      <c r="T675" s="125"/>
      <c r="U675" s="125"/>
      <c r="V675" s="125"/>
      <c r="W675" s="125"/>
      <c r="X675" s="125"/>
      <c r="Y675" s="125"/>
      <c r="Z675" s="125"/>
      <c r="AA675" s="125"/>
      <c r="AB675" s="125"/>
      <c r="AC675" s="125"/>
      <c r="AD675" s="125"/>
      <c r="AE675" s="125"/>
      <c r="AF675" s="125"/>
      <c r="AG675" s="125"/>
      <c r="AH675" s="125"/>
      <c r="AI675" s="125"/>
      <c r="AJ675" s="125"/>
      <c r="AK675" s="125"/>
      <c r="AL675" s="125"/>
      <c r="AM675" s="125"/>
      <c r="AN675" s="125"/>
      <c r="AO675" s="125"/>
      <c r="AP675" s="125"/>
      <c r="AQ675" s="125"/>
      <c r="AR675" s="125"/>
      <c r="AS675" s="125"/>
      <c r="AT675" s="125"/>
      <c r="AU675" s="125"/>
      <c r="AV675" s="125"/>
      <c r="AW675" s="125"/>
      <c r="AX675" s="125"/>
      <c r="AY675" s="125"/>
      <c r="AZ675" s="125"/>
      <c r="BA675" s="125"/>
      <c r="BB675" s="125"/>
      <c r="BC675" s="125"/>
      <c r="BD675" s="125"/>
      <c r="BE675" s="125"/>
      <c r="BF675" s="125"/>
      <c r="BG675" s="125"/>
      <c r="BH675" s="125"/>
      <c r="BI675" s="125"/>
      <c r="BJ675" s="125"/>
      <c r="BK675" s="125"/>
      <c r="BL675" s="125"/>
      <c r="BM675" s="125"/>
      <c r="BN675" s="125"/>
      <c r="BO675" s="125"/>
      <c r="BP675" s="125"/>
      <c r="BQ675" s="125"/>
      <c r="BR675" s="125"/>
      <c r="BS675" s="125"/>
      <c r="BT675" s="125"/>
      <c r="BU675" s="125"/>
      <c r="BV675" s="125"/>
      <c r="BW675" s="125"/>
      <c r="BX675" s="125"/>
      <c r="BY675" s="125"/>
      <c r="BZ675" s="125"/>
      <c r="CA675" s="125"/>
      <c r="CB675" s="125"/>
      <c r="CC675" s="125"/>
      <c r="CD675" s="125"/>
      <c r="CE675" s="125"/>
      <c r="CF675" s="125"/>
      <c r="CG675" s="125"/>
      <c r="CH675" s="125"/>
      <c r="CI675" s="125"/>
      <c r="CJ675" s="125"/>
      <c r="CK675" s="125"/>
      <c r="CL675" s="125"/>
      <c r="CM675" s="125"/>
      <c r="CN675" s="125"/>
      <c r="CO675" s="125"/>
      <c r="CP675" s="125"/>
      <c r="CQ675" s="125"/>
      <c r="CR675" s="125"/>
      <c r="CS675" s="125"/>
      <c r="CT675" s="125"/>
      <c r="CU675" s="125"/>
      <c r="CV675" s="125"/>
      <c r="CW675" s="125"/>
      <c r="CX675" s="125"/>
      <c r="CY675" s="125"/>
      <c r="CZ675" s="125"/>
      <c r="DA675" s="125"/>
      <c r="DB675" s="125"/>
      <c r="DC675" s="125"/>
      <c r="DD675" s="125"/>
      <c r="DE675" s="125"/>
      <c r="DF675" s="125"/>
      <c r="DG675" s="125"/>
      <c r="DH675" s="125"/>
      <c r="DI675" s="125"/>
      <c r="DJ675" s="125"/>
      <c r="DK675" s="125"/>
      <c r="DL675" s="125"/>
      <c r="DM675" s="125"/>
      <c r="DN675" s="125"/>
      <c r="DO675" s="125"/>
      <c r="DP675" s="125"/>
      <c r="DQ675" s="125"/>
      <c r="DR675" s="125"/>
      <c r="DS675" s="125"/>
      <c r="DT675" s="125"/>
      <c r="DU675" s="125"/>
      <c r="DV675" s="125"/>
      <c r="DW675" s="125"/>
      <c r="DX675" s="125"/>
      <c r="DY675" s="125"/>
      <c r="DZ675" s="125"/>
      <c r="EA675" s="125"/>
      <c r="EB675" s="125"/>
      <c r="EC675" s="125"/>
      <c r="ED675" s="125"/>
      <c r="EE675" s="125"/>
      <c r="EF675" s="125"/>
      <c r="EG675" s="125"/>
      <c r="EH675" s="125"/>
      <c r="EI675" s="125"/>
      <c r="EJ675" s="125"/>
      <c r="EK675" s="125"/>
      <c r="EL675" s="125"/>
      <c r="EM675" s="125"/>
      <c r="EN675" s="125"/>
      <c r="EO675" s="125"/>
      <c r="EP675" s="125"/>
      <c r="EQ675" s="125"/>
      <c r="ER675" s="125"/>
      <c r="ES675" s="125"/>
      <c r="ET675" s="125"/>
      <c r="EU675" s="125"/>
      <c r="EV675" s="125"/>
      <c r="EW675" s="125"/>
      <c r="EX675" s="125"/>
      <c r="EY675" s="125"/>
      <c r="EZ675" s="125"/>
      <c r="FA675" s="125"/>
      <c r="FB675" s="125"/>
      <c r="FC675" s="125"/>
      <c r="FD675" s="125"/>
      <c r="FE675" s="125"/>
      <c r="FF675" s="125"/>
      <c r="FG675" s="125"/>
      <c r="FH675" s="125"/>
      <c r="FI675" s="125"/>
      <c r="FJ675" s="125"/>
      <c r="FK675" s="125"/>
      <c r="FL675" s="125"/>
      <c r="FM675" s="125"/>
      <c r="FN675" s="125"/>
      <c r="FO675" s="125"/>
      <c r="FP675" s="125"/>
      <c r="FQ675" s="125"/>
      <c r="FR675" s="125"/>
      <c r="FS675" s="125"/>
      <c r="FT675" s="125"/>
      <c r="FU675" s="125"/>
      <c r="FV675" s="125"/>
      <c r="FW675" s="125"/>
      <c r="FX675" s="125"/>
      <c r="FY675" s="125"/>
      <c r="FZ675" s="125"/>
      <c r="GA675" s="125"/>
      <c r="GB675" s="125"/>
      <c r="GC675" s="125"/>
      <c r="GD675" s="125"/>
      <c r="GE675" s="125"/>
      <c r="GF675" s="125"/>
      <c r="GG675" s="125"/>
      <c r="GH675" s="125"/>
      <c r="GI675" s="125"/>
      <c r="GJ675" s="125"/>
      <c r="GK675" s="125"/>
      <c r="GL675" s="125"/>
      <c r="GM675" s="125"/>
      <c r="GN675" s="125"/>
      <c r="GO675" s="125"/>
      <c r="GP675" s="125"/>
      <c r="GQ675" s="125"/>
      <c r="GR675" s="125"/>
      <c r="GS675" s="125"/>
      <c r="GT675" s="125"/>
      <c r="GU675" s="125"/>
      <c r="GV675" s="125"/>
      <c r="GW675" s="125"/>
      <c r="GX675" s="125"/>
      <c r="GY675" s="125"/>
      <c r="GZ675" s="125"/>
      <c r="HA675" s="125"/>
      <c r="HB675" s="125"/>
      <c r="HC675" s="125"/>
      <c r="HD675" s="125"/>
      <c r="HE675" s="125"/>
      <c r="HF675" s="125"/>
      <c r="HG675" s="125"/>
      <c r="HH675" s="125"/>
      <c r="HI675" s="125"/>
      <c r="HJ675" s="125"/>
      <c r="HK675" s="125"/>
      <c r="HL675" s="125"/>
      <c r="HM675" s="125"/>
      <c r="HN675" s="125"/>
      <c r="HO675" s="125"/>
      <c r="HP675" s="125"/>
      <c r="HQ675" s="125"/>
      <c r="HR675" s="125"/>
      <c r="HS675" s="125"/>
      <c r="HT675" s="125"/>
      <c r="HU675" s="125"/>
      <c r="HV675" s="125"/>
      <c r="HW675" s="125"/>
      <c r="HX675" s="125"/>
      <c r="HY675" s="125"/>
      <c r="HZ675" s="125"/>
      <c r="IA675" s="125"/>
      <c r="IB675" s="125"/>
      <c r="IC675" s="125"/>
      <c r="ID675" s="125"/>
      <c r="IE675" s="125"/>
      <c r="IF675" s="125"/>
    </row>
    <row r="676" spans="1:240" s="126" customFormat="1">
      <c r="A676" s="253"/>
      <c r="B676" s="150"/>
      <c r="C676" s="148"/>
      <c r="D676" s="148"/>
      <c r="E676" s="550">
        <v>0</v>
      </c>
      <c r="F676" s="550">
        <v>0</v>
      </c>
      <c r="G676" s="122"/>
      <c r="H676" s="204"/>
    </row>
    <row r="677" spans="1:240" s="126" customFormat="1">
      <c r="A677" s="253"/>
      <c r="B677" s="146" t="s">
        <v>405</v>
      </c>
      <c r="C677" s="148"/>
      <c r="D677" s="148"/>
      <c r="E677" s="550">
        <v>0</v>
      </c>
      <c r="F677" s="550">
        <v>0</v>
      </c>
      <c r="G677" s="122"/>
      <c r="H677" s="204"/>
    </row>
    <row r="678" spans="1:240" s="126" customFormat="1">
      <c r="A678" s="253"/>
      <c r="B678" s="146"/>
      <c r="C678" s="148"/>
      <c r="D678" s="258"/>
      <c r="E678" s="550">
        <v>0</v>
      </c>
      <c r="F678" s="550">
        <v>0</v>
      </c>
      <c r="G678" s="122"/>
      <c r="H678" s="204"/>
    </row>
    <row r="679" spans="1:240" s="126" customFormat="1">
      <c r="A679" s="253">
        <f>A674+0.01</f>
        <v>11.12</v>
      </c>
      <c r="B679" s="150" t="s">
        <v>479</v>
      </c>
      <c r="C679" s="148" t="s">
        <v>387</v>
      </c>
      <c r="D679" s="257" t="s">
        <v>228</v>
      </c>
      <c r="E679" s="550">
        <v>0</v>
      </c>
      <c r="F679" s="550">
        <v>0</v>
      </c>
      <c r="G679" s="122"/>
      <c r="H679" s="204"/>
    </row>
    <row r="680" spans="1:240" s="126" customFormat="1">
      <c r="A680" s="253"/>
      <c r="B680" s="150"/>
      <c r="C680" s="148"/>
      <c r="D680" s="148"/>
      <c r="E680" s="550">
        <v>0</v>
      </c>
      <c r="F680" s="550">
        <v>0</v>
      </c>
      <c r="G680" s="122"/>
      <c r="H680" s="204"/>
    </row>
    <row r="681" spans="1:240" s="126" customFormat="1">
      <c r="A681" s="253">
        <f>A679+0.01</f>
        <v>11.129999999999999</v>
      </c>
      <c r="B681" s="150" t="s">
        <v>480</v>
      </c>
      <c r="C681" s="148" t="s">
        <v>387</v>
      </c>
      <c r="D681" s="257" t="s">
        <v>228</v>
      </c>
      <c r="E681" s="550">
        <v>0</v>
      </c>
      <c r="F681" s="550">
        <v>0</v>
      </c>
      <c r="G681" s="122"/>
      <c r="H681" s="204"/>
    </row>
    <row r="682" spans="1:240" s="126" customFormat="1">
      <c r="A682" s="253"/>
      <c r="B682" s="150"/>
      <c r="C682" s="148"/>
      <c r="D682" s="148"/>
      <c r="E682" s="550">
        <v>0</v>
      </c>
      <c r="F682" s="550">
        <v>0</v>
      </c>
      <c r="G682" s="122"/>
      <c r="H682" s="204"/>
    </row>
    <row r="683" spans="1:240" s="126" customFormat="1">
      <c r="A683" s="253">
        <f>A681+0.01</f>
        <v>11.139999999999999</v>
      </c>
      <c r="B683" s="150" t="s">
        <v>481</v>
      </c>
      <c r="C683" s="148" t="s">
        <v>387</v>
      </c>
      <c r="D683" s="257">
        <v>6</v>
      </c>
      <c r="E683" s="550">
        <v>24380</v>
      </c>
      <c r="F683" s="550">
        <v>4876</v>
      </c>
      <c r="G683" s="122">
        <f t="shared" ref="G683" si="142">E683*D683</f>
        <v>146280</v>
      </c>
      <c r="H683" s="204">
        <f t="shared" ref="H683" si="143">F683*D683</f>
        <v>29256</v>
      </c>
    </row>
    <row r="684" spans="1:240" s="126" customFormat="1">
      <c r="A684" s="253"/>
      <c r="B684" s="150"/>
      <c r="C684" s="148"/>
      <c r="D684" s="148"/>
      <c r="E684" s="550">
        <v>0</v>
      </c>
      <c r="F684" s="550">
        <v>0</v>
      </c>
      <c r="G684" s="122"/>
      <c r="H684" s="204"/>
    </row>
    <row r="685" spans="1:240" s="126" customFormat="1">
      <c r="A685" s="253">
        <f>A683+0.01</f>
        <v>11.149999999999999</v>
      </c>
      <c r="B685" s="150" t="s">
        <v>482</v>
      </c>
      <c r="C685" s="148" t="s">
        <v>387</v>
      </c>
      <c r="D685" s="148" t="s">
        <v>228</v>
      </c>
      <c r="E685" s="550">
        <v>0</v>
      </c>
      <c r="F685" s="550">
        <v>0</v>
      </c>
      <c r="G685" s="122"/>
      <c r="H685" s="204"/>
    </row>
    <row r="686" spans="1:240" s="126" customFormat="1">
      <c r="A686" s="254"/>
      <c r="B686" s="151"/>
      <c r="C686" s="152"/>
      <c r="D686" s="128"/>
      <c r="E686" s="550">
        <v>0</v>
      </c>
      <c r="F686" s="550">
        <v>0</v>
      </c>
      <c r="G686" s="153"/>
      <c r="H686" s="255"/>
      <c r="I686" s="125"/>
      <c r="J686" s="125"/>
      <c r="K686" s="125"/>
      <c r="L686" s="125"/>
      <c r="M686" s="125"/>
      <c r="N686" s="125"/>
      <c r="O686" s="125"/>
      <c r="P686" s="125"/>
      <c r="Q686" s="125"/>
      <c r="R686" s="125"/>
      <c r="S686" s="125"/>
      <c r="T686" s="125"/>
      <c r="U686" s="125"/>
      <c r="V686" s="125"/>
      <c r="W686" s="125"/>
      <c r="X686" s="125"/>
      <c r="Y686" s="125"/>
      <c r="Z686" s="125"/>
      <c r="AA686" s="125"/>
      <c r="AB686" s="125"/>
      <c r="AC686" s="125"/>
      <c r="AD686" s="125"/>
      <c r="AE686" s="125"/>
      <c r="AF686" s="125"/>
      <c r="AG686" s="125"/>
      <c r="AH686" s="125"/>
      <c r="AI686" s="125"/>
      <c r="AJ686" s="125"/>
      <c r="AK686" s="125"/>
      <c r="AL686" s="125"/>
      <c r="AM686" s="125"/>
      <c r="AN686" s="125"/>
      <c r="AO686" s="125"/>
      <c r="AP686" s="125"/>
      <c r="AQ686" s="125"/>
      <c r="AR686" s="125"/>
      <c r="AS686" s="125"/>
      <c r="AT686" s="125"/>
      <c r="AU686" s="125"/>
      <c r="AV686" s="125"/>
      <c r="AW686" s="125"/>
      <c r="AX686" s="125"/>
      <c r="AY686" s="125"/>
      <c r="AZ686" s="125"/>
      <c r="BA686" s="125"/>
      <c r="BB686" s="125"/>
      <c r="BC686" s="125"/>
      <c r="BD686" s="125"/>
      <c r="BE686" s="125"/>
      <c r="BF686" s="125"/>
      <c r="BG686" s="125"/>
      <c r="BH686" s="125"/>
      <c r="BI686" s="125"/>
      <c r="BJ686" s="125"/>
      <c r="BK686" s="125"/>
      <c r="BL686" s="125"/>
      <c r="BM686" s="125"/>
      <c r="BN686" s="125"/>
      <c r="BO686" s="125"/>
      <c r="BP686" s="125"/>
      <c r="BQ686" s="125"/>
      <c r="BR686" s="125"/>
      <c r="BS686" s="125"/>
      <c r="BT686" s="125"/>
      <c r="BU686" s="125"/>
      <c r="BV686" s="125"/>
      <c r="BW686" s="125"/>
      <c r="BX686" s="125"/>
      <c r="BY686" s="125"/>
      <c r="BZ686" s="125"/>
      <c r="CA686" s="125"/>
      <c r="CB686" s="125"/>
      <c r="CC686" s="125"/>
      <c r="CD686" s="125"/>
      <c r="CE686" s="125"/>
      <c r="CF686" s="125"/>
      <c r="CG686" s="125"/>
      <c r="CH686" s="125"/>
      <c r="CI686" s="125"/>
      <c r="CJ686" s="125"/>
      <c r="CK686" s="125"/>
      <c r="CL686" s="125"/>
      <c r="CM686" s="125"/>
      <c r="CN686" s="125"/>
      <c r="CO686" s="125"/>
      <c r="CP686" s="125"/>
      <c r="CQ686" s="125"/>
      <c r="CR686" s="125"/>
      <c r="CS686" s="125"/>
      <c r="CT686" s="125"/>
      <c r="CU686" s="125"/>
      <c r="CV686" s="125"/>
      <c r="CW686" s="125"/>
      <c r="CX686" s="125"/>
      <c r="CY686" s="125"/>
      <c r="CZ686" s="125"/>
      <c r="DA686" s="125"/>
      <c r="DB686" s="125"/>
      <c r="DC686" s="125"/>
      <c r="DD686" s="125"/>
      <c r="DE686" s="125"/>
      <c r="DF686" s="125"/>
      <c r="DG686" s="125"/>
      <c r="DH686" s="125"/>
      <c r="DI686" s="125"/>
      <c r="DJ686" s="125"/>
      <c r="DK686" s="125"/>
      <c r="DL686" s="125"/>
      <c r="DM686" s="125"/>
      <c r="DN686" s="125"/>
      <c r="DO686" s="125"/>
      <c r="DP686" s="125"/>
      <c r="DQ686" s="125"/>
      <c r="DR686" s="125"/>
      <c r="DS686" s="125"/>
      <c r="DT686" s="125"/>
      <c r="DU686" s="125"/>
      <c r="DV686" s="125"/>
      <c r="DW686" s="125"/>
      <c r="DX686" s="125"/>
      <c r="DY686" s="125"/>
      <c r="DZ686" s="125"/>
      <c r="EA686" s="125"/>
      <c r="EB686" s="125"/>
      <c r="EC686" s="125"/>
      <c r="ED686" s="125"/>
      <c r="EE686" s="125"/>
      <c r="EF686" s="125"/>
      <c r="EG686" s="125"/>
      <c r="EH686" s="125"/>
      <c r="EI686" s="125"/>
      <c r="EJ686" s="125"/>
      <c r="EK686" s="125"/>
      <c r="EL686" s="125"/>
      <c r="EM686" s="125"/>
      <c r="EN686" s="125"/>
      <c r="EO686" s="125"/>
      <c r="EP686" s="125"/>
      <c r="EQ686" s="125"/>
      <c r="ER686" s="125"/>
      <c r="ES686" s="125"/>
      <c r="ET686" s="125"/>
      <c r="EU686" s="125"/>
      <c r="EV686" s="125"/>
      <c r="EW686" s="125"/>
      <c r="EX686" s="125"/>
      <c r="EY686" s="125"/>
      <c r="EZ686" s="125"/>
      <c r="FA686" s="125"/>
      <c r="FB686" s="125"/>
      <c r="FC686" s="125"/>
      <c r="FD686" s="125"/>
      <c r="FE686" s="125"/>
      <c r="FF686" s="125"/>
      <c r="FG686" s="125"/>
      <c r="FH686" s="125"/>
      <c r="FI686" s="125"/>
      <c r="FJ686" s="125"/>
      <c r="FK686" s="125"/>
      <c r="FL686" s="125"/>
      <c r="FM686" s="125"/>
      <c r="FN686" s="125"/>
      <c r="FO686" s="125"/>
      <c r="FP686" s="125"/>
      <c r="FQ686" s="125"/>
      <c r="FR686" s="125"/>
      <c r="FS686" s="125"/>
      <c r="FT686" s="125"/>
      <c r="FU686" s="125"/>
      <c r="FV686" s="125"/>
      <c r="FW686" s="125"/>
      <c r="FX686" s="125"/>
      <c r="FY686" s="125"/>
      <c r="FZ686" s="125"/>
      <c r="GA686" s="125"/>
      <c r="GB686" s="125"/>
      <c r="GC686" s="125"/>
      <c r="GD686" s="125"/>
      <c r="GE686" s="125"/>
      <c r="GF686" s="125"/>
      <c r="GG686" s="125"/>
      <c r="GH686" s="125"/>
      <c r="GI686" s="125"/>
      <c r="GJ686" s="125"/>
      <c r="GK686" s="125"/>
      <c r="GL686" s="125"/>
      <c r="GM686" s="125"/>
      <c r="GN686" s="125"/>
      <c r="GO686" s="125"/>
      <c r="GP686" s="125"/>
      <c r="GQ686" s="125"/>
      <c r="GR686" s="125"/>
      <c r="GS686" s="125"/>
      <c r="GT686" s="125"/>
      <c r="GU686" s="125"/>
      <c r="GV686" s="125"/>
      <c r="GW686" s="125"/>
      <c r="GX686" s="125"/>
      <c r="GY686" s="125"/>
      <c r="GZ686" s="125"/>
      <c r="HA686" s="125"/>
      <c r="HB686" s="125"/>
      <c r="HC686" s="125"/>
      <c r="HD686" s="125"/>
      <c r="HE686" s="125"/>
      <c r="HF686" s="125"/>
      <c r="HG686" s="125"/>
      <c r="HH686" s="125"/>
      <c r="HI686" s="125"/>
      <c r="HJ686" s="125"/>
      <c r="HK686" s="125"/>
      <c r="HL686" s="125"/>
      <c r="HM686" s="125"/>
      <c r="HN686" s="125"/>
      <c r="HO686" s="125"/>
      <c r="HP686" s="125"/>
      <c r="HQ686" s="125"/>
      <c r="HR686" s="125"/>
      <c r="HS686" s="125"/>
      <c r="HT686" s="125"/>
      <c r="HU686" s="125"/>
      <c r="HV686" s="125"/>
      <c r="HW686" s="125"/>
      <c r="HX686" s="125"/>
      <c r="HY686" s="125"/>
      <c r="HZ686" s="125"/>
      <c r="IA686" s="125"/>
      <c r="IB686" s="125"/>
      <c r="IC686" s="125"/>
      <c r="ID686" s="125"/>
      <c r="IE686" s="125"/>
      <c r="IF686" s="125"/>
    </row>
    <row r="687" spans="1:240" s="126" customFormat="1">
      <c r="A687" s="244"/>
      <c r="B687" s="129" t="s">
        <v>403</v>
      </c>
      <c r="C687" s="130"/>
      <c r="D687" s="130"/>
      <c r="E687" s="564">
        <v>0</v>
      </c>
      <c r="F687" s="564">
        <v>0</v>
      </c>
      <c r="G687" s="131">
        <f>SUM(G660:G686)</f>
        <v>273055</v>
      </c>
      <c r="H687" s="245">
        <f>SUM(H660:H686)</f>
        <v>59756</v>
      </c>
    </row>
    <row r="688" spans="1:240">
      <c r="A688" s="208"/>
      <c r="B688" s="65"/>
      <c r="C688" s="74"/>
      <c r="D688" s="34"/>
      <c r="E688" s="553">
        <v>0</v>
      </c>
      <c r="F688" s="553">
        <v>0</v>
      </c>
      <c r="G688" s="35"/>
      <c r="H688" s="209"/>
      <c r="J688" s="163"/>
    </row>
    <row r="689" spans="1:10">
      <c r="A689" s="195">
        <v>12</v>
      </c>
      <c r="B689" s="104" t="s">
        <v>14</v>
      </c>
      <c r="C689" s="108"/>
      <c r="D689" s="107"/>
      <c r="E689" s="554">
        <v>0</v>
      </c>
      <c r="F689" s="554">
        <v>0</v>
      </c>
      <c r="G689" s="97"/>
      <c r="H689" s="196"/>
      <c r="J689" s="163"/>
    </row>
    <row r="690" spans="1:10">
      <c r="A690" s="213"/>
      <c r="B690" s="79"/>
      <c r="C690" s="52"/>
      <c r="D690" s="13"/>
      <c r="E690" s="555">
        <v>0</v>
      </c>
      <c r="F690" s="555">
        <v>0</v>
      </c>
      <c r="G690" s="18"/>
      <c r="H690" s="200"/>
      <c r="J690" s="163"/>
    </row>
    <row r="691" spans="1:10">
      <c r="A691" s="199">
        <v>12.01</v>
      </c>
      <c r="B691" s="23" t="s">
        <v>205</v>
      </c>
      <c r="C691" s="16" t="s">
        <v>58</v>
      </c>
      <c r="D691" s="17">
        <v>4</v>
      </c>
      <c r="E691" s="550">
        <v>1950</v>
      </c>
      <c r="F691" s="550">
        <v>488</v>
      </c>
      <c r="G691" s="122">
        <f t="shared" ref="G691" si="144">E691*D691</f>
        <v>7800</v>
      </c>
      <c r="H691" s="204">
        <f t="shared" ref="H691" si="145">F691*D691</f>
        <v>1952</v>
      </c>
      <c r="J691" s="163"/>
    </row>
    <row r="692" spans="1:10">
      <c r="A692" s="199"/>
      <c r="B692" s="15"/>
      <c r="C692" s="41"/>
      <c r="D692" s="17"/>
      <c r="E692" s="550">
        <v>0</v>
      </c>
      <c r="F692" s="550">
        <v>0</v>
      </c>
      <c r="G692" s="18"/>
      <c r="H692" s="200"/>
      <c r="J692" s="163"/>
    </row>
    <row r="693" spans="1:10" ht="29">
      <c r="A693" s="199">
        <v>12.02</v>
      </c>
      <c r="B693" s="23" t="s">
        <v>206</v>
      </c>
      <c r="C693" s="16" t="s">
        <v>58</v>
      </c>
      <c r="D693" s="17">
        <v>2</v>
      </c>
      <c r="E693" s="550">
        <v>1463</v>
      </c>
      <c r="F693" s="550">
        <v>488</v>
      </c>
      <c r="G693" s="122">
        <f t="shared" ref="G693" si="146">E693*D693</f>
        <v>2926</v>
      </c>
      <c r="H693" s="204">
        <f t="shared" ref="H693" si="147">F693*D693</f>
        <v>976</v>
      </c>
      <c r="J693" s="163"/>
    </row>
    <row r="694" spans="1:10">
      <c r="A694" s="199"/>
      <c r="B694" s="15"/>
      <c r="C694" s="41"/>
      <c r="D694" s="17"/>
      <c r="E694" s="550">
        <v>0</v>
      </c>
      <c r="F694" s="550">
        <v>0</v>
      </c>
      <c r="G694" s="18"/>
      <c r="H694" s="200"/>
      <c r="J694" s="163"/>
    </row>
    <row r="695" spans="1:10">
      <c r="A695" s="199">
        <v>12.03</v>
      </c>
      <c r="B695" s="15" t="s">
        <v>207</v>
      </c>
      <c r="C695" s="16" t="s">
        <v>58</v>
      </c>
      <c r="D695" s="17" t="s">
        <v>228</v>
      </c>
      <c r="E695" s="550">
        <v>0</v>
      </c>
      <c r="F695" s="550">
        <v>0</v>
      </c>
      <c r="G695" s="122"/>
      <c r="H695" s="204"/>
      <c r="J695" s="163"/>
    </row>
    <row r="696" spans="1:10">
      <c r="A696" s="199"/>
      <c r="B696" s="15"/>
      <c r="C696" s="41"/>
      <c r="D696" s="17"/>
      <c r="E696" s="550">
        <v>0</v>
      </c>
      <c r="F696" s="550">
        <v>0</v>
      </c>
      <c r="G696" s="18"/>
      <c r="H696" s="200"/>
      <c r="J696" s="163"/>
    </row>
    <row r="697" spans="1:10">
      <c r="A697" s="199">
        <v>12.04</v>
      </c>
      <c r="B697" s="15" t="s">
        <v>208</v>
      </c>
      <c r="C697" s="16" t="s">
        <v>58</v>
      </c>
      <c r="D697" s="17">
        <v>2</v>
      </c>
      <c r="E697" s="550">
        <v>1463</v>
      </c>
      <c r="F697" s="550">
        <v>488</v>
      </c>
      <c r="G697" s="122">
        <f t="shared" ref="G697" si="148">E697*D697</f>
        <v>2926</v>
      </c>
      <c r="H697" s="204">
        <f t="shared" ref="H697" si="149">F697*D697</f>
        <v>976</v>
      </c>
      <c r="J697" s="163"/>
    </row>
    <row r="698" spans="1:10">
      <c r="A698" s="199"/>
      <c r="B698" s="69"/>
      <c r="C698" s="16"/>
      <c r="D698" s="17"/>
      <c r="E698" s="550">
        <v>0</v>
      </c>
      <c r="F698" s="550">
        <v>0</v>
      </c>
      <c r="G698" s="18"/>
      <c r="H698" s="200"/>
      <c r="J698" s="163"/>
    </row>
    <row r="699" spans="1:10">
      <c r="A699" s="217">
        <v>12.05</v>
      </c>
      <c r="B699" s="49" t="s">
        <v>209</v>
      </c>
      <c r="C699" s="16" t="s">
        <v>210</v>
      </c>
      <c r="D699" s="17">
        <v>1000</v>
      </c>
      <c r="E699" s="550">
        <v>98</v>
      </c>
      <c r="F699" s="550">
        <v>49</v>
      </c>
      <c r="G699" s="122">
        <f t="shared" ref="G699" si="150">E699*D699</f>
        <v>98000</v>
      </c>
      <c r="H699" s="204">
        <f t="shared" ref="H699" si="151">F699*D699</f>
        <v>49000</v>
      </c>
      <c r="J699" s="163"/>
    </row>
    <row r="700" spans="1:10">
      <c r="A700" s="217"/>
      <c r="B700" s="49"/>
      <c r="C700" s="16"/>
      <c r="D700" s="17"/>
      <c r="E700" s="550">
        <v>0</v>
      </c>
      <c r="F700" s="550">
        <v>0</v>
      </c>
      <c r="G700" s="18"/>
      <c r="H700" s="200"/>
      <c r="J700" s="163"/>
    </row>
    <row r="701" spans="1:10">
      <c r="A701" s="217">
        <v>12.06</v>
      </c>
      <c r="B701" s="49" t="s">
        <v>211</v>
      </c>
      <c r="C701" s="16" t="s">
        <v>58</v>
      </c>
      <c r="D701" s="17">
        <v>2</v>
      </c>
      <c r="E701" s="550">
        <v>0</v>
      </c>
      <c r="F701" s="550">
        <v>1463</v>
      </c>
      <c r="G701" s="122">
        <f t="shared" ref="G701" si="152">E701*D701</f>
        <v>0</v>
      </c>
      <c r="H701" s="204">
        <f t="shared" ref="H701" si="153">F701*D701</f>
        <v>2926</v>
      </c>
      <c r="J701" s="163"/>
    </row>
    <row r="702" spans="1:10">
      <c r="A702" s="217"/>
      <c r="B702" s="49"/>
      <c r="C702" s="16"/>
      <c r="D702" s="17"/>
      <c r="E702" s="550">
        <v>0</v>
      </c>
      <c r="F702" s="550">
        <v>0</v>
      </c>
      <c r="G702" s="18"/>
      <c r="H702" s="200"/>
      <c r="J702" s="163"/>
    </row>
    <row r="703" spans="1:10">
      <c r="A703" s="217">
        <v>12.07</v>
      </c>
      <c r="B703" s="49" t="s">
        <v>212</v>
      </c>
      <c r="C703" s="24" t="s">
        <v>56</v>
      </c>
      <c r="D703" s="17">
        <v>2</v>
      </c>
      <c r="E703" s="550">
        <v>2438</v>
      </c>
      <c r="F703" s="550">
        <v>488</v>
      </c>
      <c r="G703" s="122">
        <f t="shared" ref="G703" si="154">E703*D703</f>
        <v>4876</v>
      </c>
      <c r="H703" s="204">
        <f t="shared" ref="H703" si="155">F703*D703</f>
        <v>976</v>
      </c>
      <c r="J703" s="163"/>
    </row>
    <row r="704" spans="1:10">
      <c r="A704" s="217"/>
      <c r="B704" s="49"/>
      <c r="C704" s="24"/>
      <c r="D704" s="17"/>
      <c r="E704" s="550">
        <v>0</v>
      </c>
      <c r="F704" s="550">
        <v>0</v>
      </c>
      <c r="G704" s="18"/>
      <c r="H704" s="200"/>
      <c r="J704" s="163"/>
    </row>
    <row r="705" spans="1:10" ht="43.5">
      <c r="A705" s="217">
        <v>12.08</v>
      </c>
      <c r="B705" s="68" t="s">
        <v>213</v>
      </c>
      <c r="C705" s="80" t="s">
        <v>214</v>
      </c>
      <c r="D705" s="17">
        <v>2</v>
      </c>
      <c r="E705" s="550">
        <v>57732</v>
      </c>
      <c r="F705" s="550">
        <v>6339</v>
      </c>
      <c r="G705" s="122">
        <f t="shared" ref="G705" si="156">E705*D705</f>
        <v>115464</v>
      </c>
      <c r="H705" s="204">
        <f t="shared" ref="H705" si="157">F705*D705</f>
        <v>12678</v>
      </c>
      <c r="J705" s="163"/>
    </row>
    <row r="706" spans="1:10">
      <c r="A706" s="217"/>
      <c r="B706" s="68"/>
      <c r="C706" s="80"/>
      <c r="D706" s="17"/>
      <c r="E706" s="550">
        <v>0</v>
      </c>
      <c r="F706" s="550">
        <v>0</v>
      </c>
      <c r="G706" s="18"/>
      <c r="H706" s="200"/>
      <c r="J706" s="163"/>
    </row>
    <row r="707" spans="1:10" ht="29">
      <c r="A707" s="217">
        <v>12.09</v>
      </c>
      <c r="B707" s="49" t="s">
        <v>215</v>
      </c>
      <c r="C707" s="80" t="s">
        <v>79</v>
      </c>
      <c r="D707" s="17">
        <v>30</v>
      </c>
      <c r="E707" s="550">
        <v>731</v>
      </c>
      <c r="F707" s="550">
        <v>244</v>
      </c>
      <c r="G707" s="122">
        <f t="shared" ref="G707" si="158">E707*D707</f>
        <v>21930</v>
      </c>
      <c r="H707" s="204">
        <f t="shared" ref="H707" si="159">F707*D707</f>
        <v>7320</v>
      </c>
      <c r="J707" s="163"/>
    </row>
    <row r="708" spans="1:10">
      <c r="A708" s="217"/>
      <c r="B708" s="68"/>
      <c r="C708" s="80"/>
      <c r="D708" s="17"/>
      <c r="E708" s="18"/>
      <c r="F708" s="18"/>
      <c r="G708" s="18"/>
      <c r="H708" s="200"/>
      <c r="J708" s="163"/>
    </row>
    <row r="709" spans="1:10" ht="15" thickBot="1">
      <c r="A709" s="259"/>
      <c r="B709" s="260" t="s">
        <v>536</v>
      </c>
      <c r="C709" s="261"/>
      <c r="D709" s="262"/>
      <c r="E709" s="263"/>
      <c r="F709" s="263"/>
      <c r="G709" s="263">
        <f>SUM(G691:G708)</f>
        <v>253922</v>
      </c>
      <c r="H709" s="264">
        <f>SUM(H691:H708)</f>
        <v>76804</v>
      </c>
      <c r="I709" s="163"/>
      <c r="J709" s="163"/>
    </row>
    <row r="710" spans="1:10">
      <c r="I710" s="163"/>
      <c r="J710" s="163"/>
    </row>
    <row r="711" spans="1:10">
      <c r="I711" s="163"/>
      <c r="J711" s="163"/>
    </row>
    <row r="712" spans="1:10">
      <c r="I712" s="163"/>
      <c r="J712" s="163"/>
    </row>
    <row r="713" spans="1:10">
      <c r="I713" s="163"/>
      <c r="J713" s="163"/>
    </row>
    <row r="714" spans="1:10">
      <c r="I714" s="163"/>
      <c r="J714" s="163"/>
    </row>
  </sheetData>
  <mergeCells count="10">
    <mergeCell ref="A1:H1"/>
    <mergeCell ref="F3:F4"/>
    <mergeCell ref="G3:G4"/>
    <mergeCell ref="H3:H4"/>
    <mergeCell ref="B2:H2"/>
    <mergeCell ref="A3:A4"/>
    <mergeCell ref="B3:B4"/>
    <mergeCell ref="C3:C4"/>
    <mergeCell ref="D3:D4"/>
    <mergeCell ref="E3:E4"/>
  </mergeCells>
  <phoneticPr fontId="34" type="noConversion"/>
  <pageMargins left="0.70866141732283472" right="0.70866141732283472" top="0.74803149606299213" bottom="0.74803149606299213" header="0.31496062992125984" footer="0.31496062992125984"/>
  <pageSetup paperSize="9" scale="10" fitToHeight="12" orientation="portrait" r:id="rId1"/>
  <rowBreaks count="1" manualBreakCount="1">
    <brk id="466"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2"/>
  <sheetViews>
    <sheetView showGridLines="0" view="pageBreakPreview" zoomScale="85" zoomScaleNormal="100" zoomScaleSheetLayoutView="85" workbookViewId="0">
      <selection activeCell="H7" sqref="H7"/>
    </sheetView>
  </sheetViews>
  <sheetFormatPr defaultColWidth="8" defaultRowHeight="14.5"/>
  <cols>
    <col min="1" max="1" width="10.453125" style="180" bestFit="1" customWidth="1"/>
    <col min="2" max="2" width="16.81640625" style="176" customWidth="1"/>
    <col min="3" max="3" width="37.453125" style="176" customWidth="1"/>
    <col min="4" max="4" width="16.54296875" style="176" customWidth="1"/>
    <col min="5" max="5" width="7" style="180" customWidth="1"/>
    <col min="6" max="6" width="8.54296875" style="176" bestFit="1" customWidth="1"/>
    <col min="7" max="7" width="11.81640625" style="180" bestFit="1" customWidth="1"/>
    <col min="8" max="8" width="11.453125" style="180" customWidth="1"/>
    <col min="9" max="9" width="15.1796875" style="176" bestFit="1" customWidth="1"/>
    <col min="10" max="10" width="14.54296875" style="176" bestFit="1" customWidth="1"/>
    <col min="11" max="255" width="8" style="176"/>
    <col min="256" max="256" width="4.54296875" style="176" customWidth="1"/>
    <col min="257" max="257" width="16.81640625" style="176" customWidth="1"/>
    <col min="258" max="258" width="32.54296875" style="176" customWidth="1"/>
    <col min="259" max="260" width="15.453125" style="176" customWidth="1"/>
    <col min="261" max="261" width="7" style="176" customWidth="1"/>
    <col min="262" max="262" width="11.453125" style="176" customWidth="1"/>
    <col min="263" max="263" width="18.81640625" style="176" bestFit="1" customWidth="1"/>
    <col min="264" max="511" width="8" style="176"/>
    <col min="512" max="512" width="4.54296875" style="176" customWidth="1"/>
    <col min="513" max="513" width="16.81640625" style="176" customWidth="1"/>
    <col min="514" max="514" width="32.54296875" style="176" customWidth="1"/>
    <col min="515" max="516" width="15.453125" style="176" customWidth="1"/>
    <col min="517" max="517" width="7" style="176" customWidth="1"/>
    <col min="518" max="518" width="11.453125" style="176" customWidth="1"/>
    <col min="519" max="519" width="18.81640625" style="176" bestFit="1" customWidth="1"/>
    <col min="520" max="767" width="8" style="176"/>
    <col min="768" max="768" width="4.54296875" style="176" customWidth="1"/>
    <col min="769" max="769" width="16.81640625" style="176" customWidth="1"/>
    <col min="770" max="770" width="32.54296875" style="176" customWidth="1"/>
    <col min="771" max="772" width="15.453125" style="176" customWidth="1"/>
    <col min="773" max="773" width="7" style="176" customWidth="1"/>
    <col min="774" max="774" width="11.453125" style="176" customWidth="1"/>
    <col min="775" max="775" width="18.81640625" style="176" bestFit="1" customWidth="1"/>
    <col min="776" max="1023" width="8" style="176"/>
    <col min="1024" max="1024" width="4.54296875" style="176" customWidth="1"/>
    <col min="1025" max="1025" width="16.81640625" style="176" customWidth="1"/>
    <col min="1026" max="1026" width="32.54296875" style="176" customWidth="1"/>
    <col min="1027" max="1028" width="15.453125" style="176" customWidth="1"/>
    <col min="1029" max="1029" width="7" style="176" customWidth="1"/>
    <col min="1030" max="1030" width="11.453125" style="176" customWidth="1"/>
    <col min="1031" max="1031" width="18.81640625" style="176" bestFit="1" customWidth="1"/>
    <col min="1032" max="1279" width="8" style="176"/>
    <col min="1280" max="1280" width="4.54296875" style="176" customWidth="1"/>
    <col min="1281" max="1281" width="16.81640625" style="176" customWidth="1"/>
    <col min="1282" max="1282" width="32.54296875" style="176" customWidth="1"/>
    <col min="1283" max="1284" width="15.453125" style="176" customWidth="1"/>
    <col min="1285" max="1285" width="7" style="176" customWidth="1"/>
    <col min="1286" max="1286" width="11.453125" style="176" customWidth="1"/>
    <col min="1287" max="1287" width="18.81640625" style="176" bestFit="1" customWidth="1"/>
    <col min="1288" max="1535" width="8" style="176"/>
    <col min="1536" max="1536" width="4.54296875" style="176" customWidth="1"/>
    <col min="1537" max="1537" width="16.81640625" style="176" customWidth="1"/>
    <col min="1538" max="1538" width="32.54296875" style="176" customWidth="1"/>
    <col min="1539" max="1540" width="15.453125" style="176" customWidth="1"/>
    <col min="1541" max="1541" width="7" style="176" customWidth="1"/>
    <col min="1542" max="1542" width="11.453125" style="176" customWidth="1"/>
    <col min="1543" max="1543" width="18.81640625" style="176" bestFit="1" customWidth="1"/>
    <col min="1544" max="1791" width="8" style="176"/>
    <col min="1792" max="1792" width="4.54296875" style="176" customWidth="1"/>
    <col min="1793" max="1793" width="16.81640625" style="176" customWidth="1"/>
    <col min="1794" max="1794" width="32.54296875" style="176" customWidth="1"/>
    <col min="1795" max="1796" width="15.453125" style="176" customWidth="1"/>
    <col min="1797" max="1797" width="7" style="176" customWidth="1"/>
    <col min="1798" max="1798" width="11.453125" style="176" customWidth="1"/>
    <col min="1799" max="1799" width="18.81640625" style="176" bestFit="1" customWidth="1"/>
    <col min="1800" max="2047" width="8" style="176"/>
    <col min="2048" max="2048" width="4.54296875" style="176" customWidth="1"/>
    <col min="2049" max="2049" width="16.81640625" style="176" customWidth="1"/>
    <col min="2050" max="2050" width="32.54296875" style="176" customWidth="1"/>
    <col min="2051" max="2052" width="15.453125" style="176" customWidth="1"/>
    <col min="2053" max="2053" width="7" style="176" customWidth="1"/>
    <col min="2054" max="2054" width="11.453125" style="176" customWidth="1"/>
    <col min="2055" max="2055" width="18.81640625" style="176" bestFit="1" customWidth="1"/>
    <col min="2056" max="2303" width="8" style="176"/>
    <col min="2304" max="2304" width="4.54296875" style="176" customWidth="1"/>
    <col min="2305" max="2305" width="16.81640625" style="176" customWidth="1"/>
    <col min="2306" max="2306" width="32.54296875" style="176" customWidth="1"/>
    <col min="2307" max="2308" width="15.453125" style="176" customWidth="1"/>
    <col min="2309" max="2309" width="7" style="176" customWidth="1"/>
    <col min="2310" max="2310" width="11.453125" style="176" customWidth="1"/>
    <col min="2311" max="2311" width="18.81640625" style="176" bestFit="1" customWidth="1"/>
    <col min="2312" max="2559" width="8" style="176"/>
    <col min="2560" max="2560" width="4.54296875" style="176" customWidth="1"/>
    <col min="2561" max="2561" width="16.81640625" style="176" customWidth="1"/>
    <col min="2562" max="2562" width="32.54296875" style="176" customWidth="1"/>
    <col min="2563" max="2564" width="15.453125" style="176" customWidth="1"/>
    <col min="2565" max="2565" width="7" style="176" customWidth="1"/>
    <col min="2566" max="2566" width="11.453125" style="176" customWidth="1"/>
    <col min="2567" max="2567" width="18.81640625" style="176" bestFit="1" customWidth="1"/>
    <col min="2568" max="2815" width="8" style="176"/>
    <col min="2816" max="2816" width="4.54296875" style="176" customWidth="1"/>
    <col min="2817" max="2817" width="16.81640625" style="176" customWidth="1"/>
    <col min="2818" max="2818" width="32.54296875" style="176" customWidth="1"/>
    <col min="2819" max="2820" width="15.453125" style="176" customWidth="1"/>
    <col min="2821" max="2821" width="7" style="176" customWidth="1"/>
    <col min="2822" max="2822" width="11.453125" style="176" customWidth="1"/>
    <col min="2823" max="2823" width="18.81640625" style="176" bestFit="1" customWidth="1"/>
    <col min="2824" max="3071" width="8" style="176"/>
    <col min="3072" max="3072" width="4.54296875" style="176" customWidth="1"/>
    <col min="3073" max="3073" width="16.81640625" style="176" customWidth="1"/>
    <col min="3074" max="3074" width="32.54296875" style="176" customWidth="1"/>
    <col min="3075" max="3076" width="15.453125" style="176" customWidth="1"/>
    <col min="3077" max="3077" width="7" style="176" customWidth="1"/>
    <col min="3078" max="3078" width="11.453125" style="176" customWidth="1"/>
    <col min="3079" max="3079" width="18.81640625" style="176" bestFit="1" customWidth="1"/>
    <col min="3080" max="3327" width="8" style="176"/>
    <col min="3328" max="3328" width="4.54296875" style="176" customWidth="1"/>
    <col min="3329" max="3329" width="16.81640625" style="176" customWidth="1"/>
    <col min="3330" max="3330" width="32.54296875" style="176" customWidth="1"/>
    <col min="3331" max="3332" width="15.453125" style="176" customWidth="1"/>
    <col min="3333" max="3333" width="7" style="176" customWidth="1"/>
    <col min="3334" max="3334" width="11.453125" style="176" customWidth="1"/>
    <col min="3335" max="3335" width="18.81640625" style="176" bestFit="1" customWidth="1"/>
    <col min="3336" max="3583" width="8" style="176"/>
    <col min="3584" max="3584" width="4.54296875" style="176" customWidth="1"/>
    <col min="3585" max="3585" width="16.81640625" style="176" customWidth="1"/>
    <col min="3586" max="3586" width="32.54296875" style="176" customWidth="1"/>
    <col min="3587" max="3588" width="15.453125" style="176" customWidth="1"/>
    <col min="3589" max="3589" width="7" style="176" customWidth="1"/>
    <col min="3590" max="3590" width="11.453125" style="176" customWidth="1"/>
    <col min="3591" max="3591" width="18.81640625" style="176" bestFit="1" customWidth="1"/>
    <col min="3592" max="3839" width="8" style="176"/>
    <col min="3840" max="3840" width="4.54296875" style="176" customWidth="1"/>
    <col min="3841" max="3841" width="16.81640625" style="176" customWidth="1"/>
    <col min="3842" max="3842" width="32.54296875" style="176" customWidth="1"/>
    <col min="3843" max="3844" width="15.453125" style="176" customWidth="1"/>
    <col min="3845" max="3845" width="7" style="176" customWidth="1"/>
    <col min="3846" max="3846" width="11.453125" style="176" customWidth="1"/>
    <col min="3847" max="3847" width="18.81640625" style="176" bestFit="1" customWidth="1"/>
    <col min="3848" max="4095" width="8" style="176"/>
    <col min="4096" max="4096" width="4.54296875" style="176" customWidth="1"/>
    <col min="4097" max="4097" width="16.81640625" style="176" customWidth="1"/>
    <col min="4098" max="4098" width="32.54296875" style="176" customWidth="1"/>
    <col min="4099" max="4100" width="15.453125" style="176" customWidth="1"/>
    <col min="4101" max="4101" width="7" style="176" customWidth="1"/>
    <col min="4102" max="4102" width="11.453125" style="176" customWidth="1"/>
    <col min="4103" max="4103" width="18.81640625" style="176" bestFit="1" customWidth="1"/>
    <col min="4104" max="4351" width="8" style="176"/>
    <col min="4352" max="4352" width="4.54296875" style="176" customWidth="1"/>
    <col min="4353" max="4353" width="16.81640625" style="176" customWidth="1"/>
    <col min="4354" max="4354" width="32.54296875" style="176" customWidth="1"/>
    <col min="4355" max="4356" width="15.453125" style="176" customWidth="1"/>
    <col min="4357" max="4357" width="7" style="176" customWidth="1"/>
    <col min="4358" max="4358" width="11.453125" style="176" customWidth="1"/>
    <col min="4359" max="4359" width="18.81640625" style="176" bestFit="1" customWidth="1"/>
    <col min="4360" max="4607" width="8" style="176"/>
    <col min="4608" max="4608" width="4.54296875" style="176" customWidth="1"/>
    <col min="4609" max="4609" width="16.81640625" style="176" customWidth="1"/>
    <col min="4610" max="4610" width="32.54296875" style="176" customWidth="1"/>
    <col min="4611" max="4612" width="15.453125" style="176" customWidth="1"/>
    <col min="4613" max="4613" width="7" style="176" customWidth="1"/>
    <col min="4614" max="4614" width="11.453125" style="176" customWidth="1"/>
    <col min="4615" max="4615" width="18.81640625" style="176" bestFit="1" customWidth="1"/>
    <col min="4616" max="4863" width="8" style="176"/>
    <col min="4864" max="4864" width="4.54296875" style="176" customWidth="1"/>
    <col min="4865" max="4865" width="16.81640625" style="176" customWidth="1"/>
    <col min="4866" max="4866" width="32.54296875" style="176" customWidth="1"/>
    <col min="4867" max="4868" width="15.453125" style="176" customWidth="1"/>
    <col min="4869" max="4869" width="7" style="176" customWidth="1"/>
    <col min="4870" max="4870" width="11.453125" style="176" customWidth="1"/>
    <col min="4871" max="4871" width="18.81640625" style="176" bestFit="1" customWidth="1"/>
    <col min="4872" max="5119" width="8" style="176"/>
    <col min="5120" max="5120" width="4.54296875" style="176" customWidth="1"/>
    <col min="5121" max="5121" width="16.81640625" style="176" customWidth="1"/>
    <col min="5122" max="5122" width="32.54296875" style="176" customWidth="1"/>
    <col min="5123" max="5124" width="15.453125" style="176" customWidth="1"/>
    <col min="5125" max="5125" width="7" style="176" customWidth="1"/>
    <col min="5126" max="5126" width="11.453125" style="176" customWidth="1"/>
    <col min="5127" max="5127" width="18.81640625" style="176" bestFit="1" customWidth="1"/>
    <col min="5128" max="5375" width="8" style="176"/>
    <col min="5376" max="5376" width="4.54296875" style="176" customWidth="1"/>
    <col min="5377" max="5377" width="16.81640625" style="176" customWidth="1"/>
    <col min="5378" max="5378" width="32.54296875" style="176" customWidth="1"/>
    <col min="5379" max="5380" width="15.453125" style="176" customWidth="1"/>
    <col min="5381" max="5381" width="7" style="176" customWidth="1"/>
    <col min="5382" max="5382" width="11.453125" style="176" customWidth="1"/>
    <col min="5383" max="5383" width="18.81640625" style="176" bestFit="1" customWidth="1"/>
    <col min="5384" max="5631" width="8" style="176"/>
    <col min="5632" max="5632" width="4.54296875" style="176" customWidth="1"/>
    <col min="5633" max="5633" width="16.81640625" style="176" customWidth="1"/>
    <col min="5634" max="5634" width="32.54296875" style="176" customWidth="1"/>
    <col min="5635" max="5636" width="15.453125" style="176" customWidth="1"/>
    <col min="5637" max="5637" width="7" style="176" customWidth="1"/>
    <col min="5638" max="5638" width="11.453125" style="176" customWidth="1"/>
    <col min="5639" max="5639" width="18.81640625" style="176" bestFit="1" customWidth="1"/>
    <col min="5640" max="5887" width="8" style="176"/>
    <col min="5888" max="5888" width="4.54296875" style="176" customWidth="1"/>
    <col min="5889" max="5889" width="16.81640625" style="176" customWidth="1"/>
    <col min="5890" max="5890" width="32.54296875" style="176" customWidth="1"/>
    <col min="5891" max="5892" width="15.453125" style="176" customWidth="1"/>
    <col min="5893" max="5893" width="7" style="176" customWidth="1"/>
    <col min="5894" max="5894" width="11.453125" style="176" customWidth="1"/>
    <col min="5895" max="5895" width="18.81640625" style="176" bestFit="1" customWidth="1"/>
    <col min="5896" max="6143" width="8" style="176"/>
    <col min="6144" max="6144" width="4.54296875" style="176" customWidth="1"/>
    <col min="6145" max="6145" width="16.81640625" style="176" customWidth="1"/>
    <col min="6146" max="6146" width="32.54296875" style="176" customWidth="1"/>
    <col min="6147" max="6148" width="15.453125" style="176" customWidth="1"/>
    <col min="6149" max="6149" width="7" style="176" customWidth="1"/>
    <col min="6150" max="6150" width="11.453125" style="176" customWidth="1"/>
    <col min="6151" max="6151" width="18.81640625" style="176" bestFit="1" customWidth="1"/>
    <col min="6152" max="6399" width="8" style="176"/>
    <col min="6400" max="6400" width="4.54296875" style="176" customWidth="1"/>
    <col min="6401" max="6401" width="16.81640625" style="176" customWidth="1"/>
    <col min="6402" max="6402" width="32.54296875" style="176" customWidth="1"/>
    <col min="6403" max="6404" width="15.453125" style="176" customWidth="1"/>
    <col min="6405" max="6405" width="7" style="176" customWidth="1"/>
    <col min="6406" max="6406" width="11.453125" style="176" customWidth="1"/>
    <col min="6407" max="6407" width="18.81640625" style="176" bestFit="1" customWidth="1"/>
    <col min="6408" max="6655" width="8" style="176"/>
    <col min="6656" max="6656" width="4.54296875" style="176" customWidth="1"/>
    <col min="6657" max="6657" width="16.81640625" style="176" customWidth="1"/>
    <col min="6658" max="6658" width="32.54296875" style="176" customWidth="1"/>
    <col min="6659" max="6660" width="15.453125" style="176" customWidth="1"/>
    <col min="6661" max="6661" width="7" style="176" customWidth="1"/>
    <col min="6662" max="6662" width="11.453125" style="176" customWidth="1"/>
    <col min="6663" max="6663" width="18.81640625" style="176" bestFit="1" customWidth="1"/>
    <col min="6664" max="6911" width="8" style="176"/>
    <col min="6912" max="6912" width="4.54296875" style="176" customWidth="1"/>
    <col min="6913" max="6913" width="16.81640625" style="176" customWidth="1"/>
    <col min="6914" max="6914" width="32.54296875" style="176" customWidth="1"/>
    <col min="6915" max="6916" width="15.453125" style="176" customWidth="1"/>
    <col min="6917" max="6917" width="7" style="176" customWidth="1"/>
    <col min="6918" max="6918" width="11.453125" style="176" customWidth="1"/>
    <col min="6919" max="6919" width="18.81640625" style="176" bestFit="1" customWidth="1"/>
    <col min="6920" max="7167" width="8" style="176"/>
    <col min="7168" max="7168" width="4.54296875" style="176" customWidth="1"/>
    <col min="7169" max="7169" width="16.81640625" style="176" customWidth="1"/>
    <col min="7170" max="7170" width="32.54296875" style="176" customWidth="1"/>
    <col min="7171" max="7172" width="15.453125" style="176" customWidth="1"/>
    <col min="7173" max="7173" width="7" style="176" customWidth="1"/>
    <col min="7174" max="7174" width="11.453125" style="176" customWidth="1"/>
    <col min="7175" max="7175" width="18.81640625" style="176" bestFit="1" customWidth="1"/>
    <col min="7176" max="7423" width="8" style="176"/>
    <col min="7424" max="7424" width="4.54296875" style="176" customWidth="1"/>
    <col min="7425" max="7425" width="16.81640625" style="176" customWidth="1"/>
    <col min="7426" max="7426" width="32.54296875" style="176" customWidth="1"/>
    <col min="7427" max="7428" width="15.453125" style="176" customWidth="1"/>
    <col min="7429" max="7429" width="7" style="176" customWidth="1"/>
    <col min="7430" max="7430" width="11.453125" style="176" customWidth="1"/>
    <col min="7431" max="7431" width="18.81640625" style="176" bestFit="1" customWidth="1"/>
    <col min="7432" max="7679" width="8" style="176"/>
    <col min="7680" max="7680" width="4.54296875" style="176" customWidth="1"/>
    <col min="7681" max="7681" width="16.81640625" style="176" customWidth="1"/>
    <col min="7682" max="7682" width="32.54296875" style="176" customWidth="1"/>
    <col min="7683" max="7684" width="15.453125" style="176" customWidth="1"/>
    <col min="7685" max="7685" width="7" style="176" customWidth="1"/>
    <col min="7686" max="7686" width="11.453125" style="176" customWidth="1"/>
    <col min="7687" max="7687" width="18.81640625" style="176" bestFit="1" customWidth="1"/>
    <col min="7688" max="7935" width="8" style="176"/>
    <col min="7936" max="7936" width="4.54296875" style="176" customWidth="1"/>
    <col min="7937" max="7937" width="16.81640625" style="176" customWidth="1"/>
    <col min="7938" max="7938" width="32.54296875" style="176" customWidth="1"/>
    <col min="7939" max="7940" width="15.453125" style="176" customWidth="1"/>
    <col min="7941" max="7941" width="7" style="176" customWidth="1"/>
    <col min="7942" max="7942" width="11.453125" style="176" customWidth="1"/>
    <col min="7943" max="7943" width="18.81640625" style="176" bestFit="1" customWidth="1"/>
    <col min="7944" max="8191" width="8" style="176"/>
    <col min="8192" max="8192" width="4.54296875" style="176" customWidth="1"/>
    <col min="8193" max="8193" width="16.81640625" style="176" customWidth="1"/>
    <col min="8194" max="8194" width="32.54296875" style="176" customWidth="1"/>
    <col min="8195" max="8196" width="15.453125" style="176" customWidth="1"/>
    <col min="8197" max="8197" width="7" style="176" customWidth="1"/>
    <col min="8198" max="8198" width="11.453125" style="176" customWidth="1"/>
    <col min="8199" max="8199" width="18.81640625" style="176" bestFit="1" customWidth="1"/>
    <col min="8200" max="8447" width="8" style="176"/>
    <col min="8448" max="8448" width="4.54296875" style="176" customWidth="1"/>
    <col min="8449" max="8449" width="16.81640625" style="176" customWidth="1"/>
    <col min="8450" max="8450" width="32.54296875" style="176" customWidth="1"/>
    <col min="8451" max="8452" width="15.453125" style="176" customWidth="1"/>
    <col min="8453" max="8453" width="7" style="176" customWidth="1"/>
    <col min="8454" max="8454" width="11.453125" style="176" customWidth="1"/>
    <col min="8455" max="8455" width="18.81640625" style="176" bestFit="1" customWidth="1"/>
    <col min="8456" max="8703" width="8" style="176"/>
    <col min="8704" max="8704" width="4.54296875" style="176" customWidth="1"/>
    <col min="8705" max="8705" width="16.81640625" style="176" customWidth="1"/>
    <col min="8706" max="8706" width="32.54296875" style="176" customWidth="1"/>
    <col min="8707" max="8708" width="15.453125" style="176" customWidth="1"/>
    <col min="8709" max="8709" width="7" style="176" customWidth="1"/>
    <col min="8710" max="8710" width="11.453125" style="176" customWidth="1"/>
    <col min="8711" max="8711" width="18.81640625" style="176" bestFit="1" customWidth="1"/>
    <col min="8712" max="8959" width="8" style="176"/>
    <col min="8960" max="8960" width="4.54296875" style="176" customWidth="1"/>
    <col min="8961" max="8961" width="16.81640625" style="176" customWidth="1"/>
    <col min="8962" max="8962" width="32.54296875" style="176" customWidth="1"/>
    <col min="8963" max="8964" width="15.453125" style="176" customWidth="1"/>
    <col min="8965" max="8965" width="7" style="176" customWidth="1"/>
    <col min="8966" max="8966" width="11.453125" style="176" customWidth="1"/>
    <col min="8967" max="8967" width="18.81640625" style="176" bestFit="1" customWidth="1"/>
    <col min="8968" max="9215" width="8" style="176"/>
    <col min="9216" max="9216" width="4.54296875" style="176" customWidth="1"/>
    <col min="9217" max="9217" width="16.81640625" style="176" customWidth="1"/>
    <col min="9218" max="9218" width="32.54296875" style="176" customWidth="1"/>
    <col min="9219" max="9220" width="15.453125" style="176" customWidth="1"/>
    <col min="9221" max="9221" width="7" style="176" customWidth="1"/>
    <col min="9222" max="9222" width="11.453125" style="176" customWidth="1"/>
    <col min="9223" max="9223" width="18.81640625" style="176" bestFit="1" customWidth="1"/>
    <col min="9224" max="9471" width="8" style="176"/>
    <col min="9472" max="9472" width="4.54296875" style="176" customWidth="1"/>
    <col min="9473" max="9473" width="16.81640625" style="176" customWidth="1"/>
    <col min="9474" max="9474" width="32.54296875" style="176" customWidth="1"/>
    <col min="9475" max="9476" width="15.453125" style="176" customWidth="1"/>
    <col min="9477" max="9477" width="7" style="176" customWidth="1"/>
    <col min="9478" max="9478" width="11.453125" style="176" customWidth="1"/>
    <col min="9479" max="9479" width="18.81640625" style="176" bestFit="1" customWidth="1"/>
    <col min="9480" max="9727" width="8" style="176"/>
    <col min="9728" max="9728" width="4.54296875" style="176" customWidth="1"/>
    <col min="9729" max="9729" width="16.81640625" style="176" customWidth="1"/>
    <col min="9730" max="9730" width="32.54296875" style="176" customWidth="1"/>
    <col min="9731" max="9732" width="15.453125" style="176" customWidth="1"/>
    <col min="9733" max="9733" width="7" style="176" customWidth="1"/>
    <col min="9734" max="9734" width="11.453125" style="176" customWidth="1"/>
    <col min="9735" max="9735" width="18.81640625" style="176" bestFit="1" customWidth="1"/>
    <col min="9736" max="9983" width="8" style="176"/>
    <col min="9984" max="9984" width="4.54296875" style="176" customWidth="1"/>
    <col min="9985" max="9985" width="16.81640625" style="176" customWidth="1"/>
    <col min="9986" max="9986" width="32.54296875" style="176" customWidth="1"/>
    <col min="9987" max="9988" width="15.453125" style="176" customWidth="1"/>
    <col min="9989" max="9989" width="7" style="176" customWidth="1"/>
    <col min="9990" max="9990" width="11.453125" style="176" customWidth="1"/>
    <col min="9991" max="9991" width="18.81640625" style="176" bestFit="1" customWidth="1"/>
    <col min="9992" max="10239" width="8" style="176"/>
    <col min="10240" max="10240" width="4.54296875" style="176" customWidth="1"/>
    <col min="10241" max="10241" width="16.81640625" style="176" customWidth="1"/>
    <col min="10242" max="10242" width="32.54296875" style="176" customWidth="1"/>
    <col min="10243" max="10244" width="15.453125" style="176" customWidth="1"/>
    <col min="10245" max="10245" width="7" style="176" customWidth="1"/>
    <col min="10246" max="10246" width="11.453125" style="176" customWidth="1"/>
    <col min="10247" max="10247" width="18.81640625" style="176" bestFit="1" customWidth="1"/>
    <col min="10248" max="10495" width="8" style="176"/>
    <col min="10496" max="10496" width="4.54296875" style="176" customWidth="1"/>
    <col min="10497" max="10497" width="16.81640625" style="176" customWidth="1"/>
    <col min="10498" max="10498" width="32.54296875" style="176" customWidth="1"/>
    <col min="10499" max="10500" width="15.453125" style="176" customWidth="1"/>
    <col min="10501" max="10501" width="7" style="176" customWidth="1"/>
    <col min="10502" max="10502" width="11.453125" style="176" customWidth="1"/>
    <col min="10503" max="10503" width="18.81640625" style="176" bestFit="1" customWidth="1"/>
    <col min="10504" max="10751" width="8" style="176"/>
    <col min="10752" max="10752" width="4.54296875" style="176" customWidth="1"/>
    <col min="10753" max="10753" width="16.81640625" style="176" customWidth="1"/>
    <col min="10754" max="10754" width="32.54296875" style="176" customWidth="1"/>
    <col min="10755" max="10756" width="15.453125" style="176" customWidth="1"/>
    <col min="10757" max="10757" width="7" style="176" customWidth="1"/>
    <col min="10758" max="10758" width="11.453125" style="176" customWidth="1"/>
    <col min="10759" max="10759" width="18.81640625" style="176" bestFit="1" customWidth="1"/>
    <col min="10760" max="11007" width="8" style="176"/>
    <col min="11008" max="11008" width="4.54296875" style="176" customWidth="1"/>
    <col min="11009" max="11009" width="16.81640625" style="176" customWidth="1"/>
    <col min="11010" max="11010" width="32.54296875" style="176" customWidth="1"/>
    <col min="11011" max="11012" width="15.453125" style="176" customWidth="1"/>
    <col min="11013" max="11013" width="7" style="176" customWidth="1"/>
    <col min="11014" max="11014" width="11.453125" style="176" customWidth="1"/>
    <col min="11015" max="11015" width="18.81640625" style="176" bestFit="1" customWidth="1"/>
    <col min="11016" max="11263" width="8" style="176"/>
    <col min="11264" max="11264" width="4.54296875" style="176" customWidth="1"/>
    <col min="11265" max="11265" width="16.81640625" style="176" customWidth="1"/>
    <col min="11266" max="11266" width="32.54296875" style="176" customWidth="1"/>
    <col min="11267" max="11268" width="15.453125" style="176" customWidth="1"/>
    <col min="11269" max="11269" width="7" style="176" customWidth="1"/>
    <col min="11270" max="11270" width="11.453125" style="176" customWidth="1"/>
    <col min="11271" max="11271" width="18.81640625" style="176" bestFit="1" customWidth="1"/>
    <col min="11272" max="11519" width="8" style="176"/>
    <col min="11520" max="11520" width="4.54296875" style="176" customWidth="1"/>
    <col min="11521" max="11521" width="16.81640625" style="176" customWidth="1"/>
    <col min="11522" max="11522" width="32.54296875" style="176" customWidth="1"/>
    <col min="11523" max="11524" width="15.453125" style="176" customWidth="1"/>
    <col min="11525" max="11525" width="7" style="176" customWidth="1"/>
    <col min="11526" max="11526" width="11.453125" style="176" customWidth="1"/>
    <col min="11527" max="11527" width="18.81640625" style="176" bestFit="1" customWidth="1"/>
    <col min="11528" max="11775" width="8" style="176"/>
    <col min="11776" max="11776" width="4.54296875" style="176" customWidth="1"/>
    <col min="11777" max="11777" width="16.81640625" style="176" customWidth="1"/>
    <col min="11778" max="11778" width="32.54296875" style="176" customWidth="1"/>
    <col min="11779" max="11780" width="15.453125" style="176" customWidth="1"/>
    <col min="11781" max="11781" width="7" style="176" customWidth="1"/>
    <col min="11782" max="11782" width="11.453125" style="176" customWidth="1"/>
    <col min="11783" max="11783" width="18.81640625" style="176" bestFit="1" customWidth="1"/>
    <col min="11784" max="12031" width="8" style="176"/>
    <col min="12032" max="12032" width="4.54296875" style="176" customWidth="1"/>
    <col min="12033" max="12033" width="16.81640625" style="176" customWidth="1"/>
    <col min="12034" max="12034" width="32.54296875" style="176" customWidth="1"/>
    <col min="12035" max="12036" width="15.453125" style="176" customWidth="1"/>
    <col min="12037" max="12037" width="7" style="176" customWidth="1"/>
    <col min="12038" max="12038" width="11.453125" style="176" customWidth="1"/>
    <col min="12039" max="12039" width="18.81640625" style="176" bestFit="1" customWidth="1"/>
    <col min="12040" max="12287" width="8" style="176"/>
    <col min="12288" max="12288" width="4.54296875" style="176" customWidth="1"/>
    <col min="12289" max="12289" width="16.81640625" style="176" customWidth="1"/>
    <col min="12290" max="12290" width="32.54296875" style="176" customWidth="1"/>
    <col min="12291" max="12292" width="15.453125" style="176" customWidth="1"/>
    <col min="12293" max="12293" width="7" style="176" customWidth="1"/>
    <col min="12294" max="12294" width="11.453125" style="176" customWidth="1"/>
    <col min="12295" max="12295" width="18.81640625" style="176" bestFit="1" customWidth="1"/>
    <col min="12296" max="12543" width="8" style="176"/>
    <col min="12544" max="12544" width="4.54296875" style="176" customWidth="1"/>
    <col min="12545" max="12545" width="16.81640625" style="176" customWidth="1"/>
    <col min="12546" max="12546" width="32.54296875" style="176" customWidth="1"/>
    <col min="12547" max="12548" width="15.453125" style="176" customWidth="1"/>
    <col min="12549" max="12549" width="7" style="176" customWidth="1"/>
    <col min="12550" max="12550" width="11.453125" style="176" customWidth="1"/>
    <col min="12551" max="12551" width="18.81640625" style="176" bestFit="1" customWidth="1"/>
    <col min="12552" max="12799" width="8" style="176"/>
    <col min="12800" max="12800" width="4.54296875" style="176" customWidth="1"/>
    <col min="12801" max="12801" width="16.81640625" style="176" customWidth="1"/>
    <col min="12802" max="12802" width="32.54296875" style="176" customWidth="1"/>
    <col min="12803" max="12804" width="15.453125" style="176" customWidth="1"/>
    <col min="12805" max="12805" width="7" style="176" customWidth="1"/>
    <col min="12806" max="12806" width="11.453125" style="176" customWidth="1"/>
    <col min="12807" max="12807" width="18.81640625" style="176" bestFit="1" customWidth="1"/>
    <col min="12808" max="13055" width="8" style="176"/>
    <col min="13056" max="13056" width="4.54296875" style="176" customWidth="1"/>
    <col min="13057" max="13057" width="16.81640625" style="176" customWidth="1"/>
    <col min="13058" max="13058" width="32.54296875" style="176" customWidth="1"/>
    <col min="13059" max="13060" width="15.453125" style="176" customWidth="1"/>
    <col min="13061" max="13061" width="7" style="176" customWidth="1"/>
    <col min="13062" max="13062" width="11.453125" style="176" customWidth="1"/>
    <col min="13063" max="13063" width="18.81640625" style="176" bestFit="1" customWidth="1"/>
    <col min="13064" max="13311" width="8" style="176"/>
    <col min="13312" max="13312" width="4.54296875" style="176" customWidth="1"/>
    <col min="13313" max="13313" width="16.81640625" style="176" customWidth="1"/>
    <col min="13314" max="13314" width="32.54296875" style="176" customWidth="1"/>
    <col min="13315" max="13316" width="15.453125" style="176" customWidth="1"/>
    <col min="13317" max="13317" width="7" style="176" customWidth="1"/>
    <col min="13318" max="13318" width="11.453125" style="176" customWidth="1"/>
    <col min="13319" max="13319" width="18.81640625" style="176" bestFit="1" customWidth="1"/>
    <col min="13320" max="13567" width="8" style="176"/>
    <col min="13568" max="13568" width="4.54296875" style="176" customWidth="1"/>
    <col min="13569" max="13569" width="16.81640625" style="176" customWidth="1"/>
    <col min="13570" max="13570" width="32.54296875" style="176" customWidth="1"/>
    <col min="13571" max="13572" width="15.453125" style="176" customWidth="1"/>
    <col min="13573" max="13573" width="7" style="176" customWidth="1"/>
    <col min="13574" max="13574" width="11.453125" style="176" customWidth="1"/>
    <col min="13575" max="13575" width="18.81640625" style="176" bestFit="1" customWidth="1"/>
    <col min="13576" max="13823" width="8" style="176"/>
    <col min="13824" max="13824" width="4.54296875" style="176" customWidth="1"/>
    <col min="13825" max="13825" width="16.81640625" style="176" customWidth="1"/>
    <col min="13826" max="13826" width="32.54296875" style="176" customWidth="1"/>
    <col min="13827" max="13828" width="15.453125" style="176" customWidth="1"/>
    <col min="13829" max="13829" width="7" style="176" customWidth="1"/>
    <col min="13830" max="13830" width="11.453125" style="176" customWidth="1"/>
    <col min="13831" max="13831" width="18.81640625" style="176" bestFit="1" customWidth="1"/>
    <col min="13832" max="14079" width="8" style="176"/>
    <col min="14080" max="14080" width="4.54296875" style="176" customWidth="1"/>
    <col min="14081" max="14081" width="16.81640625" style="176" customWidth="1"/>
    <col min="14082" max="14082" width="32.54296875" style="176" customWidth="1"/>
    <col min="14083" max="14084" width="15.453125" style="176" customWidth="1"/>
    <col min="14085" max="14085" width="7" style="176" customWidth="1"/>
    <col min="14086" max="14086" width="11.453125" style="176" customWidth="1"/>
    <col min="14087" max="14087" width="18.81640625" style="176" bestFit="1" customWidth="1"/>
    <col min="14088" max="14335" width="8" style="176"/>
    <col min="14336" max="14336" width="4.54296875" style="176" customWidth="1"/>
    <col min="14337" max="14337" width="16.81640625" style="176" customWidth="1"/>
    <col min="14338" max="14338" width="32.54296875" style="176" customWidth="1"/>
    <col min="14339" max="14340" width="15.453125" style="176" customWidth="1"/>
    <col min="14341" max="14341" width="7" style="176" customWidth="1"/>
    <col min="14342" max="14342" width="11.453125" style="176" customWidth="1"/>
    <col min="14343" max="14343" width="18.81640625" style="176" bestFit="1" customWidth="1"/>
    <col min="14344" max="14591" width="8" style="176"/>
    <col min="14592" max="14592" width="4.54296875" style="176" customWidth="1"/>
    <col min="14593" max="14593" width="16.81640625" style="176" customWidth="1"/>
    <col min="14594" max="14594" width="32.54296875" style="176" customWidth="1"/>
    <col min="14595" max="14596" width="15.453125" style="176" customWidth="1"/>
    <col min="14597" max="14597" width="7" style="176" customWidth="1"/>
    <col min="14598" max="14598" width="11.453125" style="176" customWidth="1"/>
    <col min="14599" max="14599" width="18.81640625" style="176" bestFit="1" customWidth="1"/>
    <col min="14600" max="14847" width="8" style="176"/>
    <col min="14848" max="14848" width="4.54296875" style="176" customWidth="1"/>
    <col min="14849" max="14849" width="16.81640625" style="176" customWidth="1"/>
    <col min="14850" max="14850" width="32.54296875" style="176" customWidth="1"/>
    <col min="14851" max="14852" width="15.453125" style="176" customWidth="1"/>
    <col min="14853" max="14853" width="7" style="176" customWidth="1"/>
    <col min="14854" max="14854" width="11.453125" style="176" customWidth="1"/>
    <col min="14855" max="14855" width="18.81640625" style="176" bestFit="1" customWidth="1"/>
    <col min="14856" max="15103" width="8" style="176"/>
    <col min="15104" max="15104" width="4.54296875" style="176" customWidth="1"/>
    <col min="15105" max="15105" width="16.81640625" style="176" customWidth="1"/>
    <col min="15106" max="15106" width="32.54296875" style="176" customWidth="1"/>
    <col min="15107" max="15108" width="15.453125" style="176" customWidth="1"/>
    <col min="15109" max="15109" width="7" style="176" customWidth="1"/>
    <col min="15110" max="15110" width="11.453125" style="176" customWidth="1"/>
    <col min="15111" max="15111" width="18.81640625" style="176" bestFit="1" customWidth="1"/>
    <col min="15112" max="15359" width="8" style="176"/>
    <col min="15360" max="15360" width="4.54296875" style="176" customWidth="1"/>
    <col min="15361" max="15361" width="16.81640625" style="176" customWidth="1"/>
    <col min="15362" max="15362" width="32.54296875" style="176" customWidth="1"/>
    <col min="15363" max="15364" width="15.453125" style="176" customWidth="1"/>
    <col min="15365" max="15365" width="7" style="176" customWidth="1"/>
    <col min="15366" max="15366" width="11.453125" style="176" customWidth="1"/>
    <col min="15367" max="15367" width="18.81640625" style="176" bestFit="1" customWidth="1"/>
    <col min="15368" max="15615" width="8" style="176"/>
    <col min="15616" max="15616" width="4.54296875" style="176" customWidth="1"/>
    <col min="15617" max="15617" width="16.81640625" style="176" customWidth="1"/>
    <col min="15618" max="15618" width="32.54296875" style="176" customWidth="1"/>
    <col min="15619" max="15620" width="15.453125" style="176" customWidth="1"/>
    <col min="15621" max="15621" width="7" style="176" customWidth="1"/>
    <col min="15622" max="15622" width="11.453125" style="176" customWidth="1"/>
    <col min="15623" max="15623" width="18.81640625" style="176" bestFit="1" customWidth="1"/>
    <col min="15624" max="15871" width="8" style="176"/>
    <col min="15872" max="15872" width="4.54296875" style="176" customWidth="1"/>
    <col min="15873" max="15873" width="16.81640625" style="176" customWidth="1"/>
    <col min="15874" max="15874" width="32.54296875" style="176" customWidth="1"/>
    <col min="15875" max="15876" width="15.453125" style="176" customWidth="1"/>
    <col min="15877" max="15877" width="7" style="176" customWidth="1"/>
    <col min="15878" max="15878" width="11.453125" style="176" customWidth="1"/>
    <col min="15879" max="15879" width="18.81640625" style="176" bestFit="1" customWidth="1"/>
    <col min="15880" max="16127" width="8" style="176"/>
    <col min="16128" max="16128" width="4.54296875" style="176" customWidth="1"/>
    <col min="16129" max="16129" width="16.81640625" style="176" customWidth="1"/>
    <col min="16130" max="16130" width="32.54296875" style="176" customWidth="1"/>
    <col min="16131" max="16132" width="15.453125" style="176" customWidth="1"/>
    <col min="16133" max="16133" width="7" style="176" customWidth="1"/>
    <col min="16134" max="16134" width="11.453125" style="176" customWidth="1"/>
    <col min="16135" max="16135" width="18.81640625" style="176" bestFit="1" customWidth="1"/>
    <col min="16136" max="16384" width="8" style="176"/>
  </cols>
  <sheetData>
    <row r="1" spans="1:10" s="154" customFormat="1">
      <c r="A1" s="4"/>
      <c r="B1" s="81"/>
      <c r="C1" s="81"/>
      <c r="D1" s="81"/>
      <c r="E1" s="81"/>
      <c r="F1" s="81"/>
      <c r="G1" s="81"/>
      <c r="H1" s="81"/>
      <c r="I1" s="81"/>
      <c r="J1" s="112"/>
    </row>
    <row r="2" spans="1:10" s="169" customFormat="1" ht="32.25" customHeight="1">
      <c r="A2" s="167" t="s">
        <v>17</v>
      </c>
      <c r="B2" s="599" t="s">
        <v>2</v>
      </c>
      <c r="C2" s="599"/>
      <c r="D2" s="168" t="s">
        <v>583</v>
      </c>
      <c r="E2" s="168" t="s">
        <v>584</v>
      </c>
      <c r="F2" s="168" t="s">
        <v>585</v>
      </c>
      <c r="G2" s="168" t="s">
        <v>20</v>
      </c>
      <c r="H2" s="168" t="s">
        <v>21</v>
      </c>
      <c r="I2" s="168" t="s">
        <v>3</v>
      </c>
      <c r="J2" s="168" t="s">
        <v>4</v>
      </c>
    </row>
    <row r="3" spans="1:10" s="169" customFormat="1" ht="25" customHeight="1">
      <c r="A3" s="170"/>
      <c r="B3" s="600" t="s">
        <v>586</v>
      </c>
      <c r="C3" s="601"/>
      <c r="D3" s="171"/>
      <c r="E3" s="172"/>
      <c r="F3" s="171"/>
      <c r="G3" s="18"/>
      <c r="H3" s="18"/>
      <c r="I3" s="122"/>
      <c r="J3" s="122"/>
    </row>
    <row r="4" spans="1:10" ht="74.150000000000006" customHeight="1">
      <c r="A4" s="173">
        <v>12.1</v>
      </c>
      <c r="B4" s="597" t="s">
        <v>587</v>
      </c>
      <c r="C4" s="598"/>
      <c r="D4" s="174"/>
      <c r="E4" s="175" t="s">
        <v>588</v>
      </c>
      <c r="F4" s="18" t="s">
        <v>228</v>
      </c>
      <c r="G4" s="18"/>
      <c r="H4" s="18"/>
      <c r="I4" s="122"/>
      <c r="J4" s="122"/>
    </row>
    <row r="5" spans="1:10" ht="101.5" customHeight="1">
      <c r="A5" s="173">
        <f>A4+0.1</f>
        <v>12.2</v>
      </c>
      <c r="B5" s="591" t="s">
        <v>589</v>
      </c>
      <c r="C5" s="592"/>
      <c r="D5" s="174"/>
      <c r="E5" s="175" t="s">
        <v>299</v>
      </c>
      <c r="F5" s="18" t="s">
        <v>228</v>
      </c>
      <c r="G5" s="18"/>
      <c r="H5" s="18"/>
      <c r="I5" s="122"/>
      <c r="J5" s="122"/>
    </row>
    <row r="6" spans="1:10" ht="79.400000000000006" customHeight="1">
      <c r="A6" s="173">
        <f t="shared" ref="A6:A12" si="0">A5+0.1</f>
        <v>12.299999999999999</v>
      </c>
      <c r="B6" s="591" t="s">
        <v>590</v>
      </c>
      <c r="C6" s="592"/>
      <c r="D6" s="174"/>
      <c r="E6" s="175" t="s">
        <v>299</v>
      </c>
      <c r="F6" s="18" t="s">
        <v>228</v>
      </c>
      <c r="G6" s="18"/>
      <c r="H6" s="18"/>
      <c r="I6" s="122"/>
      <c r="J6" s="122"/>
    </row>
    <row r="7" spans="1:10" ht="91.4" customHeight="1">
      <c r="A7" s="173">
        <f t="shared" si="0"/>
        <v>12.399999999999999</v>
      </c>
      <c r="B7" s="591" t="s">
        <v>591</v>
      </c>
      <c r="C7" s="592"/>
      <c r="D7" s="174"/>
      <c r="E7" s="175" t="s">
        <v>299</v>
      </c>
      <c r="F7" s="18" t="s">
        <v>228</v>
      </c>
      <c r="G7" s="18"/>
      <c r="H7" s="18"/>
      <c r="I7" s="122"/>
      <c r="J7" s="122"/>
    </row>
    <row r="8" spans="1:10" ht="96" customHeight="1">
      <c r="A8" s="173">
        <f t="shared" si="0"/>
        <v>12.499999999999998</v>
      </c>
      <c r="B8" s="591" t="s">
        <v>592</v>
      </c>
      <c r="C8" s="592"/>
      <c r="D8" s="174"/>
      <c r="E8" s="175" t="s">
        <v>299</v>
      </c>
      <c r="F8" s="18" t="s">
        <v>228</v>
      </c>
      <c r="G8" s="18"/>
      <c r="H8" s="18"/>
      <c r="I8" s="122"/>
      <c r="J8" s="122"/>
    </row>
    <row r="9" spans="1:10" ht="92.5" customHeight="1">
      <c r="A9" s="173">
        <f t="shared" si="0"/>
        <v>12.599999999999998</v>
      </c>
      <c r="B9" s="591" t="s">
        <v>593</v>
      </c>
      <c r="C9" s="592"/>
      <c r="D9" s="174"/>
      <c r="E9" s="175" t="s">
        <v>299</v>
      </c>
      <c r="F9" s="18" t="s">
        <v>228</v>
      </c>
      <c r="G9" s="18"/>
      <c r="H9" s="18"/>
      <c r="I9" s="122"/>
      <c r="J9" s="122"/>
    </row>
    <row r="10" spans="1:10" ht="51" customHeight="1">
      <c r="A10" s="173">
        <f t="shared" si="0"/>
        <v>12.699999999999998</v>
      </c>
      <c r="B10" s="591" t="s">
        <v>594</v>
      </c>
      <c r="C10" s="592"/>
      <c r="D10" s="174"/>
      <c r="E10" s="175" t="s">
        <v>299</v>
      </c>
      <c r="F10" s="18" t="s">
        <v>228</v>
      </c>
      <c r="G10" s="18"/>
      <c r="H10" s="18"/>
      <c r="I10" s="122"/>
      <c r="J10" s="122"/>
    </row>
    <row r="11" spans="1:10" ht="88.4" customHeight="1">
      <c r="A11" s="173">
        <f t="shared" si="0"/>
        <v>12.799999999999997</v>
      </c>
      <c r="B11" s="591" t="s">
        <v>595</v>
      </c>
      <c r="C11" s="592"/>
      <c r="D11" s="174"/>
      <c r="E11" s="175" t="s">
        <v>299</v>
      </c>
      <c r="F11" s="18" t="s">
        <v>228</v>
      </c>
      <c r="G11" s="18"/>
      <c r="H11" s="18"/>
      <c r="I11" s="122"/>
      <c r="J11" s="122"/>
    </row>
    <row r="12" spans="1:10" ht="89.5" customHeight="1">
      <c r="A12" s="173">
        <f t="shared" si="0"/>
        <v>12.899999999999997</v>
      </c>
      <c r="B12" s="591" t="s">
        <v>596</v>
      </c>
      <c r="C12" s="592"/>
      <c r="D12" s="174"/>
      <c r="E12" s="175" t="s">
        <v>299</v>
      </c>
      <c r="F12" s="18" t="s">
        <v>228</v>
      </c>
      <c r="G12" s="18"/>
      <c r="H12" s="18"/>
      <c r="I12" s="122"/>
      <c r="J12" s="122"/>
    </row>
    <row r="13" spans="1:10" ht="94.5" customHeight="1">
      <c r="A13" s="177">
        <v>12.1</v>
      </c>
      <c r="B13" s="591" t="s">
        <v>597</v>
      </c>
      <c r="C13" s="592"/>
      <c r="D13" s="174"/>
      <c r="E13" s="175" t="s">
        <v>299</v>
      </c>
      <c r="F13" s="18" t="s">
        <v>228</v>
      </c>
      <c r="G13" s="18"/>
      <c r="H13" s="18"/>
      <c r="I13" s="122"/>
      <c r="J13" s="122"/>
    </row>
    <row r="14" spans="1:10" ht="82.4" customHeight="1">
      <c r="A14" s="177">
        <f>A13+0.01</f>
        <v>12.11</v>
      </c>
      <c r="B14" s="591" t="s">
        <v>598</v>
      </c>
      <c r="C14" s="592"/>
      <c r="D14" s="174"/>
      <c r="E14" s="175" t="s">
        <v>299</v>
      </c>
      <c r="F14" s="18" t="s">
        <v>228</v>
      </c>
      <c r="G14" s="18"/>
      <c r="H14" s="18"/>
      <c r="I14" s="122"/>
      <c r="J14" s="122"/>
    </row>
    <row r="15" spans="1:10" ht="25" customHeight="1">
      <c r="A15" s="173"/>
      <c r="B15" s="595" t="s">
        <v>599</v>
      </c>
      <c r="C15" s="596"/>
      <c r="D15" s="174"/>
      <c r="E15" s="178"/>
      <c r="F15" s="18"/>
      <c r="G15" s="18"/>
      <c r="H15" s="18"/>
      <c r="I15" s="122"/>
      <c r="J15" s="122"/>
    </row>
    <row r="16" spans="1:10" ht="62.5" customHeight="1">
      <c r="A16" s="177">
        <f>A14+0.01</f>
        <v>12.12</v>
      </c>
      <c r="B16" s="597" t="s">
        <v>587</v>
      </c>
      <c r="C16" s="598"/>
      <c r="D16" s="174"/>
      <c r="E16" s="175" t="s">
        <v>588</v>
      </c>
      <c r="F16" s="18" t="s">
        <v>228</v>
      </c>
      <c r="G16" s="18"/>
      <c r="H16" s="18"/>
      <c r="I16" s="122"/>
      <c r="J16" s="122"/>
    </row>
    <row r="17" spans="1:10" ht="120.75" customHeight="1">
      <c r="A17" s="177">
        <f>A16+0.01</f>
        <v>12.129999999999999</v>
      </c>
      <c r="B17" s="591" t="s">
        <v>589</v>
      </c>
      <c r="C17" s="592"/>
      <c r="D17" s="174"/>
      <c r="E17" s="175" t="s">
        <v>299</v>
      </c>
      <c r="F17" s="18" t="s">
        <v>228</v>
      </c>
      <c r="G17" s="18"/>
      <c r="H17" s="18"/>
      <c r="I17" s="122"/>
      <c r="J17" s="122"/>
    </row>
    <row r="18" spans="1:10" ht="63" customHeight="1">
      <c r="A18" s="177">
        <f>A17+0.01</f>
        <v>12.139999999999999</v>
      </c>
      <c r="B18" s="591" t="s">
        <v>600</v>
      </c>
      <c r="C18" s="592"/>
      <c r="D18" s="174"/>
      <c r="E18" s="175" t="s">
        <v>299</v>
      </c>
      <c r="F18" s="18" t="s">
        <v>228</v>
      </c>
      <c r="G18" s="18"/>
      <c r="H18" s="18"/>
      <c r="I18" s="122"/>
      <c r="J18" s="122"/>
    </row>
    <row r="19" spans="1:10" ht="25" customHeight="1">
      <c r="A19" s="173"/>
      <c r="B19" s="595" t="s">
        <v>601</v>
      </c>
      <c r="C19" s="596"/>
      <c r="D19" s="174"/>
      <c r="E19" s="178"/>
      <c r="F19" s="18"/>
      <c r="G19" s="18"/>
      <c r="H19" s="18"/>
      <c r="I19" s="122"/>
      <c r="J19" s="122"/>
    </row>
    <row r="20" spans="1:10" ht="61.4" customHeight="1">
      <c r="A20" s="177">
        <f>A18+0.01</f>
        <v>12.149999999999999</v>
      </c>
      <c r="B20" s="591" t="s">
        <v>602</v>
      </c>
      <c r="C20" s="592"/>
      <c r="D20" s="174"/>
      <c r="E20" s="178" t="s">
        <v>588</v>
      </c>
      <c r="F20" s="18" t="s">
        <v>228</v>
      </c>
      <c r="G20" s="18"/>
      <c r="H20" s="18"/>
      <c r="I20" s="122"/>
      <c r="J20" s="122"/>
    </row>
    <row r="21" spans="1:10" ht="61.5" customHeight="1">
      <c r="A21" s="177">
        <f t="shared" ref="A21:A27" si="1">A20+0.01</f>
        <v>12.159999999999998</v>
      </c>
      <c r="B21" s="591" t="s">
        <v>603</v>
      </c>
      <c r="C21" s="592"/>
      <c r="D21" s="174"/>
      <c r="E21" s="178" t="s">
        <v>604</v>
      </c>
      <c r="F21" s="18" t="s">
        <v>228</v>
      </c>
      <c r="G21" s="18"/>
      <c r="H21" s="18"/>
      <c r="I21" s="122"/>
      <c r="J21" s="122"/>
    </row>
    <row r="22" spans="1:10" ht="59.5" customHeight="1">
      <c r="A22" s="177">
        <f t="shared" si="1"/>
        <v>12.169999999999998</v>
      </c>
      <c r="B22" s="591" t="s">
        <v>605</v>
      </c>
      <c r="C22" s="592"/>
      <c r="D22" s="174"/>
      <c r="E22" s="178" t="s">
        <v>604</v>
      </c>
      <c r="F22" s="18" t="s">
        <v>228</v>
      </c>
      <c r="G22" s="18"/>
      <c r="H22" s="18"/>
      <c r="I22" s="122"/>
      <c r="J22" s="122"/>
    </row>
    <row r="23" spans="1:10" ht="64.400000000000006" customHeight="1">
      <c r="A23" s="177">
        <f t="shared" si="1"/>
        <v>12.179999999999998</v>
      </c>
      <c r="B23" s="591" t="s">
        <v>606</v>
      </c>
      <c r="C23" s="592"/>
      <c r="D23" s="174"/>
      <c r="E23" s="178" t="s">
        <v>604</v>
      </c>
      <c r="F23" s="18" t="s">
        <v>228</v>
      </c>
      <c r="G23" s="18"/>
      <c r="H23" s="18"/>
      <c r="I23" s="122"/>
      <c r="J23" s="122"/>
    </row>
    <row r="24" spans="1:10" ht="77.150000000000006" customHeight="1">
      <c r="A24" s="177">
        <f t="shared" si="1"/>
        <v>12.189999999999998</v>
      </c>
      <c r="B24" s="591" t="s">
        <v>607</v>
      </c>
      <c r="C24" s="592"/>
      <c r="D24" s="179"/>
      <c r="E24" s="178" t="s">
        <v>604</v>
      </c>
      <c r="F24" s="18" t="s">
        <v>228</v>
      </c>
      <c r="G24" s="18"/>
      <c r="H24" s="18"/>
      <c r="I24" s="122"/>
      <c r="J24" s="122"/>
    </row>
    <row r="25" spans="1:10" ht="52.5" customHeight="1">
      <c r="A25" s="177">
        <f t="shared" si="1"/>
        <v>12.199999999999998</v>
      </c>
      <c r="B25" s="591" t="s">
        <v>608</v>
      </c>
      <c r="C25" s="592"/>
      <c r="D25" s="179"/>
      <c r="E25" s="178" t="s">
        <v>604</v>
      </c>
      <c r="F25" s="18" t="s">
        <v>228</v>
      </c>
      <c r="G25" s="18"/>
      <c r="H25" s="18"/>
      <c r="I25" s="122"/>
      <c r="J25" s="122"/>
    </row>
    <row r="26" spans="1:10" ht="48" customHeight="1">
      <c r="A26" s="177">
        <f t="shared" si="1"/>
        <v>12.209999999999997</v>
      </c>
      <c r="B26" s="591" t="s">
        <v>609</v>
      </c>
      <c r="C26" s="592"/>
      <c r="D26" s="179"/>
      <c r="E26" s="178" t="s">
        <v>604</v>
      </c>
      <c r="F26" s="18" t="s">
        <v>228</v>
      </c>
      <c r="G26" s="18"/>
      <c r="H26" s="18"/>
      <c r="I26" s="122"/>
      <c r="J26" s="122"/>
    </row>
    <row r="27" spans="1:10" ht="77.25" customHeight="1">
      <c r="A27" s="177">
        <f t="shared" si="1"/>
        <v>12.219999999999997</v>
      </c>
      <c r="B27" s="591" t="s">
        <v>610</v>
      </c>
      <c r="C27" s="592"/>
      <c r="D27" s="179"/>
      <c r="E27" s="178" t="s">
        <v>604</v>
      </c>
      <c r="F27" s="18" t="s">
        <v>228</v>
      </c>
      <c r="G27" s="18"/>
      <c r="H27" s="18"/>
      <c r="I27" s="122"/>
      <c r="J27" s="122"/>
    </row>
    <row r="28" spans="1:10">
      <c r="A28" s="173"/>
      <c r="B28" s="591"/>
      <c r="C28" s="592"/>
      <c r="D28" s="179"/>
      <c r="E28" s="178"/>
      <c r="F28" s="18"/>
      <c r="G28" s="18"/>
      <c r="H28" s="18"/>
      <c r="I28" s="122"/>
      <c r="J28" s="122"/>
    </row>
    <row r="29" spans="1:10" s="154" customFormat="1">
      <c r="A29" s="98"/>
      <c r="B29" s="593" t="s">
        <v>611</v>
      </c>
      <c r="C29" s="594"/>
      <c r="D29" s="101"/>
      <c r="E29" s="102"/>
      <c r="F29" s="102"/>
      <c r="G29" s="102"/>
      <c r="H29" s="102"/>
      <c r="I29" s="102"/>
      <c r="J29" s="102"/>
    </row>
    <row r="32" spans="1:10">
      <c r="J32" s="181"/>
    </row>
  </sheetData>
  <mergeCells count="28">
    <mergeCell ref="B7:C7"/>
    <mergeCell ref="B2:C2"/>
    <mergeCell ref="B3:C3"/>
    <mergeCell ref="B4:C4"/>
    <mergeCell ref="B5:C5"/>
    <mergeCell ref="B6:C6"/>
    <mergeCell ref="B19:C19"/>
    <mergeCell ref="B8:C8"/>
    <mergeCell ref="B9:C9"/>
    <mergeCell ref="B10:C10"/>
    <mergeCell ref="B11:C11"/>
    <mergeCell ref="B12:C12"/>
    <mergeCell ref="B13:C13"/>
    <mergeCell ref="B14:C14"/>
    <mergeCell ref="B15:C15"/>
    <mergeCell ref="B16:C16"/>
    <mergeCell ref="B17:C17"/>
    <mergeCell ref="B18:C18"/>
    <mergeCell ref="B26:C26"/>
    <mergeCell ref="B27:C27"/>
    <mergeCell ref="B28:C28"/>
    <mergeCell ref="B29:C29"/>
    <mergeCell ref="B20:C20"/>
    <mergeCell ref="B21:C21"/>
    <mergeCell ref="B22:C22"/>
    <mergeCell ref="B23:C23"/>
    <mergeCell ref="B24:C24"/>
    <mergeCell ref="B25:C25"/>
  </mergeCells>
  <pageMargins left="0.17" right="0.31" top="0.22" bottom="0.39" header="0.22" footer="0.4"/>
  <pageSetup paperSize="9" scale="66" fitToHeight="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view="pageBreakPreview" topLeftCell="A4" zoomScale="85" zoomScaleNormal="85" zoomScaleSheetLayoutView="85" workbookViewId="0">
      <selection activeCell="C21" sqref="C21"/>
    </sheetView>
  </sheetViews>
  <sheetFormatPr defaultColWidth="9.1796875" defaultRowHeight="14.5"/>
  <cols>
    <col min="1" max="1" width="10.81640625" style="273" bestFit="1" customWidth="1"/>
    <col min="2" max="2" width="40.453125" style="308" customWidth="1"/>
    <col min="3" max="4" width="15.1796875" style="308" customWidth="1"/>
    <col min="5" max="5" width="15.1796875" style="273" customWidth="1"/>
    <col min="6" max="6" width="13.26953125" style="273" bestFit="1" customWidth="1"/>
    <col min="7" max="7" width="11.54296875" style="273" bestFit="1" customWidth="1"/>
    <col min="8" max="16384" width="9.1796875" style="273"/>
  </cols>
  <sheetData>
    <row r="1" spans="1:5" s="269" customFormat="1">
      <c r="A1" s="4" t="s">
        <v>217</v>
      </c>
      <c r="B1" s="605" t="s">
        <v>629</v>
      </c>
      <c r="C1" s="605"/>
      <c r="D1" s="605"/>
      <c r="E1" s="606"/>
    </row>
    <row r="2" spans="1:5" s="269" customFormat="1">
      <c r="A2" s="5"/>
      <c r="B2" s="270"/>
      <c r="C2" s="270"/>
      <c r="D2" s="270"/>
      <c r="E2" s="271"/>
    </row>
    <row r="3" spans="1:5" s="269" customFormat="1">
      <c r="A3" s="607" t="s">
        <v>0</v>
      </c>
      <c r="B3" s="607"/>
      <c r="C3" s="607"/>
      <c r="D3" s="607"/>
      <c r="E3" s="607"/>
    </row>
    <row r="4" spans="1:5" s="269" customFormat="1">
      <c r="A4" s="272"/>
      <c r="B4" s="608"/>
      <c r="C4" s="608"/>
      <c r="D4" s="608"/>
      <c r="E4" s="608"/>
    </row>
    <row r="5" spans="1:5">
      <c r="A5" s="609" t="s">
        <v>1</v>
      </c>
      <c r="B5" s="609" t="s">
        <v>2</v>
      </c>
      <c r="C5" s="609" t="s">
        <v>3</v>
      </c>
      <c r="D5" s="609" t="s">
        <v>4</v>
      </c>
      <c r="E5" s="607" t="s">
        <v>5</v>
      </c>
    </row>
    <row r="6" spans="1:5">
      <c r="A6" s="609"/>
      <c r="B6" s="609"/>
      <c r="C6" s="609"/>
      <c r="D6" s="609"/>
      <c r="E6" s="607"/>
    </row>
    <row r="7" spans="1:5">
      <c r="A7" s="274"/>
      <c r="B7" s="275"/>
      <c r="C7" s="276"/>
      <c r="D7" s="277"/>
      <c r="E7" s="278"/>
    </row>
    <row r="8" spans="1:5">
      <c r="A8" s="279" t="s">
        <v>630</v>
      </c>
      <c r="B8" s="83" t="str">
        <f>'[2]FIRE BOQ'!B4</f>
        <v>FIRE HYDRANT SYSTEM</v>
      </c>
      <c r="C8" s="280">
        <f>'FIRE BOQ'!G59</f>
        <v>945460</v>
      </c>
      <c r="D8" s="280">
        <f>'FIRE BOQ'!H59</f>
        <v>173620</v>
      </c>
      <c r="E8" s="281">
        <f>D8+C8</f>
        <v>1119080</v>
      </c>
    </row>
    <row r="9" spans="1:5">
      <c r="A9" s="282"/>
      <c r="B9" s="83"/>
      <c r="C9" s="280"/>
      <c r="D9" s="280"/>
      <c r="E9" s="281"/>
    </row>
    <row r="10" spans="1:5">
      <c r="A10" s="279" t="s">
        <v>631</v>
      </c>
      <c r="B10" s="83" t="str">
        <f>'[2]FIRE BOQ'!B61</f>
        <v>CIVIL WORKS</v>
      </c>
      <c r="C10" s="280">
        <f>'FIRE BOQ'!G75</f>
        <v>13780</v>
      </c>
      <c r="D10" s="280">
        <f>'FIRE BOQ'!H75</f>
        <v>58295</v>
      </c>
      <c r="E10" s="281">
        <f t="shared" ref="E10:E18" si="0">D10+C10</f>
        <v>72075</v>
      </c>
    </row>
    <row r="11" spans="1:5">
      <c r="A11" s="282"/>
      <c r="B11" s="83"/>
      <c r="C11" s="280"/>
      <c r="D11" s="280"/>
      <c r="E11" s="281"/>
    </row>
    <row r="12" spans="1:5">
      <c r="A12" s="279" t="s">
        <v>632</v>
      </c>
      <c r="B12" s="83" t="str">
        <f>'[2]FIRE BOQ'!B77</f>
        <v>SIGNAGES ( @ Near Every access entry)</v>
      </c>
      <c r="C12" s="280">
        <f>'FIRE BOQ'!G114</f>
        <v>80560</v>
      </c>
      <c r="D12" s="280">
        <f>'FIRE BOQ'!H114</f>
        <v>15900</v>
      </c>
      <c r="E12" s="281">
        <f t="shared" si="0"/>
        <v>96460</v>
      </c>
    </row>
    <row r="13" spans="1:5">
      <c r="A13" s="282"/>
      <c r="B13" s="83"/>
      <c r="C13" s="280"/>
      <c r="D13" s="280"/>
      <c r="E13" s="281"/>
    </row>
    <row r="14" spans="1:5">
      <c r="A14" s="279" t="s">
        <v>633</v>
      </c>
      <c r="B14" s="83" t="str">
        <f>'[2]FIRE BOQ'!B116</f>
        <v>FIRE EXTINGUISHER SYSTEM</v>
      </c>
      <c r="C14" s="280">
        <f>'FIRE BOQ'!G132</f>
        <v>201665</v>
      </c>
      <c r="D14" s="280">
        <f>'FIRE BOQ'!H132</f>
        <v>17490</v>
      </c>
      <c r="E14" s="281">
        <f t="shared" si="0"/>
        <v>219155</v>
      </c>
    </row>
    <row r="15" spans="1:5">
      <c r="A15" s="282"/>
      <c r="B15" s="83"/>
      <c r="C15" s="280"/>
      <c r="D15" s="280"/>
      <c r="E15" s="281"/>
    </row>
    <row r="16" spans="1:5">
      <c r="A16" s="279" t="s">
        <v>634</v>
      </c>
      <c r="B16" s="83" t="str">
        <f>'[2]FIRE BOQ'!B134</f>
        <v xml:space="preserve">FIRE ALARM SYSTEM </v>
      </c>
      <c r="C16" s="280">
        <f>'FIRE BOQ'!G168</f>
        <v>657897</v>
      </c>
      <c r="D16" s="280">
        <f>'FIRE BOQ'!H168</f>
        <v>111025</v>
      </c>
      <c r="E16" s="281">
        <f t="shared" si="0"/>
        <v>768922</v>
      </c>
    </row>
    <row r="17" spans="1:7">
      <c r="A17" s="283"/>
      <c r="B17" s="83"/>
      <c r="C17" s="280"/>
      <c r="D17" s="280"/>
      <c r="E17" s="281"/>
    </row>
    <row r="18" spans="1:7">
      <c r="A18" s="279" t="s">
        <v>635</v>
      </c>
      <c r="B18" s="83" t="str">
        <f>'[2]FIRE BOQ'!B170</f>
        <v>PUMPS AND ANCILLARIES</v>
      </c>
      <c r="C18" s="280">
        <f>'FIRE BOQ'!G213</f>
        <v>487110</v>
      </c>
      <c r="D18" s="280">
        <f>'FIRE BOQ'!H213</f>
        <v>75700</v>
      </c>
      <c r="E18" s="281">
        <f t="shared" si="0"/>
        <v>562810</v>
      </c>
    </row>
    <row r="19" spans="1:7">
      <c r="A19" s="284"/>
      <c r="B19" s="285"/>
      <c r="C19" s="286"/>
      <c r="D19" s="286"/>
      <c r="E19" s="287"/>
    </row>
    <row r="20" spans="1:7" ht="275.5">
      <c r="A20" s="279" t="s">
        <v>636</v>
      </c>
      <c r="B20" s="83" t="str">
        <f>'[2]FIRE BOQ'!B172</f>
        <v>Supply erection testing and commissioning of automatic centrifugal pumpset of approved make(End suction type) for giving discharge of 27 ltrs/sec @ 60M head .when running at suitable rpm when directly coupled to suitable HP  TEFC motor to operate 400/440 volts 3 phase 50 cycles AC supply with a terminal box suitable for the reception of power cable termination, common base plate, necessary foundation bolts and accessories, pressure gauges, test valve connections, squirel cage for motor etc., all as per detailed specification. Rate quoted shall include necessary sluice valves(suction side) and butterfly &amp; non return valves as required on suction , delvery  and testline common header side ., etc complete. Priming tank requirement for the fire negative suction pump is as per the pump supplier's requirement.</v>
      </c>
      <c r="C20" s="280">
        <f>'FIRE BOQ'!G266</f>
        <v>485600</v>
      </c>
      <c r="D20" s="280">
        <f>'FIRE BOQ'!H266</f>
        <v>135760</v>
      </c>
      <c r="E20" s="281">
        <f t="shared" ref="E20" si="1">D20+C20</f>
        <v>621360</v>
      </c>
    </row>
    <row r="21" spans="1:7">
      <c r="A21" s="288"/>
      <c r="B21" s="289"/>
      <c r="C21" s="290"/>
      <c r="D21" s="290"/>
      <c r="E21" s="291"/>
    </row>
    <row r="22" spans="1:7">
      <c r="A22" s="292"/>
      <c r="B22" s="92" t="s">
        <v>15</v>
      </c>
      <c r="C22" s="293">
        <f>SUM(C7:C21)</f>
        <v>2872072</v>
      </c>
      <c r="D22" s="293">
        <f>SUM(D7:D21)</f>
        <v>587790</v>
      </c>
      <c r="E22" s="293">
        <f>SUM(E7:E21)</f>
        <v>3459862</v>
      </c>
      <c r="F22" s="294">
        <v>3459000</v>
      </c>
      <c r="G22" s="548">
        <f>E22-F22</f>
        <v>862</v>
      </c>
    </row>
    <row r="23" spans="1:7" s="269" customFormat="1">
      <c r="A23" s="295"/>
      <c r="B23" s="602"/>
      <c r="C23" s="603"/>
      <c r="D23" s="603"/>
      <c r="E23" s="604"/>
    </row>
    <row r="24" spans="1:7" s="300" customFormat="1" ht="14.5" customHeight="1">
      <c r="A24" s="296"/>
      <c r="B24" s="297" t="s">
        <v>16</v>
      </c>
      <c r="C24" s="298"/>
      <c r="D24" s="298"/>
      <c r="E24" s="299"/>
    </row>
    <row r="25" spans="1:7" s="269" customFormat="1" ht="14.5" customHeight="1">
      <c r="A25" s="301">
        <v>1</v>
      </c>
      <c r="B25" s="302" t="s">
        <v>637</v>
      </c>
      <c r="C25" s="303"/>
      <c r="D25" s="303"/>
      <c r="E25" s="304"/>
    </row>
    <row r="26" spans="1:7" s="269" customFormat="1" ht="14.5" customHeight="1">
      <c r="A26" s="301">
        <v>2</v>
      </c>
      <c r="B26" s="302" t="s">
        <v>638</v>
      </c>
      <c r="C26" s="303"/>
      <c r="D26" s="303"/>
      <c r="E26" s="304"/>
    </row>
    <row r="27" spans="1:7" s="269" customFormat="1" ht="14.5" customHeight="1">
      <c r="A27" s="301">
        <v>3</v>
      </c>
      <c r="B27" s="305" t="s">
        <v>639</v>
      </c>
      <c r="C27" s="306"/>
      <c r="D27" s="306"/>
      <c r="E27" s="307"/>
    </row>
  </sheetData>
  <mergeCells count="9">
    <mergeCell ref="B23:E23"/>
    <mergeCell ref="B1:E1"/>
    <mergeCell ref="A3:E3"/>
    <mergeCell ref="B4:E4"/>
    <mergeCell ref="A5:A6"/>
    <mergeCell ref="B5:B6"/>
    <mergeCell ref="C5:C6"/>
    <mergeCell ref="D5:D6"/>
    <mergeCell ref="E5:E6"/>
  </mergeCells>
  <pageMargins left="0.19685039370078741" right="0.19685039370078741" top="1.0629921259842521" bottom="0.74803149606299213" header="0.31496062992125984" footer="0.31496062992125984"/>
  <pageSetup paperSize="9" scale="9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dimension ref="A1:H2206"/>
  <sheetViews>
    <sheetView showZeros="0" view="pageBreakPreview" zoomScaleNormal="70" zoomScaleSheetLayoutView="100" zoomScalePageLayoutView="55" workbookViewId="0">
      <pane ySplit="2" topLeftCell="A261" activePane="bottomLeft" state="frozen"/>
      <selection pane="bottomLeft" activeCell="E173" sqref="E173"/>
    </sheetView>
  </sheetViews>
  <sheetFormatPr defaultColWidth="9.1796875" defaultRowHeight="14.5"/>
  <cols>
    <col min="1" max="1" width="10.81640625" style="468" customWidth="1"/>
    <col min="2" max="2" width="84.453125" style="466" customWidth="1"/>
    <col min="3" max="3" width="9" style="469" customWidth="1"/>
    <col min="4" max="4" width="14.453125" style="465" customWidth="1"/>
    <col min="5" max="6" width="14.81640625" style="489" customWidth="1"/>
    <col min="7" max="7" width="14.81640625" style="544" customWidth="1"/>
    <col min="8" max="8" width="17.1796875" style="546" customWidth="1"/>
    <col min="9" max="16384" width="9.1796875" style="313"/>
  </cols>
  <sheetData>
    <row r="1" spans="1:8" s="309" customFormat="1" ht="15" thickBot="1">
      <c r="A1" s="610" t="s">
        <v>640</v>
      </c>
      <c r="B1" s="611"/>
      <c r="C1" s="611"/>
      <c r="D1" s="611"/>
      <c r="E1" s="611"/>
      <c r="F1" s="611"/>
      <c r="G1" s="611"/>
      <c r="H1" s="612"/>
    </row>
    <row r="2" spans="1:8" s="309" customFormat="1">
      <c r="A2" s="310"/>
      <c r="B2" s="613"/>
      <c r="C2" s="614"/>
      <c r="D2" s="614"/>
      <c r="E2" s="614"/>
      <c r="F2" s="614"/>
      <c r="G2" s="614"/>
      <c r="H2" s="615"/>
    </row>
    <row r="3" spans="1:8" ht="15" customHeight="1">
      <c r="A3" s="311"/>
      <c r="B3" s="312" t="s">
        <v>641</v>
      </c>
      <c r="C3" s="616" t="s">
        <v>19</v>
      </c>
      <c r="D3" s="617" t="s">
        <v>244</v>
      </c>
      <c r="E3" s="618" t="s">
        <v>20</v>
      </c>
      <c r="F3" s="618" t="s">
        <v>21</v>
      </c>
      <c r="G3" s="619" t="s">
        <v>3</v>
      </c>
      <c r="H3" s="619" t="s">
        <v>4</v>
      </c>
    </row>
    <row r="4" spans="1:8" ht="14.5" customHeight="1">
      <c r="A4" s="314" t="s">
        <v>630</v>
      </c>
      <c r="B4" s="315" t="s">
        <v>642</v>
      </c>
      <c r="C4" s="616"/>
      <c r="D4" s="617"/>
      <c r="E4" s="618"/>
      <c r="F4" s="618"/>
      <c r="G4" s="619"/>
      <c r="H4" s="619"/>
    </row>
    <row r="5" spans="1:8">
      <c r="A5" s="316"/>
      <c r="B5" s="317"/>
      <c r="C5" s="318"/>
      <c r="D5" s="319"/>
      <c r="E5" s="320"/>
      <c r="F5" s="318"/>
      <c r="G5" s="508"/>
      <c r="H5" s="509"/>
    </row>
    <row r="6" spans="1:8">
      <c r="A6" s="321">
        <v>1</v>
      </c>
      <c r="B6" s="322" t="s">
        <v>643</v>
      </c>
      <c r="C6" s="323"/>
      <c r="D6" s="324"/>
      <c r="E6" s="325"/>
      <c r="F6" s="323"/>
      <c r="G6" s="510"/>
      <c r="H6" s="511"/>
    </row>
    <row r="7" spans="1:8" ht="87">
      <c r="A7" s="326"/>
      <c r="B7" s="327" t="s">
        <v>644</v>
      </c>
      <c r="C7" s="328"/>
      <c r="D7" s="329"/>
      <c r="E7" s="330"/>
      <c r="F7" s="331"/>
      <c r="G7" s="512"/>
      <c r="H7" s="513"/>
    </row>
    <row r="8" spans="1:8">
      <c r="A8" s="332"/>
      <c r="B8" s="333" t="s">
        <v>645</v>
      </c>
      <c r="C8" s="334"/>
      <c r="D8" s="324"/>
      <c r="E8" s="325"/>
      <c r="F8" s="323"/>
      <c r="G8" s="510"/>
      <c r="H8" s="511"/>
    </row>
    <row r="9" spans="1:8">
      <c r="A9" s="332"/>
      <c r="B9" s="335" t="s">
        <v>646</v>
      </c>
      <c r="C9" s="323" t="s">
        <v>396</v>
      </c>
      <c r="D9" s="324">
        <v>30</v>
      </c>
      <c r="E9" s="325">
        <v>1775</v>
      </c>
      <c r="F9" s="323">
        <v>350</v>
      </c>
      <c r="G9" s="510">
        <f>E9*D9</f>
        <v>53250</v>
      </c>
      <c r="H9" s="511">
        <f>F9*D9</f>
        <v>10500</v>
      </c>
    </row>
    <row r="10" spans="1:8">
      <c r="A10" s="332"/>
      <c r="B10" s="335" t="s">
        <v>647</v>
      </c>
      <c r="C10" s="323" t="s">
        <v>396</v>
      </c>
      <c r="D10" s="324" t="s">
        <v>648</v>
      </c>
      <c r="E10" s="325">
        <v>0</v>
      </c>
      <c r="F10" s="323">
        <v>0</v>
      </c>
      <c r="G10" s="510">
        <f t="shared" ref="G10:G56" si="0">E10*D10</f>
        <v>0</v>
      </c>
      <c r="H10" s="511">
        <f t="shared" ref="H10:H56" si="1">F10*D10</f>
        <v>0</v>
      </c>
    </row>
    <row r="11" spans="1:8">
      <c r="A11" s="332"/>
      <c r="B11" s="335" t="s">
        <v>649</v>
      </c>
      <c r="C11" s="323" t="s">
        <v>396</v>
      </c>
      <c r="D11" s="324">
        <v>10</v>
      </c>
      <c r="E11" s="325">
        <f>820</f>
        <v>820</v>
      </c>
      <c r="F11" s="323">
        <v>350</v>
      </c>
      <c r="G11" s="510">
        <f t="shared" si="0"/>
        <v>8200</v>
      </c>
      <c r="H11" s="511">
        <f t="shared" si="1"/>
        <v>3500</v>
      </c>
    </row>
    <row r="12" spans="1:8">
      <c r="A12" s="336"/>
      <c r="B12" s="337"/>
      <c r="C12" s="338"/>
      <c r="D12" s="339"/>
      <c r="E12" s="325">
        <v>0</v>
      </c>
      <c r="F12" s="323">
        <v>0</v>
      </c>
      <c r="G12" s="510">
        <f t="shared" si="0"/>
        <v>0</v>
      </c>
      <c r="H12" s="511">
        <f t="shared" si="1"/>
        <v>0</v>
      </c>
    </row>
    <row r="13" spans="1:8" s="342" customFormat="1">
      <c r="A13" s="321">
        <v>2</v>
      </c>
      <c r="B13" s="322" t="s">
        <v>650</v>
      </c>
      <c r="C13" s="340"/>
      <c r="D13" s="341"/>
      <c r="E13" s="325">
        <v>0</v>
      </c>
      <c r="F13" s="323">
        <v>0</v>
      </c>
      <c r="G13" s="510">
        <f t="shared" si="0"/>
        <v>0</v>
      </c>
      <c r="H13" s="511">
        <f t="shared" si="1"/>
        <v>0</v>
      </c>
    </row>
    <row r="14" spans="1:8" ht="72.5">
      <c r="A14" s="326"/>
      <c r="B14" s="327" t="s">
        <v>651</v>
      </c>
      <c r="C14" s="328"/>
      <c r="D14" s="329"/>
      <c r="E14" s="325">
        <v>0</v>
      </c>
      <c r="F14" s="323">
        <v>0</v>
      </c>
      <c r="G14" s="510">
        <f t="shared" si="0"/>
        <v>0</v>
      </c>
      <c r="H14" s="511">
        <f t="shared" si="1"/>
        <v>0</v>
      </c>
    </row>
    <row r="15" spans="1:8" ht="87">
      <c r="A15" s="332"/>
      <c r="B15" s="333" t="s">
        <v>652</v>
      </c>
      <c r="C15" s="334"/>
      <c r="D15" s="324"/>
      <c r="E15" s="325">
        <v>0</v>
      </c>
      <c r="F15" s="323">
        <v>0</v>
      </c>
      <c r="G15" s="510">
        <f t="shared" si="0"/>
        <v>0</v>
      </c>
      <c r="H15" s="511">
        <f t="shared" si="1"/>
        <v>0</v>
      </c>
    </row>
    <row r="16" spans="1:8">
      <c r="A16" s="332"/>
      <c r="B16" s="335" t="s">
        <v>653</v>
      </c>
      <c r="C16" s="334" t="s">
        <v>396</v>
      </c>
      <c r="D16" s="324">
        <v>180</v>
      </c>
      <c r="E16" s="325">
        <v>1775</v>
      </c>
      <c r="F16" s="323">
        <v>350</v>
      </c>
      <c r="G16" s="510">
        <f>E16*D16</f>
        <v>319500</v>
      </c>
      <c r="H16" s="511">
        <f t="shared" si="1"/>
        <v>63000</v>
      </c>
    </row>
    <row r="17" spans="1:8">
      <c r="A17" s="336"/>
      <c r="B17" s="335" t="s">
        <v>654</v>
      </c>
      <c r="C17" s="323" t="s">
        <v>396</v>
      </c>
      <c r="D17" s="324">
        <v>10</v>
      </c>
      <c r="E17" s="325">
        <v>820</v>
      </c>
      <c r="F17" s="323">
        <v>350</v>
      </c>
      <c r="G17" s="510">
        <f t="shared" si="0"/>
        <v>8200</v>
      </c>
      <c r="H17" s="511">
        <f t="shared" si="1"/>
        <v>3500</v>
      </c>
    </row>
    <row r="18" spans="1:8" s="342" customFormat="1">
      <c r="A18" s="321">
        <v>3</v>
      </c>
      <c r="B18" s="322" t="s">
        <v>655</v>
      </c>
      <c r="C18" s="340"/>
      <c r="D18" s="341"/>
      <c r="E18" s="325">
        <v>0</v>
      </c>
      <c r="F18" s="323">
        <v>0</v>
      </c>
      <c r="G18" s="510">
        <f t="shared" si="0"/>
        <v>0</v>
      </c>
      <c r="H18" s="511">
        <f t="shared" si="1"/>
        <v>0</v>
      </c>
    </row>
    <row r="19" spans="1:8" ht="29">
      <c r="A19" s="326"/>
      <c r="B19" s="343" t="s">
        <v>656</v>
      </c>
      <c r="C19" s="328"/>
      <c r="D19" s="329"/>
      <c r="E19" s="325">
        <v>0</v>
      </c>
      <c r="F19" s="323">
        <v>0</v>
      </c>
      <c r="G19" s="510">
        <f t="shared" si="0"/>
        <v>0</v>
      </c>
      <c r="H19" s="511">
        <f t="shared" si="1"/>
        <v>0</v>
      </c>
    </row>
    <row r="20" spans="1:8">
      <c r="A20" s="332"/>
      <c r="B20" s="333" t="s">
        <v>657</v>
      </c>
      <c r="C20" s="334"/>
      <c r="D20" s="324"/>
      <c r="E20" s="325">
        <v>0</v>
      </c>
      <c r="F20" s="323">
        <v>0</v>
      </c>
      <c r="G20" s="510">
        <f t="shared" si="0"/>
        <v>0</v>
      </c>
      <c r="H20" s="511">
        <f t="shared" si="1"/>
        <v>0</v>
      </c>
    </row>
    <row r="21" spans="1:8">
      <c r="A21" s="332"/>
      <c r="B21" s="335" t="s">
        <v>658</v>
      </c>
      <c r="C21" s="334" t="s">
        <v>299</v>
      </c>
      <c r="D21" s="324" t="s">
        <v>648</v>
      </c>
      <c r="E21" s="325">
        <v>0</v>
      </c>
      <c r="F21" s="323">
        <v>0</v>
      </c>
      <c r="G21" s="510">
        <f t="shared" si="0"/>
        <v>0</v>
      </c>
      <c r="H21" s="511">
        <f t="shared" si="1"/>
        <v>0</v>
      </c>
    </row>
    <row r="22" spans="1:8">
      <c r="A22" s="332"/>
      <c r="B22" s="335" t="s">
        <v>659</v>
      </c>
      <c r="C22" s="334" t="s">
        <v>299</v>
      </c>
      <c r="D22" s="324">
        <v>2</v>
      </c>
      <c r="E22" s="325">
        <v>6500</v>
      </c>
      <c r="F22" s="323">
        <v>1500</v>
      </c>
      <c r="G22" s="510">
        <f t="shared" si="0"/>
        <v>13000</v>
      </c>
      <c r="H22" s="511">
        <f t="shared" si="1"/>
        <v>3000</v>
      </c>
    </row>
    <row r="23" spans="1:8">
      <c r="A23" s="332"/>
      <c r="B23" s="335" t="s">
        <v>660</v>
      </c>
      <c r="C23" s="334" t="s">
        <v>299</v>
      </c>
      <c r="D23" s="324">
        <v>2</v>
      </c>
      <c r="E23" s="325">
        <v>6500</v>
      </c>
      <c r="F23" s="323">
        <v>1500</v>
      </c>
      <c r="G23" s="510">
        <f t="shared" si="0"/>
        <v>13000</v>
      </c>
      <c r="H23" s="511">
        <f t="shared" si="1"/>
        <v>3000</v>
      </c>
    </row>
    <row r="24" spans="1:8">
      <c r="A24" s="332"/>
      <c r="B24" s="335" t="s">
        <v>661</v>
      </c>
      <c r="C24" s="334" t="s">
        <v>299</v>
      </c>
      <c r="D24" s="324">
        <v>1</v>
      </c>
      <c r="E24" s="325">
        <v>6500</v>
      </c>
      <c r="F24" s="323">
        <v>1500</v>
      </c>
      <c r="G24" s="510">
        <f t="shared" si="0"/>
        <v>6500</v>
      </c>
      <c r="H24" s="511">
        <f t="shared" si="1"/>
        <v>1500</v>
      </c>
    </row>
    <row r="25" spans="1:8">
      <c r="A25" s="336"/>
      <c r="B25" s="344"/>
      <c r="C25" s="345"/>
      <c r="D25" s="339"/>
      <c r="E25" s="325">
        <v>0</v>
      </c>
      <c r="F25" s="323">
        <v>0</v>
      </c>
      <c r="G25" s="510">
        <f t="shared" si="0"/>
        <v>0</v>
      </c>
      <c r="H25" s="511">
        <f t="shared" si="1"/>
        <v>0</v>
      </c>
    </row>
    <row r="26" spans="1:8" s="342" customFormat="1">
      <c r="A26" s="321">
        <v>4</v>
      </c>
      <c r="B26" s="322" t="s">
        <v>662</v>
      </c>
      <c r="C26" s="340"/>
      <c r="D26" s="341"/>
      <c r="E26" s="325">
        <v>0</v>
      </c>
      <c r="F26" s="323">
        <v>0</v>
      </c>
      <c r="G26" s="510">
        <f t="shared" si="0"/>
        <v>0</v>
      </c>
      <c r="H26" s="511">
        <f t="shared" si="1"/>
        <v>0</v>
      </c>
    </row>
    <row r="27" spans="1:8" ht="29">
      <c r="A27" s="326"/>
      <c r="B27" s="343" t="s">
        <v>663</v>
      </c>
      <c r="C27" s="328"/>
      <c r="D27" s="329"/>
      <c r="E27" s="325">
        <v>0</v>
      </c>
      <c r="F27" s="323">
        <v>0</v>
      </c>
      <c r="G27" s="510">
        <f t="shared" si="0"/>
        <v>0</v>
      </c>
      <c r="H27" s="511">
        <f t="shared" si="1"/>
        <v>0</v>
      </c>
    </row>
    <row r="28" spans="1:8">
      <c r="A28" s="332"/>
      <c r="B28" s="335" t="s">
        <v>664</v>
      </c>
      <c r="C28" s="334" t="s">
        <v>396</v>
      </c>
      <c r="D28" s="324">
        <v>1</v>
      </c>
      <c r="E28" s="325">
        <v>7500</v>
      </c>
      <c r="F28" s="323">
        <v>1500</v>
      </c>
      <c r="G28" s="510">
        <f t="shared" si="0"/>
        <v>7500</v>
      </c>
      <c r="H28" s="511">
        <f t="shared" si="1"/>
        <v>1500</v>
      </c>
    </row>
    <row r="29" spans="1:8">
      <c r="A29" s="336"/>
      <c r="B29" s="344"/>
      <c r="C29" s="345"/>
      <c r="D29" s="339"/>
      <c r="E29" s="325">
        <v>0</v>
      </c>
      <c r="F29" s="323">
        <v>0</v>
      </c>
      <c r="G29" s="510">
        <f t="shared" si="0"/>
        <v>0</v>
      </c>
      <c r="H29" s="511">
        <f t="shared" si="1"/>
        <v>0</v>
      </c>
    </row>
    <row r="30" spans="1:8" s="342" customFormat="1">
      <c r="A30" s="321">
        <v>5</v>
      </c>
      <c r="B30" s="322" t="s">
        <v>665</v>
      </c>
      <c r="C30" s="340"/>
      <c r="D30" s="341"/>
      <c r="E30" s="325">
        <v>0</v>
      </c>
      <c r="F30" s="323">
        <v>0</v>
      </c>
      <c r="G30" s="510">
        <f t="shared" si="0"/>
        <v>0</v>
      </c>
      <c r="H30" s="511">
        <f t="shared" si="1"/>
        <v>0</v>
      </c>
    </row>
    <row r="31" spans="1:8" ht="29">
      <c r="A31" s="326"/>
      <c r="B31" s="343" t="s">
        <v>666</v>
      </c>
      <c r="C31" s="346"/>
      <c r="D31" s="347"/>
      <c r="E31" s="325">
        <v>0</v>
      </c>
      <c r="F31" s="323">
        <v>0</v>
      </c>
      <c r="G31" s="510">
        <f t="shared" si="0"/>
        <v>0</v>
      </c>
      <c r="H31" s="511">
        <f t="shared" si="1"/>
        <v>0</v>
      </c>
    </row>
    <row r="32" spans="1:8">
      <c r="A32" s="332"/>
      <c r="B32" s="335" t="s">
        <v>667</v>
      </c>
      <c r="C32" s="334" t="s">
        <v>299</v>
      </c>
      <c r="D32" s="324">
        <v>3</v>
      </c>
      <c r="E32" s="325">
        <v>3710</v>
      </c>
      <c r="F32" s="323">
        <v>530</v>
      </c>
      <c r="G32" s="510">
        <f t="shared" si="0"/>
        <v>11130</v>
      </c>
      <c r="H32" s="511">
        <f t="shared" si="1"/>
        <v>1590</v>
      </c>
    </row>
    <row r="33" spans="1:8">
      <c r="A33" s="336"/>
      <c r="B33" s="344"/>
      <c r="C33" s="348"/>
      <c r="D33" s="349"/>
      <c r="E33" s="325">
        <v>0</v>
      </c>
      <c r="F33" s="323">
        <v>0</v>
      </c>
      <c r="G33" s="510">
        <f t="shared" si="0"/>
        <v>0</v>
      </c>
      <c r="H33" s="511">
        <f t="shared" si="1"/>
        <v>0</v>
      </c>
    </row>
    <row r="34" spans="1:8" s="342" customFormat="1">
      <c r="A34" s="321">
        <v>6</v>
      </c>
      <c r="B34" s="322" t="s">
        <v>668</v>
      </c>
      <c r="C34" s="340"/>
      <c r="D34" s="341"/>
      <c r="E34" s="325">
        <v>0</v>
      </c>
      <c r="F34" s="323">
        <v>0</v>
      </c>
      <c r="G34" s="510">
        <f t="shared" si="0"/>
        <v>0</v>
      </c>
      <c r="H34" s="511">
        <f t="shared" si="1"/>
        <v>0</v>
      </c>
    </row>
    <row r="35" spans="1:8" ht="29">
      <c r="A35" s="326"/>
      <c r="B35" s="343" t="s">
        <v>669</v>
      </c>
      <c r="C35" s="346"/>
      <c r="D35" s="347"/>
      <c r="E35" s="325">
        <v>0</v>
      </c>
      <c r="F35" s="323">
        <v>0</v>
      </c>
      <c r="G35" s="510">
        <f t="shared" si="0"/>
        <v>0</v>
      </c>
      <c r="H35" s="511">
        <f t="shared" si="1"/>
        <v>0</v>
      </c>
    </row>
    <row r="36" spans="1:8">
      <c r="A36" s="332"/>
      <c r="B36" s="335" t="s">
        <v>670</v>
      </c>
      <c r="C36" s="334" t="s">
        <v>299</v>
      </c>
      <c r="D36" s="324">
        <v>1</v>
      </c>
      <c r="E36" s="325">
        <v>3180</v>
      </c>
      <c r="F36" s="323">
        <v>530</v>
      </c>
      <c r="G36" s="510">
        <f t="shared" si="0"/>
        <v>3180</v>
      </c>
      <c r="H36" s="511">
        <f t="shared" si="1"/>
        <v>530</v>
      </c>
    </row>
    <row r="37" spans="1:8">
      <c r="A37" s="336"/>
      <c r="B37" s="344"/>
      <c r="C37" s="348"/>
      <c r="D37" s="349"/>
      <c r="E37" s="325">
        <v>0</v>
      </c>
      <c r="F37" s="323">
        <v>0</v>
      </c>
      <c r="G37" s="510">
        <f t="shared" si="0"/>
        <v>0</v>
      </c>
      <c r="H37" s="511">
        <f t="shared" si="1"/>
        <v>0</v>
      </c>
    </row>
    <row r="38" spans="1:8" s="342" customFormat="1">
      <c r="A38" s="321">
        <v>7</v>
      </c>
      <c r="B38" s="322" t="s">
        <v>671</v>
      </c>
      <c r="C38" s="340"/>
      <c r="D38" s="341"/>
      <c r="E38" s="325">
        <v>0</v>
      </c>
      <c r="F38" s="323">
        <v>0</v>
      </c>
      <c r="G38" s="510">
        <f t="shared" si="0"/>
        <v>0</v>
      </c>
      <c r="H38" s="511">
        <f t="shared" si="1"/>
        <v>0</v>
      </c>
    </row>
    <row r="39" spans="1:8">
      <c r="A39" s="350"/>
      <c r="B39" s="351" t="s">
        <v>672</v>
      </c>
      <c r="C39" s="352"/>
      <c r="D39" s="353"/>
      <c r="E39" s="325">
        <v>0</v>
      </c>
      <c r="F39" s="323">
        <v>0</v>
      </c>
      <c r="G39" s="510">
        <f t="shared" si="0"/>
        <v>0</v>
      </c>
      <c r="H39" s="511">
        <f t="shared" si="1"/>
        <v>0</v>
      </c>
    </row>
    <row r="40" spans="1:8">
      <c r="A40" s="354"/>
      <c r="B40" s="333" t="s">
        <v>673</v>
      </c>
      <c r="C40" s="334"/>
      <c r="D40" s="324"/>
      <c r="E40" s="325">
        <v>0</v>
      </c>
      <c r="F40" s="323">
        <v>0</v>
      </c>
      <c r="G40" s="510">
        <f t="shared" si="0"/>
        <v>0</v>
      </c>
      <c r="H40" s="511">
        <f t="shared" si="1"/>
        <v>0</v>
      </c>
    </row>
    <row r="41" spans="1:8" ht="29">
      <c r="A41" s="354"/>
      <c r="B41" s="333" t="s">
        <v>674</v>
      </c>
      <c r="C41" s="334" t="s">
        <v>299</v>
      </c>
      <c r="D41" s="324">
        <v>2</v>
      </c>
      <c r="E41" s="325">
        <v>5500</v>
      </c>
      <c r="F41" s="323">
        <v>1000</v>
      </c>
      <c r="G41" s="510">
        <f t="shared" si="0"/>
        <v>11000</v>
      </c>
      <c r="H41" s="511">
        <f t="shared" si="1"/>
        <v>2000</v>
      </c>
    </row>
    <row r="42" spans="1:8" ht="29">
      <c r="A42" s="354"/>
      <c r="B42" s="333" t="s">
        <v>675</v>
      </c>
      <c r="C42" s="334" t="s">
        <v>299</v>
      </c>
      <c r="D42" s="324">
        <v>4</v>
      </c>
      <c r="E42" s="325">
        <v>5500</v>
      </c>
      <c r="F42" s="323">
        <v>1000</v>
      </c>
      <c r="G42" s="510">
        <f t="shared" si="0"/>
        <v>22000</v>
      </c>
      <c r="H42" s="511">
        <f t="shared" si="1"/>
        <v>4000</v>
      </c>
    </row>
    <row r="43" spans="1:8" ht="29">
      <c r="A43" s="354"/>
      <c r="B43" s="333" t="s">
        <v>676</v>
      </c>
      <c r="C43" s="334" t="s">
        <v>299</v>
      </c>
      <c r="D43" s="324">
        <v>4</v>
      </c>
      <c r="E43" s="325">
        <v>6500</v>
      </c>
      <c r="F43" s="323">
        <v>500</v>
      </c>
      <c r="G43" s="510">
        <f t="shared" si="0"/>
        <v>26000</v>
      </c>
      <c r="H43" s="511">
        <f t="shared" si="1"/>
        <v>2000</v>
      </c>
    </row>
    <row r="44" spans="1:8" ht="29">
      <c r="A44" s="354"/>
      <c r="B44" s="333" t="s">
        <v>677</v>
      </c>
      <c r="C44" s="334" t="s">
        <v>299</v>
      </c>
      <c r="D44" s="324">
        <v>2</v>
      </c>
      <c r="E44" s="325">
        <v>5000</v>
      </c>
      <c r="F44" s="323">
        <v>1000</v>
      </c>
      <c r="G44" s="510">
        <f t="shared" si="0"/>
        <v>10000</v>
      </c>
      <c r="H44" s="511">
        <f t="shared" si="1"/>
        <v>2000</v>
      </c>
    </row>
    <row r="45" spans="1:8" ht="58">
      <c r="A45" s="355"/>
      <c r="B45" s="337" t="s">
        <v>678</v>
      </c>
      <c r="C45" s="345" t="s">
        <v>299</v>
      </c>
      <c r="D45" s="339">
        <v>4</v>
      </c>
      <c r="E45" s="325">
        <v>10500</v>
      </c>
      <c r="F45" s="323">
        <v>1250</v>
      </c>
      <c r="G45" s="510">
        <f t="shared" si="0"/>
        <v>42000</v>
      </c>
      <c r="H45" s="511">
        <f t="shared" si="1"/>
        <v>5000</v>
      </c>
    </row>
    <row r="46" spans="1:8" ht="46.5">
      <c r="A46" s="355"/>
      <c r="B46" s="356" t="s">
        <v>679</v>
      </c>
      <c r="C46" s="345" t="s">
        <v>299</v>
      </c>
      <c r="D46" s="339">
        <v>2</v>
      </c>
      <c r="E46" s="325">
        <v>5500</v>
      </c>
      <c r="F46" s="323">
        <v>1000</v>
      </c>
      <c r="G46" s="510">
        <f t="shared" si="0"/>
        <v>11000</v>
      </c>
      <c r="H46" s="511">
        <f t="shared" si="1"/>
        <v>2000</v>
      </c>
    </row>
    <row r="47" spans="1:8">
      <c r="A47" s="355"/>
      <c r="B47" s="337"/>
      <c r="C47" s="345"/>
      <c r="D47" s="339"/>
      <c r="E47" s="325">
        <v>0</v>
      </c>
      <c r="F47" s="323">
        <v>0</v>
      </c>
      <c r="G47" s="510">
        <f t="shared" si="0"/>
        <v>0</v>
      </c>
      <c r="H47" s="511">
        <f t="shared" si="1"/>
        <v>0</v>
      </c>
    </row>
    <row r="48" spans="1:8" s="342" customFormat="1">
      <c r="A48" s="321">
        <v>8</v>
      </c>
      <c r="B48" s="357" t="s">
        <v>680</v>
      </c>
      <c r="C48" s="358"/>
      <c r="D48" s="359"/>
      <c r="E48" s="325">
        <v>0</v>
      </c>
      <c r="F48" s="323">
        <v>0</v>
      </c>
      <c r="G48" s="510">
        <f t="shared" si="0"/>
        <v>0</v>
      </c>
      <c r="H48" s="511">
        <f t="shared" si="1"/>
        <v>0</v>
      </c>
    </row>
    <row r="49" spans="1:8">
      <c r="A49" s="332"/>
      <c r="B49" s="357" t="s">
        <v>681</v>
      </c>
      <c r="C49" s="360"/>
      <c r="D49" s="361"/>
      <c r="E49" s="325">
        <v>0</v>
      </c>
      <c r="F49" s="323">
        <v>0</v>
      </c>
      <c r="G49" s="510">
        <f t="shared" si="0"/>
        <v>0</v>
      </c>
      <c r="H49" s="511">
        <f t="shared" si="1"/>
        <v>0</v>
      </c>
    </row>
    <row r="50" spans="1:8" ht="58">
      <c r="A50" s="332"/>
      <c r="B50" s="549" t="s">
        <v>682</v>
      </c>
      <c r="C50" s="360" t="s">
        <v>683</v>
      </c>
      <c r="D50" s="361">
        <v>1</v>
      </c>
      <c r="E50" s="325">
        <v>125000</v>
      </c>
      <c r="F50" s="323">
        <v>25000</v>
      </c>
      <c r="G50" s="510">
        <f t="shared" si="0"/>
        <v>125000</v>
      </c>
      <c r="H50" s="511">
        <f t="shared" si="1"/>
        <v>25000</v>
      </c>
    </row>
    <row r="51" spans="1:8" ht="43.5">
      <c r="A51" s="332"/>
      <c r="B51" s="362" t="s">
        <v>684</v>
      </c>
      <c r="C51" s="360" t="s">
        <v>685</v>
      </c>
      <c r="D51" s="361">
        <v>1</v>
      </c>
      <c r="E51" s="325">
        <v>55000</v>
      </c>
      <c r="F51" s="323">
        <v>10000</v>
      </c>
      <c r="G51" s="510">
        <f t="shared" si="0"/>
        <v>55000</v>
      </c>
      <c r="H51" s="511">
        <f t="shared" si="1"/>
        <v>10000</v>
      </c>
    </row>
    <row r="52" spans="1:8">
      <c r="A52" s="332"/>
      <c r="B52" s="362"/>
      <c r="C52" s="360"/>
      <c r="D52" s="361"/>
      <c r="E52" s="325">
        <v>0</v>
      </c>
      <c r="F52" s="323">
        <v>0</v>
      </c>
      <c r="G52" s="510">
        <f t="shared" si="0"/>
        <v>0</v>
      </c>
      <c r="H52" s="511">
        <f t="shared" si="1"/>
        <v>0</v>
      </c>
    </row>
    <row r="53" spans="1:8">
      <c r="A53" s="321">
        <v>9</v>
      </c>
      <c r="B53" s="357" t="s">
        <v>686</v>
      </c>
      <c r="C53" s="360"/>
      <c r="D53" s="361"/>
      <c r="E53" s="325">
        <v>0</v>
      </c>
      <c r="F53" s="323">
        <v>0</v>
      </c>
      <c r="G53" s="510">
        <f t="shared" si="0"/>
        <v>0</v>
      </c>
      <c r="H53" s="511">
        <f t="shared" si="1"/>
        <v>0</v>
      </c>
    </row>
    <row r="54" spans="1:8" ht="43.5">
      <c r="A54" s="332"/>
      <c r="B54" s="362" t="s">
        <v>687</v>
      </c>
      <c r="C54" s="360" t="s">
        <v>685</v>
      </c>
      <c r="D54" s="361" t="s">
        <v>648</v>
      </c>
      <c r="E54" s="325">
        <v>0</v>
      </c>
      <c r="F54" s="323">
        <v>0</v>
      </c>
      <c r="G54" s="510">
        <f t="shared" si="0"/>
        <v>0</v>
      </c>
      <c r="H54" s="511">
        <f t="shared" si="1"/>
        <v>0</v>
      </c>
    </row>
    <row r="55" spans="1:8">
      <c r="A55" s="336"/>
      <c r="B55" s="363"/>
      <c r="C55" s="364"/>
      <c r="D55" s="365"/>
      <c r="E55" s="325">
        <v>0</v>
      </c>
      <c r="F55" s="323">
        <v>0</v>
      </c>
      <c r="G55" s="510">
        <f t="shared" si="0"/>
        <v>0</v>
      </c>
      <c r="H55" s="511">
        <f t="shared" si="1"/>
        <v>0</v>
      </c>
    </row>
    <row r="56" spans="1:8" ht="43.5">
      <c r="A56" s="332"/>
      <c r="B56" s="362" t="s">
        <v>688</v>
      </c>
      <c r="C56" s="360" t="s">
        <v>685</v>
      </c>
      <c r="D56" s="361">
        <v>2</v>
      </c>
      <c r="E56" s="325">
        <v>100000</v>
      </c>
      <c r="F56" s="323">
        <v>15000</v>
      </c>
      <c r="G56" s="510">
        <f t="shared" si="0"/>
        <v>200000</v>
      </c>
      <c r="H56" s="511">
        <f t="shared" si="1"/>
        <v>30000</v>
      </c>
    </row>
    <row r="57" spans="1:8">
      <c r="A57" s="336"/>
      <c r="B57" s="363"/>
      <c r="C57" s="364"/>
      <c r="D57" s="365"/>
      <c r="E57" s="325">
        <v>0</v>
      </c>
      <c r="F57" s="323">
        <v>0</v>
      </c>
      <c r="G57" s="514">
        <f t="shared" ref="G57:G73" si="2">E57*D57</f>
        <v>0</v>
      </c>
      <c r="H57" s="515">
        <f t="shared" ref="H57:H73" si="3">F57*D57</f>
        <v>0</v>
      </c>
    </row>
    <row r="58" spans="1:8">
      <c r="A58" s="355"/>
      <c r="B58" s="366"/>
      <c r="C58" s="345"/>
      <c r="D58" s="339"/>
      <c r="E58" s="325">
        <v>0</v>
      </c>
      <c r="F58" s="323">
        <v>0</v>
      </c>
      <c r="G58" s="516">
        <f t="shared" si="2"/>
        <v>0</v>
      </c>
      <c r="H58" s="517">
        <f t="shared" si="3"/>
        <v>0</v>
      </c>
    </row>
    <row r="59" spans="1:8">
      <c r="A59" s="314"/>
      <c r="B59" s="315" t="s">
        <v>689</v>
      </c>
      <c r="C59" s="367"/>
      <c r="D59" s="311"/>
      <c r="E59" s="484"/>
      <c r="F59" s="484"/>
      <c r="G59" s="518">
        <f>SUM(G9:G58)</f>
        <v>945460</v>
      </c>
      <c r="H59" s="518">
        <f>SUM(H9:H58)</f>
        <v>173620</v>
      </c>
    </row>
    <row r="60" spans="1:8">
      <c r="A60" s="368"/>
      <c r="B60" s="369"/>
      <c r="C60" s="370"/>
      <c r="D60" s="371"/>
      <c r="E60" s="485"/>
      <c r="F60" s="485"/>
      <c r="G60" s="519"/>
      <c r="H60" s="520"/>
    </row>
    <row r="61" spans="1:8">
      <c r="A61" s="314" t="s">
        <v>631</v>
      </c>
      <c r="B61" s="315" t="s">
        <v>690</v>
      </c>
      <c r="C61" s="367"/>
      <c r="D61" s="311"/>
      <c r="E61" s="484"/>
      <c r="F61" s="484"/>
      <c r="G61" s="518">
        <f t="shared" si="2"/>
        <v>0</v>
      </c>
      <c r="H61" s="518">
        <f t="shared" si="3"/>
        <v>0</v>
      </c>
    </row>
    <row r="62" spans="1:8">
      <c r="A62" s="321">
        <v>1</v>
      </c>
      <c r="B62" s="357" t="s">
        <v>691</v>
      </c>
      <c r="C62" s="360"/>
      <c r="D62" s="361"/>
      <c r="E62" s="325">
        <v>0</v>
      </c>
      <c r="F62" s="323">
        <v>0</v>
      </c>
      <c r="G62" s="521">
        <f t="shared" si="2"/>
        <v>0</v>
      </c>
      <c r="H62" s="522">
        <f t="shared" si="3"/>
        <v>0</v>
      </c>
    </row>
    <row r="63" spans="1:8" ht="72.5">
      <c r="A63" s="332"/>
      <c r="B63" s="362" t="s">
        <v>692</v>
      </c>
      <c r="C63" s="360"/>
      <c r="D63" s="361"/>
      <c r="E63" s="325">
        <v>0</v>
      </c>
      <c r="F63" s="323">
        <v>0</v>
      </c>
      <c r="G63" s="521">
        <f t="shared" si="2"/>
        <v>0</v>
      </c>
      <c r="H63" s="522">
        <f t="shared" si="3"/>
        <v>0</v>
      </c>
    </row>
    <row r="64" spans="1:8">
      <c r="A64" s="332"/>
      <c r="B64" s="362" t="s">
        <v>693</v>
      </c>
      <c r="C64" s="360" t="s">
        <v>402</v>
      </c>
      <c r="D64" s="361">
        <v>25</v>
      </c>
      <c r="E64" s="325">
        <v>0</v>
      </c>
      <c r="F64" s="323">
        <v>2247</v>
      </c>
      <c r="G64" s="521">
        <f t="shared" si="2"/>
        <v>0</v>
      </c>
      <c r="H64" s="522">
        <f t="shared" si="3"/>
        <v>56175</v>
      </c>
    </row>
    <row r="65" spans="1:8">
      <c r="A65" s="332"/>
      <c r="B65" s="362"/>
      <c r="C65" s="360"/>
      <c r="D65" s="361"/>
      <c r="E65" s="325">
        <v>0</v>
      </c>
      <c r="F65" s="323">
        <v>0</v>
      </c>
      <c r="G65" s="521">
        <f t="shared" si="2"/>
        <v>0</v>
      </c>
      <c r="H65" s="522">
        <f t="shared" si="3"/>
        <v>0</v>
      </c>
    </row>
    <row r="66" spans="1:8">
      <c r="A66" s="321">
        <v>2</v>
      </c>
      <c r="B66" s="357" t="s">
        <v>694</v>
      </c>
      <c r="C66" s="360"/>
      <c r="D66" s="361"/>
      <c r="E66" s="325">
        <v>0</v>
      </c>
      <c r="F66" s="323">
        <v>0</v>
      </c>
      <c r="G66" s="521">
        <f t="shared" si="2"/>
        <v>0</v>
      </c>
      <c r="H66" s="522">
        <f t="shared" si="3"/>
        <v>0</v>
      </c>
    </row>
    <row r="67" spans="1:8" ht="58">
      <c r="A67" s="332"/>
      <c r="B67" s="362" t="s">
        <v>695</v>
      </c>
      <c r="C67" s="360"/>
      <c r="D67" s="361"/>
      <c r="E67" s="325">
        <v>0</v>
      </c>
      <c r="F67" s="323">
        <v>0</v>
      </c>
      <c r="G67" s="521">
        <f t="shared" si="2"/>
        <v>0</v>
      </c>
      <c r="H67" s="522">
        <f t="shared" si="3"/>
        <v>0</v>
      </c>
    </row>
    <row r="68" spans="1:8">
      <c r="A68" s="332"/>
      <c r="B68" s="362" t="s">
        <v>696</v>
      </c>
      <c r="C68" s="360" t="s">
        <v>396</v>
      </c>
      <c r="D68" s="361" t="s">
        <v>648</v>
      </c>
      <c r="E68" s="325">
        <v>0</v>
      </c>
      <c r="F68" s="323">
        <v>0</v>
      </c>
      <c r="G68" s="521">
        <f t="shared" si="2"/>
        <v>0</v>
      </c>
      <c r="H68" s="522">
        <f t="shared" si="3"/>
        <v>0</v>
      </c>
    </row>
    <row r="69" spans="1:8">
      <c r="A69" s="332"/>
      <c r="B69" s="362" t="s">
        <v>697</v>
      </c>
      <c r="C69" s="360" t="s">
        <v>396</v>
      </c>
      <c r="D69" s="361" t="s">
        <v>648</v>
      </c>
      <c r="E69" s="325">
        <v>0</v>
      </c>
      <c r="F69" s="323">
        <v>0</v>
      </c>
      <c r="G69" s="521">
        <f t="shared" si="2"/>
        <v>0</v>
      </c>
      <c r="H69" s="522">
        <f t="shared" si="3"/>
        <v>0</v>
      </c>
    </row>
    <row r="70" spans="1:8">
      <c r="A70" s="332"/>
      <c r="B70" s="362"/>
      <c r="C70" s="360"/>
      <c r="D70" s="361"/>
      <c r="E70" s="325">
        <v>0</v>
      </c>
      <c r="F70" s="323">
        <v>0</v>
      </c>
      <c r="G70" s="521">
        <f t="shared" si="2"/>
        <v>0</v>
      </c>
      <c r="H70" s="522">
        <f t="shared" si="3"/>
        <v>0</v>
      </c>
    </row>
    <row r="71" spans="1:8">
      <c r="A71" s="321">
        <v>3</v>
      </c>
      <c r="B71" s="357" t="s">
        <v>698</v>
      </c>
      <c r="C71" s="360"/>
      <c r="D71" s="361"/>
      <c r="E71" s="325">
        <v>0</v>
      </c>
      <c r="F71" s="323">
        <v>0</v>
      </c>
      <c r="G71" s="521">
        <f t="shared" si="2"/>
        <v>0</v>
      </c>
      <c r="H71" s="522">
        <f t="shared" si="3"/>
        <v>0</v>
      </c>
    </row>
    <row r="72" spans="1:8" ht="43.5">
      <c r="A72" s="332"/>
      <c r="B72" s="362" t="s">
        <v>699</v>
      </c>
      <c r="C72" s="360"/>
      <c r="D72" s="361"/>
      <c r="E72" s="325">
        <v>0</v>
      </c>
      <c r="F72" s="323">
        <v>0</v>
      </c>
      <c r="G72" s="521">
        <f t="shared" si="2"/>
        <v>0</v>
      </c>
      <c r="H72" s="522">
        <f t="shared" si="3"/>
        <v>0</v>
      </c>
    </row>
    <row r="73" spans="1:8">
      <c r="A73" s="321"/>
      <c r="B73" s="362" t="s">
        <v>700</v>
      </c>
      <c r="C73" s="360" t="s">
        <v>299</v>
      </c>
      <c r="D73" s="361">
        <v>2</v>
      </c>
      <c r="E73" s="325">
        <v>6890</v>
      </c>
      <c r="F73" s="323">
        <v>1060</v>
      </c>
      <c r="G73" s="521">
        <f t="shared" si="2"/>
        <v>13780</v>
      </c>
      <c r="H73" s="522">
        <f t="shared" si="3"/>
        <v>2120</v>
      </c>
    </row>
    <row r="74" spans="1:8">
      <c r="A74" s="372"/>
      <c r="B74" s="373"/>
      <c r="C74" s="374"/>
      <c r="D74" s="375"/>
      <c r="E74" s="325">
        <v>0</v>
      </c>
      <c r="F74" s="323">
        <v>0</v>
      </c>
      <c r="G74" s="523">
        <f t="shared" ref="G74:G137" si="4">E74*D74</f>
        <v>0</v>
      </c>
      <c r="H74" s="524">
        <f t="shared" ref="H74:H137" si="5">F74*D74</f>
        <v>0</v>
      </c>
    </row>
    <row r="75" spans="1:8">
      <c r="A75" s="314"/>
      <c r="B75" s="315" t="s">
        <v>701</v>
      </c>
      <c r="C75" s="367"/>
      <c r="D75" s="311"/>
      <c r="E75" s="484"/>
      <c r="F75" s="484"/>
      <c r="G75" s="518">
        <f>SUM(G63:G74)</f>
        <v>13780</v>
      </c>
      <c r="H75" s="518">
        <f>SUM(H63:H74)</f>
        <v>58295</v>
      </c>
    </row>
    <row r="76" spans="1:8">
      <c r="A76" s="376"/>
      <c r="B76" s="317"/>
      <c r="C76" s="377"/>
      <c r="D76" s="378"/>
      <c r="E76" s="378"/>
      <c r="F76" s="378"/>
      <c r="G76" s="508"/>
      <c r="H76" s="509"/>
    </row>
    <row r="77" spans="1:8">
      <c r="A77" s="314" t="s">
        <v>632</v>
      </c>
      <c r="B77" s="315" t="s">
        <v>702</v>
      </c>
      <c r="C77" s="367"/>
      <c r="D77" s="311"/>
      <c r="E77" s="484"/>
      <c r="F77" s="484"/>
      <c r="G77" s="518"/>
      <c r="H77" s="518"/>
    </row>
    <row r="78" spans="1:8">
      <c r="A78" s="379"/>
      <c r="B78" s="327"/>
      <c r="C78" s="328"/>
      <c r="D78" s="329"/>
      <c r="E78" s="325">
        <v>0</v>
      </c>
      <c r="F78" s="323">
        <v>0</v>
      </c>
      <c r="G78" s="512">
        <f t="shared" si="4"/>
        <v>0</v>
      </c>
      <c r="H78" s="513">
        <f t="shared" si="5"/>
        <v>0</v>
      </c>
    </row>
    <row r="79" spans="1:8" ht="43.5">
      <c r="A79" s="354">
        <v>1</v>
      </c>
      <c r="B79" s="380" t="s">
        <v>703</v>
      </c>
      <c r="C79" s="334" t="s">
        <v>704</v>
      </c>
      <c r="D79" s="324">
        <v>1</v>
      </c>
      <c r="E79" s="325">
        <v>8480</v>
      </c>
      <c r="F79" s="323">
        <v>2120</v>
      </c>
      <c r="G79" s="510">
        <f t="shared" si="4"/>
        <v>8480</v>
      </c>
      <c r="H79" s="511">
        <f t="shared" si="5"/>
        <v>2120</v>
      </c>
    </row>
    <row r="80" spans="1:8">
      <c r="A80" s="354"/>
      <c r="B80" s="381"/>
      <c r="C80" s="334"/>
      <c r="D80" s="324"/>
      <c r="E80" s="325">
        <v>0</v>
      </c>
      <c r="F80" s="323">
        <v>0</v>
      </c>
      <c r="G80" s="510">
        <f t="shared" si="4"/>
        <v>0</v>
      </c>
      <c r="H80" s="511">
        <f t="shared" si="5"/>
        <v>0</v>
      </c>
    </row>
    <row r="81" spans="1:8" ht="29">
      <c r="A81" s="354"/>
      <c r="B81" s="380" t="s">
        <v>705</v>
      </c>
      <c r="C81" s="334"/>
      <c r="D81" s="324"/>
      <c r="E81" s="325">
        <v>0</v>
      </c>
      <c r="F81" s="323">
        <v>0</v>
      </c>
      <c r="G81" s="510">
        <f t="shared" si="4"/>
        <v>0</v>
      </c>
      <c r="H81" s="511">
        <f t="shared" si="5"/>
        <v>0</v>
      </c>
    </row>
    <row r="82" spans="1:8">
      <c r="A82" s="354"/>
      <c r="B82" s="333"/>
      <c r="C82" s="334"/>
      <c r="D82" s="324"/>
      <c r="E82" s="325">
        <v>0</v>
      </c>
      <c r="F82" s="323">
        <v>0</v>
      </c>
      <c r="G82" s="510">
        <f t="shared" si="4"/>
        <v>0</v>
      </c>
      <c r="H82" s="511">
        <f t="shared" si="5"/>
        <v>0</v>
      </c>
    </row>
    <row r="83" spans="1:8" ht="29">
      <c r="A83" s="354"/>
      <c r="B83" s="380" t="s">
        <v>706</v>
      </c>
      <c r="C83" s="334"/>
      <c r="D83" s="324"/>
      <c r="E83" s="325">
        <v>0</v>
      </c>
      <c r="F83" s="323">
        <v>0</v>
      </c>
      <c r="G83" s="510">
        <f t="shared" si="4"/>
        <v>0</v>
      </c>
      <c r="H83" s="511">
        <f t="shared" si="5"/>
        <v>0</v>
      </c>
    </row>
    <row r="84" spans="1:8">
      <c r="A84" s="354"/>
      <c r="B84" s="333"/>
      <c r="C84" s="334"/>
      <c r="D84" s="324"/>
      <c r="E84" s="325">
        <v>0</v>
      </c>
      <c r="F84" s="323">
        <v>0</v>
      </c>
      <c r="G84" s="510">
        <f t="shared" si="4"/>
        <v>0</v>
      </c>
      <c r="H84" s="511">
        <f t="shared" si="5"/>
        <v>0</v>
      </c>
    </row>
    <row r="85" spans="1:8" ht="29">
      <c r="A85" s="354"/>
      <c r="B85" s="380" t="s">
        <v>707</v>
      </c>
      <c r="C85" s="334"/>
      <c r="D85" s="324"/>
      <c r="E85" s="325">
        <v>0</v>
      </c>
      <c r="F85" s="323">
        <v>0</v>
      </c>
      <c r="G85" s="510">
        <f t="shared" si="4"/>
        <v>0</v>
      </c>
      <c r="H85" s="511">
        <f t="shared" si="5"/>
        <v>0</v>
      </c>
    </row>
    <row r="86" spans="1:8">
      <c r="A86" s="354"/>
      <c r="B86" s="333"/>
      <c r="C86" s="334"/>
      <c r="D86" s="324"/>
      <c r="E86" s="325">
        <v>0</v>
      </c>
      <c r="F86" s="323">
        <v>0</v>
      </c>
      <c r="G86" s="510">
        <f t="shared" si="4"/>
        <v>0</v>
      </c>
      <c r="H86" s="511">
        <f t="shared" si="5"/>
        <v>0</v>
      </c>
    </row>
    <row r="87" spans="1:8">
      <c r="A87" s="354"/>
      <c r="B87" s="380" t="s">
        <v>708</v>
      </c>
      <c r="C87" s="334"/>
      <c r="D87" s="324"/>
      <c r="E87" s="325">
        <v>0</v>
      </c>
      <c r="F87" s="323">
        <v>0</v>
      </c>
      <c r="G87" s="510">
        <f t="shared" si="4"/>
        <v>0</v>
      </c>
      <c r="H87" s="511">
        <f t="shared" si="5"/>
        <v>0</v>
      </c>
    </row>
    <row r="88" spans="1:8">
      <c r="A88" s="354"/>
      <c r="B88" s="333"/>
      <c r="C88" s="334"/>
      <c r="D88" s="324"/>
      <c r="E88" s="325">
        <v>0</v>
      </c>
      <c r="F88" s="323">
        <v>0</v>
      </c>
      <c r="G88" s="510">
        <f t="shared" si="4"/>
        <v>0</v>
      </c>
      <c r="H88" s="511">
        <f t="shared" si="5"/>
        <v>0</v>
      </c>
    </row>
    <row r="89" spans="1:8">
      <c r="A89" s="354"/>
      <c r="B89" s="380" t="s">
        <v>709</v>
      </c>
      <c r="C89" s="334"/>
      <c r="D89" s="324"/>
      <c r="E89" s="325">
        <v>0</v>
      </c>
      <c r="F89" s="323">
        <v>0</v>
      </c>
      <c r="G89" s="510">
        <f t="shared" si="4"/>
        <v>0</v>
      </c>
      <c r="H89" s="511">
        <f t="shared" si="5"/>
        <v>0</v>
      </c>
    </row>
    <row r="90" spans="1:8">
      <c r="A90" s="354"/>
      <c r="B90" s="333"/>
      <c r="C90" s="334"/>
      <c r="D90" s="324"/>
      <c r="E90" s="325">
        <v>0</v>
      </c>
      <c r="F90" s="323">
        <v>0</v>
      </c>
      <c r="G90" s="510">
        <f t="shared" si="4"/>
        <v>0</v>
      </c>
      <c r="H90" s="511">
        <f t="shared" si="5"/>
        <v>0</v>
      </c>
    </row>
    <row r="91" spans="1:8" ht="29">
      <c r="A91" s="354">
        <v>2</v>
      </c>
      <c r="B91" s="380" t="s">
        <v>710</v>
      </c>
      <c r="C91" s="334" t="s">
        <v>704</v>
      </c>
      <c r="D91" s="324">
        <v>1</v>
      </c>
      <c r="E91" s="325">
        <v>8480</v>
      </c>
      <c r="F91" s="323">
        <v>2120</v>
      </c>
      <c r="G91" s="510">
        <f t="shared" si="4"/>
        <v>8480</v>
      </c>
      <c r="H91" s="511">
        <f t="shared" si="5"/>
        <v>2120</v>
      </c>
    </row>
    <row r="92" spans="1:8">
      <c r="A92" s="354"/>
      <c r="B92" s="333"/>
      <c r="C92" s="334"/>
      <c r="D92" s="324"/>
      <c r="E92" s="325">
        <v>0</v>
      </c>
      <c r="F92" s="323">
        <v>0</v>
      </c>
      <c r="G92" s="510">
        <f t="shared" si="4"/>
        <v>0</v>
      </c>
      <c r="H92" s="511">
        <f t="shared" si="5"/>
        <v>0</v>
      </c>
    </row>
    <row r="93" spans="1:8">
      <c r="A93" s="354"/>
      <c r="B93" s="380" t="s">
        <v>711</v>
      </c>
      <c r="C93" s="334"/>
      <c r="D93" s="324"/>
      <c r="E93" s="325">
        <v>0</v>
      </c>
      <c r="F93" s="323">
        <v>0</v>
      </c>
      <c r="G93" s="510">
        <f t="shared" si="4"/>
        <v>0</v>
      </c>
      <c r="H93" s="511">
        <f t="shared" si="5"/>
        <v>0</v>
      </c>
    </row>
    <row r="94" spans="1:8">
      <c r="A94" s="354"/>
      <c r="B94" s="333"/>
      <c r="C94" s="334"/>
      <c r="D94" s="324"/>
      <c r="E94" s="325">
        <v>0</v>
      </c>
      <c r="F94" s="323">
        <v>0</v>
      </c>
      <c r="G94" s="510">
        <f t="shared" si="4"/>
        <v>0</v>
      </c>
      <c r="H94" s="511">
        <f t="shared" si="5"/>
        <v>0</v>
      </c>
    </row>
    <row r="95" spans="1:8">
      <c r="A95" s="354"/>
      <c r="B95" s="380" t="s">
        <v>712</v>
      </c>
      <c r="C95" s="334"/>
      <c r="D95" s="324"/>
      <c r="E95" s="325">
        <v>0</v>
      </c>
      <c r="F95" s="323">
        <v>0</v>
      </c>
      <c r="G95" s="510">
        <f t="shared" si="4"/>
        <v>0</v>
      </c>
      <c r="H95" s="511">
        <f t="shared" si="5"/>
        <v>0</v>
      </c>
    </row>
    <row r="96" spans="1:8">
      <c r="A96" s="354"/>
      <c r="B96" s="333"/>
      <c r="C96" s="334"/>
      <c r="D96" s="324"/>
      <c r="E96" s="325">
        <v>0</v>
      </c>
      <c r="F96" s="323">
        <v>0</v>
      </c>
      <c r="G96" s="510">
        <f t="shared" si="4"/>
        <v>0</v>
      </c>
      <c r="H96" s="511">
        <f t="shared" si="5"/>
        <v>0</v>
      </c>
    </row>
    <row r="97" spans="1:8">
      <c r="A97" s="354"/>
      <c r="B97" s="380" t="s">
        <v>713</v>
      </c>
      <c r="C97" s="334"/>
      <c r="D97" s="324"/>
      <c r="E97" s="325">
        <v>0</v>
      </c>
      <c r="F97" s="323">
        <v>0</v>
      </c>
      <c r="G97" s="510">
        <f t="shared" si="4"/>
        <v>0</v>
      </c>
      <c r="H97" s="511">
        <f t="shared" si="5"/>
        <v>0</v>
      </c>
    </row>
    <row r="98" spans="1:8">
      <c r="A98" s="354"/>
      <c r="B98" s="333"/>
      <c r="C98" s="334"/>
      <c r="D98" s="324"/>
      <c r="E98" s="325">
        <v>0</v>
      </c>
      <c r="F98" s="323">
        <v>0</v>
      </c>
      <c r="G98" s="510">
        <f t="shared" si="4"/>
        <v>0</v>
      </c>
      <c r="H98" s="511">
        <f t="shared" si="5"/>
        <v>0</v>
      </c>
    </row>
    <row r="99" spans="1:8">
      <c r="A99" s="354"/>
      <c r="B99" s="380" t="s">
        <v>714</v>
      </c>
      <c r="C99" s="334"/>
      <c r="D99" s="324"/>
      <c r="E99" s="325">
        <v>0</v>
      </c>
      <c r="F99" s="323">
        <v>0</v>
      </c>
      <c r="G99" s="510">
        <f t="shared" si="4"/>
        <v>0</v>
      </c>
      <c r="H99" s="511">
        <f t="shared" si="5"/>
        <v>0</v>
      </c>
    </row>
    <row r="100" spans="1:8">
      <c r="A100" s="354"/>
      <c r="B100" s="333"/>
      <c r="C100" s="334"/>
      <c r="D100" s="324"/>
      <c r="E100" s="325">
        <v>0</v>
      </c>
      <c r="F100" s="323">
        <v>0</v>
      </c>
      <c r="G100" s="510">
        <f t="shared" si="4"/>
        <v>0</v>
      </c>
      <c r="H100" s="511">
        <f t="shared" si="5"/>
        <v>0</v>
      </c>
    </row>
    <row r="101" spans="1:8">
      <c r="A101" s="354"/>
      <c r="B101" s="380" t="s">
        <v>715</v>
      </c>
      <c r="C101" s="334"/>
      <c r="D101" s="324"/>
      <c r="E101" s="325">
        <v>0</v>
      </c>
      <c r="F101" s="323">
        <v>0</v>
      </c>
      <c r="G101" s="510">
        <f t="shared" si="4"/>
        <v>0</v>
      </c>
      <c r="H101" s="511">
        <f t="shared" si="5"/>
        <v>0</v>
      </c>
    </row>
    <row r="102" spans="1:8">
      <c r="A102" s="354"/>
      <c r="B102" s="333"/>
      <c r="C102" s="382"/>
      <c r="D102" s="383"/>
      <c r="E102" s="325">
        <v>0</v>
      </c>
      <c r="F102" s="323">
        <v>0</v>
      </c>
      <c r="G102" s="510">
        <f t="shared" si="4"/>
        <v>0</v>
      </c>
      <c r="H102" s="511">
        <f t="shared" si="5"/>
        <v>0</v>
      </c>
    </row>
    <row r="103" spans="1:8">
      <c r="A103" s="354"/>
      <c r="B103" s="380" t="s">
        <v>716</v>
      </c>
      <c r="C103" s="382"/>
      <c r="D103" s="383"/>
      <c r="E103" s="325">
        <v>0</v>
      </c>
      <c r="F103" s="323">
        <v>0</v>
      </c>
      <c r="G103" s="510">
        <f t="shared" si="4"/>
        <v>0</v>
      </c>
      <c r="H103" s="511">
        <f t="shared" si="5"/>
        <v>0</v>
      </c>
    </row>
    <row r="104" spans="1:8">
      <c r="A104" s="354"/>
      <c r="B104" s="333"/>
      <c r="C104" s="382"/>
      <c r="D104" s="383"/>
      <c r="E104" s="325">
        <v>0</v>
      </c>
      <c r="F104" s="323">
        <v>0</v>
      </c>
      <c r="G104" s="510">
        <f t="shared" si="4"/>
        <v>0</v>
      </c>
      <c r="H104" s="511">
        <f t="shared" si="5"/>
        <v>0</v>
      </c>
    </row>
    <row r="105" spans="1:8">
      <c r="A105" s="354"/>
      <c r="B105" s="380" t="s">
        <v>717</v>
      </c>
      <c r="C105" s="382"/>
      <c r="D105" s="383"/>
      <c r="E105" s="325">
        <v>0</v>
      </c>
      <c r="F105" s="323">
        <v>0</v>
      </c>
      <c r="G105" s="510">
        <f t="shared" si="4"/>
        <v>0</v>
      </c>
      <c r="H105" s="511">
        <f t="shared" si="5"/>
        <v>0</v>
      </c>
    </row>
    <row r="106" spans="1:8">
      <c r="A106" s="354"/>
      <c r="B106" s="380" t="s">
        <v>718</v>
      </c>
      <c r="C106" s="382"/>
      <c r="D106" s="383"/>
      <c r="E106" s="325">
        <v>0</v>
      </c>
      <c r="F106" s="323">
        <v>0</v>
      </c>
      <c r="G106" s="510">
        <f t="shared" si="4"/>
        <v>0</v>
      </c>
      <c r="H106" s="511">
        <f t="shared" si="5"/>
        <v>0</v>
      </c>
    </row>
    <row r="107" spans="1:8">
      <c r="A107" s="384"/>
      <c r="B107" s="385"/>
      <c r="C107" s="334"/>
      <c r="D107" s="386"/>
      <c r="E107" s="325">
        <v>0</v>
      </c>
      <c r="F107" s="323">
        <v>0</v>
      </c>
      <c r="G107" s="510">
        <f t="shared" si="4"/>
        <v>0</v>
      </c>
      <c r="H107" s="511">
        <f t="shared" si="5"/>
        <v>0</v>
      </c>
    </row>
    <row r="108" spans="1:8" ht="29">
      <c r="A108" s="384">
        <v>3</v>
      </c>
      <c r="B108" s="385" t="s">
        <v>719</v>
      </c>
      <c r="C108" s="334" t="s">
        <v>387</v>
      </c>
      <c r="D108" s="386">
        <v>5</v>
      </c>
      <c r="E108" s="325">
        <v>4770</v>
      </c>
      <c r="F108" s="323">
        <v>530</v>
      </c>
      <c r="G108" s="510">
        <f t="shared" si="4"/>
        <v>23850</v>
      </c>
      <c r="H108" s="511">
        <f t="shared" si="5"/>
        <v>2650</v>
      </c>
    </row>
    <row r="109" spans="1:8">
      <c r="A109" s="384"/>
      <c r="B109" s="385"/>
      <c r="C109" s="334"/>
      <c r="D109" s="386"/>
      <c r="E109" s="325">
        <v>0</v>
      </c>
      <c r="F109" s="323">
        <v>0</v>
      </c>
      <c r="G109" s="510">
        <f t="shared" si="4"/>
        <v>0</v>
      </c>
      <c r="H109" s="511">
        <f t="shared" si="5"/>
        <v>0</v>
      </c>
    </row>
    <row r="110" spans="1:8">
      <c r="A110" s="384">
        <v>4</v>
      </c>
      <c r="B110" s="385" t="s">
        <v>720</v>
      </c>
      <c r="C110" s="334" t="s">
        <v>299</v>
      </c>
      <c r="D110" s="386">
        <v>9</v>
      </c>
      <c r="E110" s="325">
        <v>1590</v>
      </c>
      <c r="F110" s="323">
        <v>530</v>
      </c>
      <c r="G110" s="510">
        <f t="shared" si="4"/>
        <v>14310</v>
      </c>
      <c r="H110" s="511">
        <f t="shared" si="5"/>
        <v>4770</v>
      </c>
    </row>
    <row r="111" spans="1:8">
      <c r="A111" s="384"/>
      <c r="B111" s="385"/>
      <c r="C111" s="334"/>
      <c r="D111" s="386"/>
      <c r="E111" s="325">
        <v>0</v>
      </c>
      <c r="F111" s="323">
        <v>0</v>
      </c>
      <c r="G111" s="510">
        <f t="shared" si="4"/>
        <v>0</v>
      </c>
      <c r="H111" s="511">
        <f t="shared" si="5"/>
        <v>0</v>
      </c>
    </row>
    <row r="112" spans="1:8" ht="29">
      <c r="A112" s="384">
        <v>5</v>
      </c>
      <c r="B112" s="385" t="s">
        <v>721</v>
      </c>
      <c r="C112" s="334" t="s">
        <v>387</v>
      </c>
      <c r="D112" s="386">
        <v>4</v>
      </c>
      <c r="E112" s="325">
        <v>6360</v>
      </c>
      <c r="F112" s="323">
        <v>1060</v>
      </c>
      <c r="G112" s="510">
        <f t="shared" si="4"/>
        <v>25440</v>
      </c>
      <c r="H112" s="511">
        <f t="shared" si="5"/>
        <v>4240</v>
      </c>
    </row>
    <row r="113" spans="1:8">
      <c r="A113" s="355"/>
      <c r="B113" s="337"/>
      <c r="C113" s="387"/>
      <c r="D113" s="349"/>
      <c r="E113" s="325">
        <v>0</v>
      </c>
      <c r="F113" s="323">
        <v>0</v>
      </c>
      <c r="G113" s="516">
        <f t="shared" si="4"/>
        <v>0</v>
      </c>
      <c r="H113" s="517">
        <f t="shared" si="5"/>
        <v>0</v>
      </c>
    </row>
    <row r="114" spans="1:8">
      <c r="A114" s="314"/>
      <c r="B114" s="315" t="s">
        <v>722</v>
      </c>
      <c r="C114" s="367"/>
      <c r="D114" s="311"/>
      <c r="E114" s="484"/>
      <c r="F114" s="484"/>
      <c r="G114" s="518">
        <f>SUM(G79:G113)</f>
        <v>80560</v>
      </c>
      <c r="H114" s="518">
        <f>SUM(H79:H113)</f>
        <v>15900</v>
      </c>
    </row>
    <row r="115" spans="1:8">
      <c r="A115" s="388"/>
      <c r="B115" s="389"/>
      <c r="C115" s="390"/>
      <c r="D115" s="391"/>
      <c r="E115" s="486"/>
      <c r="F115" s="486"/>
      <c r="G115" s="525"/>
      <c r="H115" s="526"/>
    </row>
    <row r="116" spans="1:8">
      <c r="A116" s="314" t="s">
        <v>633</v>
      </c>
      <c r="B116" s="315" t="s">
        <v>723</v>
      </c>
      <c r="C116" s="367"/>
      <c r="D116" s="311"/>
      <c r="E116" s="484"/>
      <c r="F116" s="484"/>
      <c r="G116" s="518"/>
      <c r="H116" s="518"/>
    </row>
    <row r="117" spans="1:8" s="342" customFormat="1">
      <c r="A117" s="321">
        <v>1</v>
      </c>
      <c r="B117" s="322" t="s">
        <v>724</v>
      </c>
      <c r="C117" s="340"/>
      <c r="D117" s="341"/>
      <c r="E117" s="325">
        <v>0</v>
      </c>
      <c r="F117" s="323">
        <v>0</v>
      </c>
      <c r="G117" s="527">
        <f t="shared" si="4"/>
        <v>0</v>
      </c>
      <c r="H117" s="528">
        <f t="shared" si="5"/>
        <v>0</v>
      </c>
    </row>
    <row r="118" spans="1:8" ht="72.5">
      <c r="A118" s="384"/>
      <c r="B118" s="385" t="s">
        <v>725</v>
      </c>
      <c r="C118" s="334" t="s">
        <v>299</v>
      </c>
      <c r="D118" s="386">
        <v>18</v>
      </c>
      <c r="E118" s="325">
        <v>4770</v>
      </c>
      <c r="F118" s="323">
        <v>530</v>
      </c>
      <c r="G118" s="510">
        <f t="shared" si="4"/>
        <v>85860</v>
      </c>
      <c r="H118" s="511">
        <f t="shared" si="5"/>
        <v>9540</v>
      </c>
    </row>
    <row r="119" spans="1:8">
      <c r="A119" s="392"/>
      <c r="B119" s="344"/>
      <c r="C119" s="345"/>
      <c r="D119" s="339"/>
      <c r="E119" s="325">
        <v>0</v>
      </c>
      <c r="F119" s="323">
        <v>0</v>
      </c>
      <c r="G119" s="516">
        <f t="shared" si="4"/>
        <v>0</v>
      </c>
      <c r="H119" s="517">
        <f t="shared" si="5"/>
        <v>0</v>
      </c>
    </row>
    <row r="120" spans="1:8" s="342" customFormat="1">
      <c r="A120" s="321">
        <v>2</v>
      </c>
      <c r="B120" s="322" t="s">
        <v>726</v>
      </c>
      <c r="C120" s="340"/>
      <c r="D120" s="341"/>
      <c r="E120" s="325">
        <v>0</v>
      </c>
      <c r="F120" s="323">
        <v>0</v>
      </c>
      <c r="G120" s="527">
        <f t="shared" si="4"/>
        <v>0</v>
      </c>
      <c r="H120" s="528">
        <f t="shared" si="5"/>
        <v>0</v>
      </c>
    </row>
    <row r="121" spans="1:8" ht="72.5">
      <c r="A121" s="384"/>
      <c r="B121" s="385" t="s">
        <v>727</v>
      </c>
      <c r="C121" s="334" t="s">
        <v>299</v>
      </c>
      <c r="D121" s="386">
        <v>1</v>
      </c>
      <c r="E121" s="325">
        <v>6360</v>
      </c>
      <c r="F121" s="323">
        <v>530</v>
      </c>
      <c r="G121" s="510">
        <f t="shared" si="4"/>
        <v>6360</v>
      </c>
      <c r="H121" s="511">
        <f t="shared" si="5"/>
        <v>530</v>
      </c>
    </row>
    <row r="122" spans="1:8">
      <c r="A122" s="384"/>
      <c r="B122" s="385"/>
      <c r="C122" s="334"/>
      <c r="D122" s="386"/>
      <c r="E122" s="325">
        <v>0</v>
      </c>
      <c r="F122" s="323">
        <v>0</v>
      </c>
      <c r="G122" s="510">
        <f t="shared" si="4"/>
        <v>0</v>
      </c>
      <c r="H122" s="511">
        <f t="shared" si="5"/>
        <v>0</v>
      </c>
    </row>
    <row r="123" spans="1:8" s="342" customFormat="1">
      <c r="A123" s="321">
        <v>3</v>
      </c>
      <c r="B123" s="322" t="s">
        <v>728</v>
      </c>
      <c r="C123" s="340"/>
      <c r="D123" s="341"/>
      <c r="E123" s="325">
        <v>0</v>
      </c>
      <c r="F123" s="323">
        <v>0</v>
      </c>
      <c r="G123" s="527">
        <f t="shared" si="4"/>
        <v>0</v>
      </c>
      <c r="H123" s="528">
        <f t="shared" si="5"/>
        <v>0</v>
      </c>
    </row>
    <row r="124" spans="1:8" ht="72.5">
      <c r="A124" s="384"/>
      <c r="B124" s="385" t="s">
        <v>729</v>
      </c>
      <c r="C124" s="334" t="s">
        <v>299</v>
      </c>
      <c r="D124" s="386">
        <v>2</v>
      </c>
      <c r="E124" s="325">
        <v>13250</v>
      </c>
      <c r="F124" s="323">
        <v>530</v>
      </c>
      <c r="G124" s="510">
        <f t="shared" si="4"/>
        <v>26500</v>
      </c>
      <c r="H124" s="511">
        <f t="shared" si="5"/>
        <v>1060</v>
      </c>
    </row>
    <row r="125" spans="1:8">
      <c r="A125" s="336"/>
      <c r="B125" s="344"/>
      <c r="C125" s="345"/>
      <c r="D125" s="339"/>
      <c r="E125" s="325">
        <v>0</v>
      </c>
      <c r="F125" s="323">
        <v>0</v>
      </c>
      <c r="G125" s="516">
        <f t="shared" si="4"/>
        <v>0</v>
      </c>
      <c r="H125" s="517">
        <f t="shared" si="5"/>
        <v>0</v>
      </c>
    </row>
    <row r="126" spans="1:8" s="342" customFormat="1">
      <c r="A126" s="393">
        <v>4</v>
      </c>
      <c r="B126" s="394" t="s">
        <v>730</v>
      </c>
      <c r="C126" s="395"/>
      <c r="D126" s="396"/>
      <c r="E126" s="325">
        <v>0</v>
      </c>
      <c r="F126" s="323">
        <v>0</v>
      </c>
      <c r="G126" s="527">
        <f t="shared" si="4"/>
        <v>0</v>
      </c>
      <c r="H126" s="528">
        <f t="shared" si="5"/>
        <v>0</v>
      </c>
    </row>
    <row r="127" spans="1:8" ht="72.5">
      <c r="A127" s="326"/>
      <c r="B127" s="343" t="s">
        <v>731</v>
      </c>
      <c r="C127" s="328" t="s">
        <v>299</v>
      </c>
      <c r="D127" s="329">
        <v>7</v>
      </c>
      <c r="E127" s="325">
        <v>4240</v>
      </c>
      <c r="F127" s="323">
        <v>530</v>
      </c>
      <c r="G127" s="512">
        <f t="shared" si="4"/>
        <v>29680</v>
      </c>
      <c r="H127" s="513">
        <f t="shared" si="5"/>
        <v>3710</v>
      </c>
    </row>
    <row r="128" spans="1:8">
      <c r="A128" s="316"/>
      <c r="B128" s="397"/>
      <c r="C128" s="398"/>
      <c r="D128" s="319"/>
      <c r="E128" s="325">
        <v>0</v>
      </c>
      <c r="F128" s="323">
        <v>0</v>
      </c>
      <c r="G128" s="508">
        <f t="shared" si="4"/>
        <v>0</v>
      </c>
      <c r="H128" s="509">
        <f t="shared" si="5"/>
        <v>0</v>
      </c>
    </row>
    <row r="129" spans="1:8">
      <c r="A129" s="316">
        <v>5</v>
      </c>
      <c r="B129" s="397" t="s">
        <v>732</v>
      </c>
      <c r="C129" s="398"/>
      <c r="D129" s="319"/>
      <c r="E129" s="325">
        <v>0</v>
      </c>
      <c r="F129" s="323">
        <v>0</v>
      </c>
      <c r="G129" s="508">
        <f t="shared" si="4"/>
        <v>0</v>
      </c>
      <c r="H129" s="509">
        <f t="shared" si="5"/>
        <v>0</v>
      </c>
    </row>
    <row r="130" spans="1:8" ht="58">
      <c r="A130" s="316"/>
      <c r="B130" s="397" t="s">
        <v>733</v>
      </c>
      <c r="C130" s="328" t="s">
        <v>299</v>
      </c>
      <c r="D130" s="319">
        <v>5</v>
      </c>
      <c r="E130" s="325">
        <v>10653</v>
      </c>
      <c r="F130" s="323">
        <v>530</v>
      </c>
      <c r="G130" s="508">
        <f t="shared" si="4"/>
        <v>53265</v>
      </c>
      <c r="H130" s="509">
        <f t="shared" si="5"/>
        <v>2650</v>
      </c>
    </row>
    <row r="131" spans="1:8">
      <c r="A131" s="355"/>
      <c r="B131" s="399"/>
      <c r="C131" s="387"/>
      <c r="D131" s="349"/>
      <c r="E131" s="325">
        <v>0</v>
      </c>
      <c r="F131" s="323">
        <v>0</v>
      </c>
      <c r="G131" s="516">
        <f t="shared" si="4"/>
        <v>0</v>
      </c>
      <c r="H131" s="517">
        <f t="shared" si="5"/>
        <v>0</v>
      </c>
    </row>
    <row r="132" spans="1:8">
      <c r="A132" s="314"/>
      <c r="B132" s="315" t="s">
        <v>734</v>
      </c>
      <c r="C132" s="367"/>
      <c r="D132" s="311"/>
      <c r="E132" s="484"/>
      <c r="F132" s="484"/>
      <c r="G132" s="518">
        <f>SUM(G118:G131)</f>
        <v>201665</v>
      </c>
      <c r="H132" s="518">
        <f>SUM(H118:H131)</f>
        <v>17490</v>
      </c>
    </row>
    <row r="133" spans="1:8">
      <c r="A133" s="388"/>
      <c r="B133" s="389"/>
      <c r="C133" s="390"/>
      <c r="D133" s="391"/>
      <c r="E133" s="486"/>
      <c r="F133" s="486"/>
      <c r="G133" s="525"/>
      <c r="H133" s="526"/>
    </row>
    <row r="134" spans="1:8">
      <c r="A134" s="314" t="s">
        <v>634</v>
      </c>
      <c r="B134" s="315" t="s">
        <v>735</v>
      </c>
      <c r="C134" s="400"/>
      <c r="D134" s="401"/>
      <c r="E134" s="401"/>
      <c r="F134" s="401"/>
      <c r="G134" s="529"/>
      <c r="H134" s="529"/>
    </row>
    <row r="135" spans="1:8" ht="72.5">
      <c r="A135" s="402">
        <v>1</v>
      </c>
      <c r="B135" s="403" t="s">
        <v>736</v>
      </c>
      <c r="C135" s="328"/>
      <c r="D135" s="404"/>
      <c r="E135" s="325">
        <v>0</v>
      </c>
      <c r="F135" s="323">
        <v>0</v>
      </c>
      <c r="G135" s="512">
        <f t="shared" si="4"/>
        <v>0</v>
      </c>
      <c r="H135" s="513">
        <f t="shared" si="5"/>
        <v>0</v>
      </c>
    </row>
    <row r="136" spans="1:8">
      <c r="A136" s="384"/>
      <c r="B136" s="385" t="s">
        <v>737</v>
      </c>
      <c r="C136" s="334" t="s">
        <v>299</v>
      </c>
      <c r="D136" s="386">
        <v>1</v>
      </c>
      <c r="E136" s="325">
        <v>100700</v>
      </c>
      <c r="F136" s="323">
        <v>15900</v>
      </c>
      <c r="G136" s="510">
        <f t="shared" si="4"/>
        <v>100700</v>
      </c>
      <c r="H136" s="511">
        <f t="shared" si="5"/>
        <v>15900</v>
      </c>
    </row>
    <row r="137" spans="1:8">
      <c r="A137" s="384"/>
      <c r="B137" s="385"/>
      <c r="C137" s="334"/>
      <c r="D137" s="386"/>
      <c r="E137" s="325">
        <v>0</v>
      </c>
      <c r="F137" s="323">
        <v>0</v>
      </c>
      <c r="G137" s="510">
        <f t="shared" si="4"/>
        <v>0</v>
      </c>
      <c r="H137" s="511">
        <f t="shared" si="5"/>
        <v>0</v>
      </c>
    </row>
    <row r="138" spans="1:8" ht="72.5">
      <c r="A138" s="384">
        <v>2</v>
      </c>
      <c r="B138" s="385" t="s">
        <v>738</v>
      </c>
      <c r="C138" s="334" t="s">
        <v>299</v>
      </c>
      <c r="D138" s="386" t="s">
        <v>228</v>
      </c>
      <c r="E138" s="325">
        <v>0</v>
      </c>
      <c r="F138" s="323">
        <v>0</v>
      </c>
      <c r="G138" s="510">
        <f t="shared" ref="G138:G201" si="6">E138*D138</f>
        <v>0</v>
      </c>
      <c r="H138" s="511">
        <f t="shared" ref="H138:H201" si="7">F138*D138</f>
        <v>0</v>
      </c>
    </row>
    <row r="139" spans="1:8">
      <c r="A139" s="384"/>
      <c r="B139" s="385"/>
      <c r="C139" s="334"/>
      <c r="D139" s="386"/>
      <c r="E139" s="325">
        <v>0</v>
      </c>
      <c r="F139" s="323">
        <v>0</v>
      </c>
      <c r="G139" s="510">
        <f t="shared" si="6"/>
        <v>0</v>
      </c>
      <c r="H139" s="511">
        <f t="shared" si="7"/>
        <v>0</v>
      </c>
    </row>
    <row r="140" spans="1:8" ht="43.5">
      <c r="A140" s="384">
        <v>3</v>
      </c>
      <c r="B140" s="547" t="s">
        <v>739</v>
      </c>
      <c r="C140" s="334" t="s">
        <v>299</v>
      </c>
      <c r="D140" s="386">
        <v>45</v>
      </c>
      <c r="E140" s="325">
        <v>4240</v>
      </c>
      <c r="F140" s="323">
        <v>550</v>
      </c>
      <c r="G140" s="510">
        <f t="shared" si="6"/>
        <v>190800</v>
      </c>
      <c r="H140" s="511">
        <f t="shared" si="7"/>
        <v>24750</v>
      </c>
    </row>
    <row r="141" spans="1:8">
      <c r="A141" s="384"/>
      <c r="B141" s="385"/>
      <c r="C141" s="334"/>
      <c r="D141" s="386"/>
      <c r="E141" s="325">
        <v>0</v>
      </c>
      <c r="F141" s="323">
        <v>0</v>
      </c>
      <c r="G141" s="510">
        <f t="shared" si="6"/>
        <v>0</v>
      </c>
      <c r="H141" s="511">
        <f t="shared" si="7"/>
        <v>0</v>
      </c>
    </row>
    <row r="142" spans="1:8" ht="43.5">
      <c r="A142" s="384">
        <v>4</v>
      </c>
      <c r="B142" s="385" t="s">
        <v>740</v>
      </c>
      <c r="C142" s="334" t="s">
        <v>299</v>
      </c>
      <c r="D142" s="386">
        <v>10</v>
      </c>
      <c r="E142" s="325">
        <v>4240</v>
      </c>
      <c r="F142" s="323">
        <v>550</v>
      </c>
      <c r="G142" s="510">
        <f t="shared" si="6"/>
        <v>42400</v>
      </c>
      <c r="H142" s="511">
        <f t="shared" si="7"/>
        <v>5500</v>
      </c>
    </row>
    <row r="143" spans="1:8">
      <c r="A143" s="384"/>
      <c r="B143" s="385"/>
      <c r="C143" s="334"/>
      <c r="D143" s="386"/>
      <c r="E143" s="325">
        <v>0</v>
      </c>
      <c r="F143" s="323">
        <v>0</v>
      </c>
      <c r="G143" s="510">
        <f t="shared" si="6"/>
        <v>0</v>
      </c>
      <c r="H143" s="511">
        <f t="shared" si="7"/>
        <v>0</v>
      </c>
    </row>
    <row r="144" spans="1:8" ht="29">
      <c r="A144" s="384">
        <v>5</v>
      </c>
      <c r="B144" s="385" t="s">
        <v>741</v>
      </c>
      <c r="C144" s="334" t="s">
        <v>299</v>
      </c>
      <c r="D144" s="386" t="s">
        <v>648</v>
      </c>
      <c r="E144" s="325">
        <v>0</v>
      </c>
      <c r="F144" s="323">
        <v>0</v>
      </c>
      <c r="G144" s="510">
        <f t="shared" si="6"/>
        <v>0</v>
      </c>
      <c r="H144" s="511">
        <f t="shared" si="7"/>
        <v>0</v>
      </c>
    </row>
    <row r="145" spans="1:8">
      <c r="A145" s="384"/>
      <c r="B145" s="385"/>
      <c r="C145" s="334"/>
      <c r="D145" s="386"/>
      <c r="E145" s="325">
        <v>0</v>
      </c>
      <c r="F145" s="323">
        <v>0</v>
      </c>
      <c r="G145" s="510">
        <f t="shared" si="6"/>
        <v>0</v>
      </c>
      <c r="H145" s="511">
        <f t="shared" si="7"/>
        <v>0</v>
      </c>
    </row>
    <row r="146" spans="1:8" ht="58">
      <c r="A146" s="384">
        <v>6</v>
      </c>
      <c r="B146" s="385" t="s">
        <v>742</v>
      </c>
      <c r="C146" s="334" t="s">
        <v>299</v>
      </c>
      <c r="D146" s="386">
        <v>7</v>
      </c>
      <c r="E146" s="325">
        <v>4505</v>
      </c>
      <c r="F146" s="323">
        <v>550</v>
      </c>
      <c r="G146" s="510">
        <f t="shared" si="6"/>
        <v>31535</v>
      </c>
      <c r="H146" s="511">
        <f t="shared" si="7"/>
        <v>3850</v>
      </c>
    </row>
    <row r="147" spans="1:8">
      <c r="A147" s="384"/>
      <c r="B147" s="385"/>
      <c r="C147" s="334"/>
      <c r="D147" s="386"/>
      <c r="E147" s="325">
        <v>0</v>
      </c>
      <c r="F147" s="323">
        <v>0</v>
      </c>
      <c r="G147" s="510">
        <f t="shared" si="6"/>
        <v>0</v>
      </c>
      <c r="H147" s="511">
        <f t="shared" si="7"/>
        <v>0</v>
      </c>
    </row>
    <row r="148" spans="1:8" ht="62.5" customHeight="1">
      <c r="A148" s="384">
        <v>7</v>
      </c>
      <c r="B148" s="385" t="s">
        <v>743</v>
      </c>
      <c r="C148" s="334" t="s">
        <v>299</v>
      </c>
      <c r="D148" s="386">
        <v>21</v>
      </c>
      <c r="E148" s="325">
        <v>4240</v>
      </c>
      <c r="F148" s="323">
        <v>550</v>
      </c>
      <c r="G148" s="510">
        <f t="shared" si="6"/>
        <v>89040</v>
      </c>
      <c r="H148" s="511">
        <f t="shared" si="7"/>
        <v>11550</v>
      </c>
    </row>
    <row r="149" spans="1:8">
      <c r="A149" s="384"/>
      <c r="B149" s="385"/>
      <c r="C149" s="334"/>
      <c r="D149" s="386"/>
      <c r="E149" s="325">
        <v>0</v>
      </c>
      <c r="F149" s="323">
        <v>0</v>
      </c>
      <c r="G149" s="510">
        <f t="shared" si="6"/>
        <v>0</v>
      </c>
      <c r="H149" s="511">
        <f t="shared" si="7"/>
        <v>0</v>
      </c>
    </row>
    <row r="150" spans="1:8" ht="43.5">
      <c r="A150" s="384">
        <v>8</v>
      </c>
      <c r="B150" s="385" t="s">
        <v>744</v>
      </c>
      <c r="C150" s="334" t="s">
        <v>299</v>
      </c>
      <c r="D150" s="386" t="s">
        <v>648</v>
      </c>
      <c r="E150" s="325">
        <v>0</v>
      </c>
      <c r="F150" s="323">
        <v>0</v>
      </c>
      <c r="G150" s="510">
        <f t="shared" si="6"/>
        <v>0</v>
      </c>
      <c r="H150" s="511">
        <f t="shared" si="7"/>
        <v>0</v>
      </c>
    </row>
    <row r="151" spans="1:8">
      <c r="A151" s="384"/>
      <c r="B151" s="385"/>
      <c r="C151" s="334"/>
      <c r="D151" s="386"/>
      <c r="E151" s="325">
        <v>0</v>
      </c>
      <c r="F151" s="323">
        <v>0</v>
      </c>
      <c r="G151" s="510">
        <f t="shared" si="6"/>
        <v>0</v>
      </c>
      <c r="H151" s="511">
        <f t="shared" si="7"/>
        <v>0</v>
      </c>
    </row>
    <row r="152" spans="1:8" ht="43.5">
      <c r="A152" s="384">
        <v>9</v>
      </c>
      <c r="B152" s="385" t="s">
        <v>745</v>
      </c>
      <c r="C152" s="334" t="s">
        <v>299</v>
      </c>
      <c r="D152" s="386" t="s">
        <v>648</v>
      </c>
      <c r="E152" s="325">
        <v>0</v>
      </c>
      <c r="F152" s="323">
        <v>0</v>
      </c>
      <c r="G152" s="510">
        <f t="shared" si="6"/>
        <v>0</v>
      </c>
      <c r="H152" s="511">
        <f t="shared" si="7"/>
        <v>0</v>
      </c>
    </row>
    <row r="153" spans="1:8">
      <c r="A153" s="384"/>
      <c r="B153" s="385"/>
      <c r="C153" s="334"/>
      <c r="D153" s="386"/>
      <c r="E153" s="325">
        <v>0</v>
      </c>
      <c r="F153" s="323">
        <v>0</v>
      </c>
      <c r="G153" s="510">
        <f t="shared" si="6"/>
        <v>0</v>
      </c>
      <c r="H153" s="511">
        <f t="shared" si="7"/>
        <v>0</v>
      </c>
    </row>
    <row r="154" spans="1:8" ht="43.5">
      <c r="A154" s="384">
        <v>10</v>
      </c>
      <c r="B154" s="385" t="s">
        <v>746</v>
      </c>
      <c r="C154" s="334" t="s">
        <v>299</v>
      </c>
      <c r="D154" s="386" t="s">
        <v>648</v>
      </c>
      <c r="E154" s="325">
        <v>0</v>
      </c>
      <c r="F154" s="323">
        <v>0</v>
      </c>
      <c r="G154" s="510">
        <f t="shared" si="6"/>
        <v>0</v>
      </c>
      <c r="H154" s="511">
        <f t="shared" si="7"/>
        <v>0</v>
      </c>
    </row>
    <row r="155" spans="1:8">
      <c r="A155" s="384"/>
      <c r="B155" s="385"/>
      <c r="C155" s="334"/>
      <c r="D155" s="386"/>
      <c r="E155" s="325">
        <v>0</v>
      </c>
      <c r="F155" s="323">
        <v>0</v>
      </c>
      <c r="G155" s="510">
        <f t="shared" si="6"/>
        <v>0</v>
      </c>
      <c r="H155" s="511">
        <f t="shared" si="7"/>
        <v>0</v>
      </c>
    </row>
    <row r="156" spans="1:8" ht="29">
      <c r="A156" s="384">
        <v>11</v>
      </c>
      <c r="B156" s="380" t="s">
        <v>747</v>
      </c>
      <c r="C156" s="334" t="s">
        <v>299</v>
      </c>
      <c r="D156" s="386">
        <v>7</v>
      </c>
      <c r="E156" s="325">
        <v>4346</v>
      </c>
      <c r="F156" s="323">
        <v>550</v>
      </c>
      <c r="G156" s="510">
        <f t="shared" si="6"/>
        <v>30422</v>
      </c>
      <c r="H156" s="511">
        <f t="shared" si="7"/>
        <v>3850</v>
      </c>
    </row>
    <row r="157" spans="1:8">
      <c r="A157" s="384"/>
      <c r="B157" s="385"/>
      <c r="C157" s="334"/>
      <c r="D157" s="386"/>
      <c r="E157" s="325">
        <v>0</v>
      </c>
      <c r="F157" s="323">
        <v>0</v>
      </c>
      <c r="G157" s="510">
        <f t="shared" si="6"/>
        <v>0</v>
      </c>
      <c r="H157" s="511">
        <f t="shared" si="7"/>
        <v>0</v>
      </c>
    </row>
    <row r="158" spans="1:8" ht="39" customHeight="1">
      <c r="A158" s="384">
        <v>12</v>
      </c>
      <c r="B158" s="385" t="s">
        <v>748</v>
      </c>
      <c r="C158" s="334" t="s">
        <v>299</v>
      </c>
      <c r="D158" s="386">
        <v>1750</v>
      </c>
      <c r="E158" s="325">
        <v>95</v>
      </c>
      <c r="F158" s="323">
        <v>25</v>
      </c>
      <c r="G158" s="510">
        <f t="shared" si="6"/>
        <v>166250</v>
      </c>
      <c r="H158" s="511">
        <f t="shared" si="7"/>
        <v>43750</v>
      </c>
    </row>
    <row r="159" spans="1:8">
      <c r="A159" s="384"/>
      <c r="B159" s="385"/>
      <c r="C159" s="334"/>
      <c r="D159" s="386"/>
      <c r="E159" s="325">
        <v>0</v>
      </c>
      <c r="F159" s="323">
        <v>0</v>
      </c>
      <c r="G159" s="510">
        <f t="shared" si="6"/>
        <v>0</v>
      </c>
      <c r="H159" s="511">
        <f t="shared" si="7"/>
        <v>0</v>
      </c>
    </row>
    <row r="160" spans="1:8" ht="29">
      <c r="A160" s="384">
        <v>13</v>
      </c>
      <c r="B160" s="385" t="s">
        <v>749</v>
      </c>
      <c r="C160" s="334" t="s">
        <v>396</v>
      </c>
      <c r="D160" s="386" t="s">
        <v>648</v>
      </c>
      <c r="E160" s="325">
        <v>0</v>
      </c>
      <c r="F160" s="323">
        <v>0</v>
      </c>
      <c r="G160" s="510">
        <f t="shared" si="6"/>
        <v>0</v>
      </c>
      <c r="H160" s="511">
        <f t="shared" si="7"/>
        <v>0</v>
      </c>
    </row>
    <row r="161" spans="1:8">
      <c r="A161" s="384"/>
      <c r="B161" s="385"/>
      <c r="C161" s="334"/>
      <c r="D161" s="386"/>
      <c r="E161" s="325">
        <v>0</v>
      </c>
      <c r="F161" s="323">
        <v>0</v>
      </c>
      <c r="G161" s="510">
        <f t="shared" si="6"/>
        <v>0</v>
      </c>
      <c r="H161" s="511">
        <f t="shared" si="7"/>
        <v>0</v>
      </c>
    </row>
    <row r="162" spans="1:8" ht="29">
      <c r="A162" s="384">
        <v>14</v>
      </c>
      <c r="B162" s="385" t="s">
        <v>750</v>
      </c>
      <c r="C162" s="334"/>
      <c r="D162" s="386"/>
      <c r="E162" s="325">
        <v>0</v>
      </c>
      <c r="F162" s="323">
        <v>0</v>
      </c>
      <c r="G162" s="510">
        <f t="shared" si="6"/>
        <v>0</v>
      </c>
      <c r="H162" s="511">
        <f t="shared" si="7"/>
        <v>0</v>
      </c>
    </row>
    <row r="163" spans="1:8">
      <c r="A163" s="384"/>
      <c r="B163" s="385" t="s">
        <v>751</v>
      </c>
      <c r="C163" s="334" t="s">
        <v>396</v>
      </c>
      <c r="D163" s="386">
        <v>75</v>
      </c>
      <c r="E163" s="325">
        <v>90</v>
      </c>
      <c r="F163" s="323">
        <v>25</v>
      </c>
      <c r="G163" s="510">
        <f t="shared" si="6"/>
        <v>6750</v>
      </c>
      <c r="H163" s="511">
        <f t="shared" si="7"/>
        <v>1875</v>
      </c>
    </row>
    <row r="164" spans="1:8">
      <c r="A164" s="384"/>
      <c r="B164" s="385" t="s">
        <v>752</v>
      </c>
      <c r="C164" s="334" t="s">
        <v>396</v>
      </c>
      <c r="D164" s="386" t="s">
        <v>648</v>
      </c>
      <c r="E164" s="325">
        <v>0</v>
      </c>
      <c r="F164" s="323">
        <v>0</v>
      </c>
      <c r="G164" s="510">
        <f t="shared" si="6"/>
        <v>0</v>
      </c>
      <c r="H164" s="511">
        <f t="shared" si="7"/>
        <v>0</v>
      </c>
    </row>
    <row r="165" spans="1:8">
      <c r="A165" s="384"/>
      <c r="B165" s="385" t="s">
        <v>753</v>
      </c>
      <c r="C165" s="334" t="s">
        <v>396</v>
      </c>
      <c r="D165" s="386" t="s">
        <v>648</v>
      </c>
      <c r="E165" s="325">
        <v>0</v>
      </c>
      <c r="F165" s="323">
        <v>0</v>
      </c>
      <c r="G165" s="510">
        <f t="shared" si="6"/>
        <v>0</v>
      </c>
      <c r="H165" s="511">
        <f t="shared" si="7"/>
        <v>0</v>
      </c>
    </row>
    <row r="166" spans="1:8">
      <c r="A166" s="384"/>
      <c r="B166" s="385"/>
      <c r="C166" s="334"/>
      <c r="D166" s="386"/>
      <c r="E166" s="325">
        <v>0</v>
      </c>
      <c r="F166" s="323">
        <v>0</v>
      </c>
      <c r="G166" s="510">
        <f t="shared" si="6"/>
        <v>0</v>
      </c>
      <c r="H166" s="511">
        <f t="shared" si="7"/>
        <v>0</v>
      </c>
    </row>
    <row r="167" spans="1:8" ht="43.5">
      <c r="A167" s="405">
        <v>15</v>
      </c>
      <c r="B167" s="406" t="s">
        <v>754</v>
      </c>
      <c r="C167" s="345" t="s">
        <v>396</v>
      </c>
      <c r="D167" s="407" t="s">
        <v>648</v>
      </c>
      <c r="E167" s="325">
        <v>0</v>
      </c>
      <c r="F167" s="323">
        <v>0</v>
      </c>
      <c r="G167" s="516">
        <f t="shared" si="6"/>
        <v>0</v>
      </c>
      <c r="H167" s="517">
        <f t="shared" si="7"/>
        <v>0</v>
      </c>
    </row>
    <row r="168" spans="1:8">
      <c r="A168" s="314"/>
      <c r="B168" s="315" t="s">
        <v>755</v>
      </c>
      <c r="C168" s="367"/>
      <c r="D168" s="311"/>
      <c r="E168" s="484"/>
      <c r="F168" s="484"/>
      <c r="G168" s="518">
        <f>SUM(G135:G167)</f>
        <v>657897</v>
      </c>
      <c r="H168" s="518">
        <f>SUM(H135:H167)</f>
        <v>111025</v>
      </c>
    </row>
    <row r="169" spans="1:8">
      <c r="A169" s="388"/>
      <c r="B169" s="397"/>
      <c r="C169" s="398"/>
      <c r="D169" s="408"/>
      <c r="E169" s="487"/>
      <c r="F169" s="487"/>
      <c r="G169" s="508"/>
      <c r="H169" s="509"/>
    </row>
    <row r="170" spans="1:8">
      <c r="A170" s="314" t="s">
        <v>635</v>
      </c>
      <c r="B170" s="315" t="s">
        <v>756</v>
      </c>
      <c r="C170" s="367"/>
      <c r="D170" s="311"/>
      <c r="E170" s="484"/>
      <c r="F170" s="484"/>
      <c r="G170" s="518"/>
      <c r="H170" s="518"/>
    </row>
    <row r="171" spans="1:8">
      <c r="A171" s="409"/>
      <c r="B171" s="410" t="s">
        <v>757</v>
      </c>
      <c r="C171" s="328"/>
      <c r="D171" s="411"/>
      <c r="E171" s="325">
        <v>0</v>
      </c>
      <c r="F171" s="323">
        <v>0</v>
      </c>
      <c r="G171" s="512">
        <f t="shared" si="6"/>
        <v>0</v>
      </c>
      <c r="H171" s="513">
        <f t="shared" si="7"/>
        <v>0</v>
      </c>
    </row>
    <row r="172" spans="1:8" ht="130.5">
      <c r="A172" s="393"/>
      <c r="B172" s="335" t="s">
        <v>758</v>
      </c>
      <c r="C172" s="334" t="s">
        <v>299</v>
      </c>
      <c r="D172" s="412">
        <v>1</v>
      </c>
      <c r="E172" s="325">
        <v>327000</v>
      </c>
      <c r="F172" s="323">
        <v>32000</v>
      </c>
      <c r="G172" s="510">
        <f t="shared" si="6"/>
        <v>327000</v>
      </c>
      <c r="H172" s="511">
        <f t="shared" si="7"/>
        <v>32000</v>
      </c>
    </row>
    <row r="173" spans="1:8">
      <c r="A173" s="393"/>
      <c r="B173" s="413"/>
      <c r="C173" s="414"/>
      <c r="D173" s="359"/>
      <c r="E173" s="325">
        <v>0</v>
      </c>
      <c r="F173" s="323">
        <v>0</v>
      </c>
      <c r="G173" s="530">
        <f t="shared" si="6"/>
        <v>0</v>
      </c>
      <c r="H173" s="531">
        <f t="shared" si="7"/>
        <v>0</v>
      </c>
    </row>
    <row r="174" spans="1:8">
      <c r="A174" s="393"/>
      <c r="B174" s="415" t="s">
        <v>759</v>
      </c>
      <c r="C174" s="414"/>
      <c r="D174" s="359"/>
      <c r="E174" s="325">
        <v>0</v>
      </c>
      <c r="F174" s="323">
        <v>0</v>
      </c>
      <c r="G174" s="530">
        <f t="shared" si="6"/>
        <v>0</v>
      </c>
      <c r="H174" s="531">
        <f t="shared" si="7"/>
        <v>0</v>
      </c>
    </row>
    <row r="175" spans="1:8">
      <c r="A175" s="393"/>
      <c r="B175" s="416" t="s">
        <v>760</v>
      </c>
      <c r="C175" s="414"/>
      <c r="D175" s="359"/>
      <c r="E175" s="325">
        <v>0</v>
      </c>
      <c r="F175" s="323">
        <v>0</v>
      </c>
      <c r="G175" s="530">
        <f t="shared" si="6"/>
        <v>0</v>
      </c>
      <c r="H175" s="531">
        <f t="shared" si="7"/>
        <v>0</v>
      </c>
    </row>
    <row r="176" spans="1:8">
      <c r="A176" s="393"/>
      <c r="B176" s="413" t="s">
        <v>761</v>
      </c>
      <c r="C176" s="414"/>
      <c r="D176" s="359"/>
      <c r="E176" s="325">
        <v>0</v>
      </c>
      <c r="F176" s="323">
        <v>0</v>
      </c>
      <c r="G176" s="530">
        <f t="shared" si="6"/>
        <v>0</v>
      </c>
      <c r="H176" s="531">
        <f t="shared" si="7"/>
        <v>0</v>
      </c>
    </row>
    <row r="177" spans="1:8">
      <c r="A177" s="393"/>
      <c r="B177" s="417" t="s">
        <v>762</v>
      </c>
      <c r="C177" s="414"/>
      <c r="D177" s="359"/>
      <c r="E177" s="325">
        <v>0</v>
      </c>
      <c r="F177" s="323">
        <v>0</v>
      </c>
      <c r="G177" s="530">
        <f t="shared" si="6"/>
        <v>0</v>
      </c>
      <c r="H177" s="531">
        <f t="shared" si="7"/>
        <v>0</v>
      </c>
    </row>
    <row r="178" spans="1:8">
      <c r="A178" s="393"/>
      <c r="B178" s="417" t="s">
        <v>763</v>
      </c>
      <c r="C178" s="414"/>
      <c r="D178" s="359"/>
      <c r="E178" s="325">
        <v>0</v>
      </c>
      <c r="F178" s="323">
        <v>0</v>
      </c>
      <c r="G178" s="530">
        <f t="shared" si="6"/>
        <v>0</v>
      </c>
      <c r="H178" s="531">
        <f t="shared" si="7"/>
        <v>0</v>
      </c>
    </row>
    <row r="179" spans="1:8">
      <c r="A179" s="393"/>
      <c r="B179" s="417" t="s">
        <v>764</v>
      </c>
      <c r="C179" s="414"/>
      <c r="D179" s="359"/>
      <c r="E179" s="325">
        <v>0</v>
      </c>
      <c r="F179" s="323">
        <v>0</v>
      </c>
      <c r="G179" s="530">
        <f t="shared" si="6"/>
        <v>0</v>
      </c>
      <c r="H179" s="531">
        <f t="shared" si="7"/>
        <v>0</v>
      </c>
    </row>
    <row r="180" spans="1:8">
      <c r="A180" s="393"/>
      <c r="B180" s="413" t="s">
        <v>765</v>
      </c>
      <c r="C180" s="414"/>
      <c r="D180" s="359"/>
      <c r="E180" s="325">
        <v>0</v>
      </c>
      <c r="F180" s="323">
        <v>0</v>
      </c>
      <c r="G180" s="530">
        <f t="shared" si="6"/>
        <v>0</v>
      </c>
      <c r="H180" s="531">
        <f t="shared" si="7"/>
        <v>0</v>
      </c>
    </row>
    <row r="181" spans="1:8">
      <c r="A181" s="393"/>
      <c r="B181" s="413"/>
      <c r="C181" s="414"/>
      <c r="D181" s="359"/>
      <c r="E181" s="325">
        <v>0</v>
      </c>
      <c r="F181" s="323">
        <v>0</v>
      </c>
      <c r="G181" s="530">
        <f t="shared" si="6"/>
        <v>0</v>
      </c>
      <c r="H181" s="531">
        <f t="shared" si="7"/>
        <v>0</v>
      </c>
    </row>
    <row r="182" spans="1:8">
      <c r="A182" s="393"/>
      <c r="B182" s="418" t="s">
        <v>766</v>
      </c>
      <c r="C182" s="414"/>
      <c r="D182" s="359"/>
      <c r="E182" s="325">
        <v>0</v>
      </c>
      <c r="F182" s="323">
        <v>0</v>
      </c>
      <c r="G182" s="530">
        <f t="shared" si="6"/>
        <v>0</v>
      </c>
      <c r="H182" s="531">
        <f t="shared" si="7"/>
        <v>0</v>
      </c>
    </row>
    <row r="183" spans="1:8">
      <c r="A183" s="393"/>
      <c r="B183" s="417" t="s">
        <v>767</v>
      </c>
      <c r="C183" s="414"/>
      <c r="D183" s="359"/>
      <c r="E183" s="325">
        <v>0</v>
      </c>
      <c r="F183" s="323">
        <v>0</v>
      </c>
      <c r="G183" s="530">
        <f t="shared" si="6"/>
        <v>0</v>
      </c>
      <c r="H183" s="531">
        <f t="shared" si="7"/>
        <v>0</v>
      </c>
    </row>
    <row r="184" spans="1:8">
      <c r="A184" s="393"/>
      <c r="B184" s="413" t="s">
        <v>768</v>
      </c>
      <c r="C184" s="414"/>
      <c r="D184" s="359"/>
      <c r="E184" s="325">
        <v>0</v>
      </c>
      <c r="F184" s="323">
        <v>0</v>
      </c>
      <c r="G184" s="530">
        <f t="shared" si="6"/>
        <v>0</v>
      </c>
      <c r="H184" s="531">
        <f t="shared" si="7"/>
        <v>0</v>
      </c>
    </row>
    <row r="185" spans="1:8">
      <c r="A185" s="393"/>
      <c r="B185" s="417" t="s">
        <v>769</v>
      </c>
      <c r="C185" s="414"/>
      <c r="D185" s="359"/>
      <c r="E185" s="325">
        <v>0</v>
      </c>
      <c r="F185" s="323">
        <v>0</v>
      </c>
      <c r="G185" s="530">
        <f t="shared" si="6"/>
        <v>0</v>
      </c>
      <c r="H185" s="531">
        <f t="shared" si="7"/>
        <v>0</v>
      </c>
    </row>
    <row r="186" spans="1:8">
      <c r="A186" s="393"/>
      <c r="B186" s="413" t="s">
        <v>770</v>
      </c>
      <c r="C186" s="414"/>
      <c r="D186" s="359"/>
      <c r="E186" s="325">
        <v>0</v>
      </c>
      <c r="F186" s="323">
        <v>0</v>
      </c>
      <c r="G186" s="530">
        <f t="shared" si="6"/>
        <v>0</v>
      </c>
      <c r="H186" s="531">
        <f t="shared" si="7"/>
        <v>0</v>
      </c>
    </row>
    <row r="187" spans="1:8">
      <c r="A187" s="393"/>
      <c r="B187" s="413" t="s">
        <v>771</v>
      </c>
      <c r="C187" s="414"/>
      <c r="D187" s="359"/>
      <c r="E187" s="325">
        <v>0</v>
      </c>
      <c r="F187" s="323">
        <v>0</v>
      </c>
      <c r="G187" s="530">
        <f t="shared" si="6"/>
        <v>0</v>
      </c>
      <c r="H187" s="531">
        <f t="shared" si="7"/>
        <v>0</v>
      </c>
    </row>
    <row r="188" spans="1:8">
      <c r="A188" s="393"/>
      <c r="B188" s="385" t="s">
        <v>772</v>
      </c>
      <c r="C188" s="419" t="s">
        <v>685</v>
      </c>
      <c r="D188" s="361">
        <v>1</v>
      </c>
      <c r="E188" s="325">
        <v>65000</v>
      </c>
      <c r="F188" s="323">
        <v>15000</v>
      </c>
      <c r="G188" s="521">
        <f t="shared" si="6"/>
        <v>65000</v>
      </c>
      <c r="H188" s="522">
        <f t="shared" si="7"/>
        <v>15000</v>
      </c>
    </row>
    <row r="189" spans="1:8">
      <c r="A189" s="393"/>
      <c r="B189" s="413"/>
      <c r="C189" s="419"/>
      <c r="D189" s="361"/>
      <c r="E189" s="325">
        <v>0</v>
      </c>
      <c r="F189" s="323">
        <v>0</v>
      </c>
      <c r="G189" s="521">
        <f t="shared" si="6"/>
        <v>0</v>
      </c>
      <c r="H189" s="522">
        <f t="shared" si="7"/>
        <v>0</v>
      </c>
    </row>
    <row r="190" spans="1:8">
      <c r="A190" s="393"/>
      <c r="B190" s="418" t="s">
        <v>773</v>
      </c>
      <c r="C190" s="419"/>
      <c r="D190" s="361"/>
      <c r="E190" s="325">
        <v>0</v>
      </c>
      <c r="F190" s="323">
        <v>0</v>
      </c>
      <c r="G190" s="521">
        <f t="shared" si="6"/>
        <v>0</v>
      </c>
      <c r="H190" s="522">
        <f t="shared" si="7"/>
        <v>0</v>
      </c>
    </row>
    <row r="191" spans="1:8" ht="29">
      <c r="A191" s="384">
        <v>1</v>
      </c>
      <c r="B191" s="413" t="s">
        <v>774</v>
      </c>
      <c r="C191" s="419" t="s">
        <v>775</v>
      </c>
      <c r="D191" s="361">
        <v>30</v>
      </c>
      <c r="E191" s="325">
        <v>106</v>
      </c>
      <c r="F191" s="323">
        <v>53</v>
      </c>
      <c r="G191" s="521">
        <f t="shared" si="6"/>
        <v>3180</v>
      </c>
      <c r="H191" s="522">
        <f t="shared" si="7"/>
        <v>1590</v>
      </c>
    </row>
    <row r="192" spans="1:8">
      <c r="A192" s="384"/>
      <c r="B192" s="413"/>
      <c r="C192" s="419"/>
      <c r="D192" s="361"/>
      <c r="E192" s="325">
        <v>0</v>
      </c>
      <c r="F192" s="323">
        <v>0</v>
      </c>
      <c r="G192" s="521">
        <f t="shared" si="6"/>
        <v>0</v>
      </c>
      <c r="H192" s="522">
        <f t="shared" si="7"/>
        <v>0</v>
      </c>
    </row>
    <row r="193" spans="1:8" ht="29">
      <c r="A193" s="384">
        <v>2</v>
      </c>
      <c r="B193" s="413" t="s">
        <v>776</v>
      </c>
      <c r="C193" s="419" t="s">
        <v>396</v>
      </c>
      <c r="D193" s="361" t="s">
        <v>648</v>
      </c>
      <c r="E193" s="325">
        <v>0</v>
      </c>
      <c r="F193" s="323">
        <v>0</v>
      </c>
      <c r="G193" s="521">
        <f t="shared" si="6"/>
        <v>0</v>
      </c>
      <c r="H193" s="522">
        <f t="shared" si="7"/>
        <v>0</v>
      </c>
    </row>
    <row r="194" spans="1:8">
      <c r="A194" s="384"/>
      <c r="B194" s="413"/>
      <c r="C194" s="419"/>
      <c r="D194" s="361"/>
      <c r="E194" s="325">
        <v>0</v>
      </c>
      <c r="F194" s="323">
        <v>0</v>
      </c>
      <c r="G194" s="521">
        <f t="shared" si="6"/>
        <v>0</v>
      </c>
      <c r="H194" s="522">
        <f t="shared" si="7"/>
        <v>0</v>
      </c>
    </row>
    <row r="195" spans="1:8" ht="29">
      <c r="A195" s="384">
        <v>3</v>
      </c>
      <c r="B195" s="413" t="s">
        <v>777</v>
      </c>
      <c r="C195" s="419" t="s">
        <v>396</v>
      </c>
      <c r="D195" s="361">
        <v>30</v>
      </c>
      <c r="E195" s="325">
        <v>750</v>
      </c>
      <c r="F195" s="323">
        <v>250</v>
      </c>
      <c r="G195" s="521">
        <f t="shared" si="6"/>
        <v>22500</v>
      </c>
      <c r="H195" s="522">
        <f t="shared" si="7"/>
        <v>7500</v>
      </c>
    </row>
    <row r="196" spans="1:8">
      <c r="A196" s="420"/>
      <c r="B196" s="421"/>
      <c r="C196" s="422"/>
      <c r="D196" s="365"/>
      <c r="E196" s="325">
        <v>0</v>
      </c>
      <c r="F196" s="323">
        <v>0</v>
      </c>
      <c r="G196" s="514">
        <f t="shared" si="6"/>
        <v>0</v>
      </c>
      <c r="H196" s="515">
        <f t="shared" si="7"/>
        <v>0</v>
      </c>
    </row>
    <row r="197" spans="1:8" s="342" customFormat="1">
      <c r="A197" s="393">
        <v>4</v>
      </c>
      <c r="B197" s="418" t="s">
        <v>778</v>
      </c>
      <c r="C197" s="414"/>
      <c r="D197" s="359"/>
      <c r="E197" s="325">
        <v>0</v>
      </c>
      <c r="F197" s="323">
        <v>0</v>
      </c>
      <c r="G197" s="530">
        <f t="shared" si="6"/>
        <v>0</v>
      </c>
      <c r="H197" s="531">
        <f t="shared" si="7"/>
        <v>0</v>
      </c>
    </row>
    <row r="198" spans="1:8" ht="29">
      <c r="A198" s="402"/>
      <c r="B198" s="423" t="s">
        <v>779</v>
      </c>
      <c r="C198" s="424"/>
      <c r="D198" s="425"/>
      <c r="E198" s="325">
        <v>0</v>
      </c>
      <c r="F198" s="323">
        <v>0</v>
      </c>
      <c r="G198" s="532">
        <f t="shared" si="6"/>
        <v>0</v>
      </c>
      <c r="H198" s="533">
        <f t="shared" si="7"/>
        <v>0</v>
      </c>
    </row>
    <row r="199" spans="1:8">
      <c r="A199" s="426">
        <v>5.0999999999999996</v>
      </c>
      <c r="B199" s="427" t="s">
        <v>780</v>
      </c>
      <c r="C199" s="422" t="s">
        <v>299</v>
      </c>
      <c r="D199" s="365">
        <v>1</v>
      </c>
      <c r="E199" s="325">
        <v>9010</v>
      </c>
      <c r="F199" s="323">
        <v>4240</v>
      </c>
      <c r="G199" s="514">
        <f t="shared" si="6"/>
        <v>9010</v>
      </c>
      <c r="H199" s="515">
        <f t="shared" si="7"/>
        <v>4240</v>
      </c>
    </row>
    <row r="200" spans="1:8">
      <c r="A200" s="426"/>
      <c r="B200" s="427"/>
      <c r="C200" s="422"/>
      <c r="D200" s="365"/>
      <c r="E200" s="325">
        <v>0</v>
      </c>
      <c r="F200" s="323">
        <v>0</v>
      </c>
      <c r="G200" s="514">
        <f t="shared" si="6"/>
        <v>0</v>
      </c>
      <c r="H200" s="515">
        <f t="shared" si="7"/>
        <v>0</v>
      </c>
    </row>
    <row r="201" spans="1:8" s="342" customFormat="1">
      <c r="A201" s="393">
        <v>6</v>
      </c>
      <c r="B201" s="418" t="s">
        <v>781</v>
      </c>
      <c r="C201" s="414"/>
      <c r="D201" s="359"/>
      <c r="E201" s="325">
        <v>0</v>
      </c>
      <c r="F201" s="323">
        <v>0</v>
      </c>
      <c r="G201" s="530">
        <f t="shared" si="6"/>
        <v>0</v>
      </c>
      <c r="H201" s="531">
        <f t="shared" si="7"/>
        <v>0</v>
      </c>
    </row>
    <row r="202" spans="1:8" ht="29">
      <c r="A202" s="402"/>
      <c r="B202" s="428" t="s">
        <v>782</v>
      </c>
      <c r="C202" s="424"/>
      <c r="D202" s="425"/>
      <c r="E202" s="325">
        <v>0</v>
      </c>
      <c r="F202" s="323">
        <v>0</v>
      </c>
      <c r="G202" s="532">
        <f t="shared" ref="G202:G265" si="8">E202*D202</f>
        <v>0</v>
      </c>
      <c r="H202" s="533">
        <f t="shared" ref="H202:H265" si="9">F202*D202</f>
        <v>0</v>
      </c>
    </row>
    <row r="203" spans="1:8">
      <c r="A203" s="384"/>
      <c r="B203" s="385" t="s">
        <v>657</v>
      </c>
      <c r="C203" s="419"/>
      <c r="D203" s="361"/>
      <c r="E203" s="325">
        <v>0</v>
      </c>
      <c r="F203" s="323">
        <v>0</v>
      </c>
      <c r="G203" s="521">
        <f t="shared" si="8"/>
        <v>0</v>
      </c>
      <c r="H203" s="522">
        <f t="shared" si="9"/>
        <v>0</v>
      </c>
    </row>
    <row r="204" spans="1:8">
      <c r="A204" s="429">
        <v>6.1</v>
      </c>
      <c r="B204" s="417" t="s">
        <v>783</v>
      </c>
      <c r="C204" s="419" t="s">
        <v>299</v>
      </c>
      <c r="D204" s="361">
        <v>1</v>
      </c>
      <c r="E204" s="325">
        <v>9010</v>
      </c>
      <c r="F204" s="323">
        <v>4240</v>
      </c>
      <c r="G204" s="521">
        <f t="shared" si="8"/>
        <v>9010</v>
      </c>
      <c r="H204" s="522">
        <f t="shared" si="9"/>
        <v>4240</v>
      </c>
    </row>
    <row r="205" spans="1:8">
      <c r="A205" s="405"/>
      <c r="B205" s="430"/>
      <c r="C205" s="422"/>
      <c r="D205" s="365"/>
      <c r="E205" s="325">
        <v>0</v>
      </c>
      <c r="F205" s="323">
        <v>0</v>
      </c>
      <c r="G205" s="523">
        <f t="shared" si="8"/>
        <v>0</v>
      </c>
      <c r="H205" s="524">
        <f t="shared" si="9"/>
        <v>0</v>
      </c>
    </row>
    <row r="206" spans="1:8" s="342" customFormat="1">
      <c r="A206" s="393">
        <v>7</v>
      </c>
      <c r="B206" s="418" t="s">
        <v>784</v>
      </c>
      <c r="C206" s="414"/>
      <c r="D206" s="359"/>
      <c r="E206" s="325">
        <v>0</v>
      </c>
      <c r="F206" s="323">
        <v>0</v>
      </c>
      <c r="G206" s="530">
        <f t="shared" si="8"/>
        <v>0</v>
      </c>
      <c r="H206" s="531">
        <f t="shared" si="9"/>
        <v>0</v>
      </c>
    </row>
    <row r="207" spans="1:8" ht="29">
      <c r="A207" s="402"/>
      <c r="B207" s="423" t="s">
        <v>785</v>
      </c>
      <c r="C207" s="424"/>
      <c r="D207" s="425"/>
      <c r="E207" s="325">
        <v>0</v>
      </c>
      <c r="F207" s="323">
        <v>0</v>
      </c>
      <c r="G207" s="532">
        <f t="shared" si="8"/>
        <v>0</v>
      </c>
      <c r="H207" s="533">
        <f t="shared" si="9"/>
        <v>0</v>
      </c>
    </row>
    <row r="208" spans="1:8">
      <c r="A208" s="429">
        <v>7.1</v>
      </c>
      <c r="B208" s="413" t="s">
        <v>786</v>
      </c>
      <c r="C208" s="419" t="s">
        <v>299</v>
      </c>
      <c r="D208" s="361">
        <v>1</v>
      </c>
      <c r="E208" s="325">
        <v>9010</v>
      </c>
      <c r="F208" s="323">
        <v>2650</v>
      </c>
      <c r="G208" s="521">
        <f t="shared" si="8"/>
        <v>9010</v>
      </c>
      <c r="H208" s="522">
        <f t="shared" si="9"/>
        <v>2650</v>
      </c>
    </row>
    <row r="209" spans="1:8">
      <c r="A209" s="429">
        <v>7.2</v>
      </c>
      <c r="B209" s="413" t="s">
        <v>787</v>
      </c>
      <c r="C209" s="419" t="s">
        <v>299</v>
      </c>
      <c r="D209" s="361">
        <v>2</v>
      </c>
      <c r="E209" s="325">
        <v>13250</v>
      </c>
      <c r="F209" s="323">
        <v>2650</v>
      </c>
      <c r="G209" s="521">
        <f t="shared" si="8"/>
        <v>26500</v>
      </c>
      <c r="H209" s="522">
        <f t="shared" si="9"/>
        <v>5300</v>
      </c>
    </row>
    <row r="210" spans="1:8">
      <c r="A210" s="429">
        <v>7.3</v>
      </c>
      <c r="B210" s="413" t="s">
        <v>788</v>
      </c>
      <c r="C210" s="419" t="s">
        <v>299</v>
      </c>
      <c r="D210" s="361">
        <v>1</v>
      </c>
      <c r="E210" s="325">
        <v>13250</v>
      </c>
      <c r="F210" s="323">
        <v>2650</v>
      </c>
      <c r="G210" s="521">
        <f t="shared" si="8"/>
        <v>13250</v>
      </c>
      <c r="H210" s="522">
        <f t="shared" si="9"/>
        <v>2650</v>
      </c>
    </row>
    <row r="211" spans="1:8" s="342" customFormat="1">
      <c r="A211" s="393">
        <v>8</v>
      </c>
      <c r="B211" s="418" t="s">
        <v>789</v>
      </c>
      <c r="C211" s="414"/>
      <c r="D211" s="359"/>
      <c r="E211" s="325">
        <v>0</v>
      </c>
      <c r="F211" s="323">
        <v>0</v>
      </c>
      <c r="G211" s="530">
        <f t="shared" si="8"/>
        <v>0</v>
      </c>
      <c r="H211" s="531">
        <f t="shared" si="9"/>
        <v>0</v>
      </c>
    </row>
    <row r="212" spans="1:8" ht="43.5">
      <c r="A212" s="431">
        <v>8.1</v>
      </c>
      <c r="B212" s="432" t="s">
        <v>790</v>
      </c>
      <c r="C212" s="433" t="s">
        <v>299</v>
      </c>
      <c r="D212" s="434">
        <v>1</v>
      </c>
      <c r="E212" s="325">
        <v>2650</v>
      </c>
      <c r="F212" s="323">
        <v>530</v>
      </c>
      <c r="G212" s="534">
        <f t="shared" si="8"/>
        <v>2650</v>
      </c>
      <c r="H212" s="535">
        <f t="shared" si="9"/>
        <v>530</v>
      </c>
    </row>
    <row r="213" spans="1:8">
      <c r="A213" s="314"/>
      <c r="B213" s="315" t="s">
        <v>791</v>
      </c>
      <c r="C213" s="435"/>
      <c r="D213" s="436"/>
      <c r="E213" s="488"/>
      <c r="F213" s="488"/>
      <c r="G213" s="518">
        <f>SUM(G171:G212)</f>
        <v>487110</v>
      </c>
      <c r="H213" s="518">
        <f>SUM(H171:H212)</f>
        <v>75700</v>
      </c>
    </row>
    <row r="214" spans="1:8">
      <c r="A214" s="314" t="s">
        <v>636</v>
      </c>
      <c r="B214" s="315" t="s">
        <v>792</v>
      </c>
      <c r="C214" s="367"/>
      <c r="D214" s="311"/>
      <c r="E214" s="484"/>
      <c r="F214" s="484"/>
      <c r="G214" s="518"/>
      <c r="H214" s="518"/>
    </row>
    <row r="215" spans="1:8">
      <c r="A215" s="437"/>
      <c r="B215" s="438"/>
      <c r="C215" s="439"/>
      <c r="D215" s="440"/>
      <c r="E215" s="440"/>
      <c r="F215" s="440"/>
      <c r="G215" s="536"/>
      <c r="H215" s="536"/>
    </row>
    <row r="216" spans="1:8">
      <c r="A216" s="314">
        <v>1</v>
      </c>
      <c r="B216" s="315" t="s">
        <v>793</v>
      </c>
      <c r="C216" s="367"/>
      <c r="D216" s="311"/>
      <c r="E216" s="484"/>
      <c r="F216" s="484"/>
      <c r="G216" s="518">
        <f t="shared" si="8"/>
        <v>0</v>
      </c>
      <c r="H216" s="518">
        <f t="shared" si="9"/>
        <v>0</v>
      </c>
    </row>
    <row r="217" spans="1:8">
      <c r="A217" s="437"/>
      <c r="B217" s="441" t="s">
        <v>794</v>
      </c>
      <c r="C217" s="439"/>
      <c r="D217" s="440"/>
      <c r="E217" s="325">
        <v>0</v>
      </c>
      <c r="F217" s="323">
        <v>0</v>
      </c>
      <c r="G217" s="536">
        <f t="shared" si="8"/>
        <v>0</v>
      </c>
      <c r="H217" s="536">
        <f t="shared" si="9"/>
        <v>0</v>
      </c>
    </row>
    <row r="218" spans="1:8" ht="72.5">
      <c r="A218" s="437"/>
      <c r="B218" s="442" t="s">
        <v>795</v>
      </c>
      <c r="C218" s="443" t="s">
        <v>796</v>
      </c>
      <c r="D218" s="440" t="s">
        <v>648</v>
      </c>
      <c r="E218" s="325">
        <v>0</v>
      </c>
      <c r="F218" s="323">
        <v>0</v>
      </c>
      <c r="G218" s="537">
        <f t="shared" si="8"/>
        <v>0</v>
      </c>
      <c r="H218" s="537">
        <f t="shared" si="9"/>
        <v>0</v>
      </c>
    </row>
    <row r="219" spans="1:8">
      <c r="A219" s="437"/>
      <c r="B219" s="438"/>
      <c r="C219" s="443"/>
      <c r="D219" s="440"/>
      <c r="E219" s="325">
        <v>0</v>
      </c>
      <c r="F219" s="323">
        <v>0</v>
      </c>
      <c r="G219" s="536">
        <f t="shared" si="8"/>
        <v>0</v>
      </c>
      <c r="H219" s="536">
        <f t="shared" si="9"/>
        <v>0</v>
      </c>
    </row>
    <row r="220" spans="1:8">
      <c r="A220" s="437"/>
      <c r="B220" s="441" t="s">
        <v>797</v>
      </c>
      <c r="C220" s="443"/>
      <c r="D220" s="440"/>
      <c r="E220" s="325">
        <v>0</v>
      </c>
      <c r="F220" s="323">
        <v>0</v>
      </c>
      <c r="G220" s="536">
        <f t="shared" si="8"/>
        <v>0</v>
      </c>
      <c r="H220" s="536">
        <f t="shared" si="9"/>
        <v>0</v>
      </c>
    </row>
    <row r="221" spans="1:8" ht="87">
      <c r="A221" s="437"/>
      <c r="B221" s="442" t="s">
        <v>798</v>
      </c>
      <c r="C221" s="443" t="s">
        <v>796</v>
      </c>
      <c r="D221" s="440">
        <v>110</v>
      </c>
      <c r="E221" s="325">
        <v>1500</v>
      </c>
      <c r="F221" s="323">
        <v>350</v>
      </c>
      <c r="G221" s="536">
        <f>E221*D221</f>
        <v>165000</v>
      </c>
      <c r="H221" s="536">
        <f>F221*D221</f>
        <v>38500</v>
      </c>
    </row>
    <row r="222" spans="1:8">
      <c r="A222" s="437"/>
      <c r="B222" s="438"/>
      <c r="C222" s="443"/>
      <c r="D222" s="440"/>
      <c r="E222" s="325">
        <v>0</v>
      </c>
      <c r="F222" s="323">
        <v>0</v>
      </c>
      <c r="G222" s="536">
        <f t="shared" si="8"/>
        <v>0</v>
      </c>
      <c r="H222" s="536">
        <f t="shared" si="9"/>
        <v>0</v>
      </c>
    </row>
    <row r="223" spans="1:8">
      <c r="A223" s="437"/>
      <c r="B223" s="441" t="s">
        <v>799</v>
      </c>
      <c r="C223" s="443"/>
      <c r="D223" s="440"/>
      <c r="E223" s="325">
        <v>0</v>
      </c>
      <c r="F223" s="323">
        <v>0</v>
      </c>
      <c r="G223" s="536">
        <f t="shared" si="8"/>
        <v>0</v>
      </c>
      <c r="H223" s="536">
        <f t="shared" si="9"/>
        <v>0</v>
      </c>
    </row>
    <row r="224" spans="1:8" ht="72.5">
      <c r="A224" s="437"/>
      <c r="B224" s="442" t="s">
        <v>800</v>
      </c>
      <c r="C224" s="444" t="s">
        <v>796</v>
      </c>
      <c r="D224" s="445" t="s">
        <v>648</v>
      </c>
      <c r="E224" s="325">
        <v>0</v>
      </c>
      <c r="F224" s="323">
        <v>0</v>
      </c>
      <c r="G224" s="538">
        <f t="shared" si="8"/>
        <v>0</v>
      </c>
      <c r="H224" s="538">
        <f t="shared" si="9"/>
        <v>0</v>
      </c>
    </row>
    <row r="225" spans="1:8">
      <c r="A225" s="437"/>
      <c r="B225" s="446"/>
      <c r="C225" s="443"/>
      <c r="D225" s="440"/>
      <c r="E225" s="325">
        <v>0</v>
      </c>
      <c r="F225" s="323">
        <v>0</v>
      </c>
      <c r="G225" s="536">
        <f t="shared" si="8"/>
        <v>0</v>
      </c>
      <c r="H225" s="536">
        <f t="shared" si="9"/>
        <v>0</v>
      </c>
    </row>
    <row r="226" spans="1:8">
      <c r="A226" s="437"/>
      <c r="B226" s="441" t="s">
        <v>801</v>
      </c>
      <c r="C226" s="443"/>
      <c r="D226" s="440"/>
      <c r="E226" s="325">
        <v>0</v>
      </c>
      <c r="F226" s="323">
        <v>0</v>
      </c>
      <c r="G226" s="536">
        <f t="shared" si="8"/>
        <v>0</v>
      </c>
      <c r="H226" s="536">
        <f t="shared" si="9"/>
        <v>0</v>
      </c>
    </row>
    <row r="227" spans="1:8" ht="58">
      <c r="A227" s="437"/>
      <c r="B227" s="442" t="s">
        <v>802</v>
      </c>
      <c r="C227" s="444" t="s">
        <v>796</v>
      </c>
      <c r="D227" s="445">
        <v>110</v>
      </c>
      <c r="E227" s="325">
        <v>350</v>
      </c>
      <c r="F227" s="323">
        <v>100</v>
      </c>
      <c r="G227" s="538">
        <f t="shared" si="8"/>
        <v>38500</v>
      </c>
      <c r="H227" s="538">
        <f t="shared" si="9"/>
        <v>11000</v>
      </c>
    </row>
    <row r="228" spans="1:8">
      <c r="A228" s="437"/>
      <c r="B228" s="447"/>
      <c r="C228" s="444"/>
      <c r="D228" s="445"/>
      <c r="E228" s="325">
        <v>0</v>
      </c>
      <c r="F228" s="323">
        <v>0</v>
      </c>
      <c r="G228" s="538">
        <f t="shared" si="8"/>
        <v>0</v>
      </c>
      <c r="H228" s="538">
        <f t="shared" si="9"/>
        <v>0</v>
      </c>
    </row>
    <row r="229" spans="1:8">
      <c r="A229" s="437"/>
      <c r="B229" s="448" t="s">
        <v>803</v>
      </c>
      <c r="C229" s="444"/>
      <c r="D229" s="445"/>
      <c r="E229" s="325">
        <v>0</v>
      </c>
      <c r="F229" s="323">
        <v>0</v>
      </c>
      <c r="G229" s="538">
        <f t="shared" si="8"/>
        <v>0</v>
      </c>
      <c r="H229" s="538">
        <f t="shared" si="9"/>
        <v>0</v>
      </c>
    </row>
    <row r="230" spans="1:8" ht="58">
      <c r="A230" s="437"/>
      <c r="B230" s="442" t="s">
        <v>804</v>
      </c>
      <c r="C230" s="444"/>
      <c r="D230" s="445"/>
      <c r="E230" s="325">
        <v>0</v>
      </c>
      <c r="F230" s="323">
        <v>0</v>
      </c>
      <c r="G230" s="539">
        <f t="shared" si="8"/>
        <v>0</v>
      </c>
      <c r="H230" s="539">
        <f t="shared" si="9"/>
        <v>0</v>
      </c>
    </row>
    <row r="231" spans="1:8">
      <c r="A231" s="437"/>
      <c r="B231" s="447" t="s">
        <v>805</v>
      </c>
      <c r="C231" s="444" t="s">
        <v>796</v>
      </c>
      <c r="D231" s="445">
        <v>110</v>
      </c>
      <c r="E231" s="325">
        <v>1250</v>
      </c>
      <c r="F231" s="323">
        <v>350</v>
      </c>
      <c r="G231" s="538">
        <f t="shared" si="8"/>
        <v>137500</v>
      </c>
      <c r="H231" s="538">
        <f t="shared" si="9"/>
        <v>38500</v>
      </c>
    </row>
    <row r="232" spans="1:8">
      <c r="A232" s="314">
        <v>2</v>
      </c>
      <c r="B232" s="315" t="s">
        <v>806</v>
      </c>
      <c r="C232" s="367"/>
      <c r="D232" s="311"/>
      <c r="E232" s="484"/>
      <c r="F232" s="484"/>
      <c r="G232" s="518">
        <f t="shared" si="8"/>
        <v>0</v>
      </c>
      <c r="H232" s="518">
        <f t="shared" si="9"/>
        <v>0</v>
      </c>
    </row>
    <row r="233" spans="1:8" ht="101.5">
      <c r="A233" s="449"/>
      <c r="B233" s="442" t="s">
        <v>807</v>
      </c>
      <c r="C233" s="439"/>
      <c r="D233" s="440"/>
      <c r="E233" s="325">
        <v>0</v>
      </c>
      <c r="F233" s="323">
        <v>0</v>
      </c>
      <c r="G233" s="536">
        <f t="shared" si="8"/>
        <v>0</v>
      </c>
      <c r="H233" s="536">
        <f t="shared" si="9"/>
        <v>0</v>
      </c>
    </row>
    <row r="234" spans="1:8" ht="87">
      <c r="A234" s="449"/>
      <c r="B234" s="442" t="s">
        <v>808</v>
      </c>
      <c r="C234" s="439"/>
      <c r="D234" s="440"/>
      <c r="E234" s="325">
        <v>0</v>
      </c>
      <c r="F234" s="323">
        <v>0</v>
      </c>
      <c r="G234" s="536">
        <f t="shared" si="8"/>
        <v>0</v>
      </c>
      <c r="H234" s="536">
        <f t="shared" si="9"/>
        <v>0</v>
      </c>
    </row>
    <row r="235" spans="1:8" ht="101.5">
      <c r="A235" s="449"/>
      <c r="B235" s="442" t="s">
        <v>809</v>
      </c>
      <c r="C235" s="439"/>
      <c r="D235" s="440"/>
      <c r="E235" s="325">
        <v>0</v>
      </c>
      <c r="F235" s="323">
        <v>0</v>
      </c>
      <c r="G235" s="536">
        <f t="shared" si="8"/>
        <v>0</v>
      </c>
      <c r="H235" s="536">
        <f t="shared" si="9"/>
        <v>0</v>
      </c>
    </row>
    <row r="236" spans="1:8">
      <c r="A236" s="449"/>
      <c r="B236" s="450"/>
      <c r="C236" s="439"/>
      <c r="D236" s="440"/>
      <c r="E236" s="325">
        <v>0</v>
      </c>
      <c r="F236" s="323">
        <v>0</v>
      </c>
      <c r="G236" s="536">
        <f t="shared" si="8"/>
        <v>0</v>
      </c>
      <c r="H236" s="536">
        <f t="shared" si="9"/>
        <v>0</v>
      </c>
    </row>
    <row r="237" spans="1:8">
      <c r="A237" s="449"/>
      <c r="B237" s="441"/>
      <c r="C237" s="439"/>
      <c r="D237" s="440"/>
      <c r="E237" s="325">
        <v>0</v>
      </c>
      <c r="F237" s="323">
        <v>0</v>
      </c>
      <c r="G237" s="536">
        <f t="shared" si="8"/>
        <v>0</v>
      </c>
      <c r="H237" s="536">
        <f t="shared" si="9"/>
        <v>0</v>
      </c>
    </row>
    <row r="238" spans="1:8">
      <c r="A238" s="451"/>
      <c r="B238" s="452" t="s">
        <v>670</v>
      </c>
      <c r="C238" s="453" t="s">
        <v>396</v>
      </c>
      <c r="D238" s="454">
        <v>200</v>
      </c>
      <c r="E238" s="325">
        <f>260</f>
        <v>260</v>
      </c>
      <c r="F238" s="323">
        <v>125</v>
      </c>
      <c r="G238" s="540">
        <f t="shared" si="8"/>
        <v>52000</v>
      </c>
      <c r="H238" s="540">
        <f t="shared" si="9"/>
        <v>25000</v>
      </c>
    </row>
    <row r="239" spans="1:8">
      <c r="A239" s="451"/>
      <c r="B239" s="452" t="s">
        <v>810</v>
      </c>
      <c r="C239" s="453" t="s">
        <v>396</v>
      </c>
      <c r="D239" s="454">
        <v>50</v>
      </c>
      <c r="E239" s="325">
        <f>350</f>
        <v>350</v>
      </c>
      <c r="F239" s="323">
        <v>125</v>
      </c>
      <c r="G239" s="540">
        <f t="shared" si="8"/>
        <v>17500</v>
      </c>
      <c r="H239" s="540">
        <f t="shared" si="9"/>
        <v>6250</v>
      </c>
    </row>
    <row r="240" spans="1:8">
      <c r="A240" s="451"/>
      <c r="B240" s="452" t="s">
        <v>811</v>
      </c>
      <c r="C240" s="453" t="s">
        <v>396</v>
      </c>
      <c r="D240" s="454">
        <v>10</v>
      </c>
      <c r="E240" s="325">
        <f>380</f>
        <v>380</v>
      </c>
      <c r="F240" s="323">
        <v>125</v>
      </c>
      <c r="G240" s="540">
        <f t="shared" si="8"/>
        <v>3800</v>
      </c>
      <c r="H240" s="540">
        <f t="shared" si="9"/>
        <v>1250</v>
      </c>
    </row>
    <row r="241" spans="1:8">
      <c r="A241" s="451"/>
      <c r="B241" s="452" t="s">
        <v>812</v>
      </c>
      <c r="C241" s="453" t="s">
        <v>396</v>
      </c>
      <c r="D241" s="454">
        <v>50</v>
      </c>
      <c r="E241" s="325">
        <f>535</f>
        <v>535</v>
      </c>
      <c r="F241" s="323">
        <v>125</v>
      </c>
      <c r="G241" s="540">
        <f t="shared" si="8"/>
        <v>26750</v>
      </c>
      <c r="H241" s="540">
        <f t="shared" si="9"/>
        <v>6250</v>
      </c>
    </row>
    <row r="242" spans="1:8">
      <c r="A242" s="451"/>
      <c r="B242" s="452" t="s">
        <v>813</v>
      </c>
      <c r="C242" s="453" t="s">
        <v>396</v>
      </c>
      <c r="D242" s="454" t="s">
        <v>648</v>
      </c>
      <c r="E242" s="325">
        <v>0</v>
      </c>
      <c r="F242" s="323">
        <v>0</v>
      </c>
      <c r="G242" s="540">
        <f t="shared" si="8"/>
        <v>0</v>
      </c>
      <c r="H242" s="540">
        <f t="shared" si="9"/>
        <v>0</v>
      </c>
    </row>
    <row r="243" spans="1:8">
      <c r="A243" s="451"/>
      <c r="B243" s="452" t="s">
        <v>814</v>
      </c>
      <c r="C243" s="453" t="s">
        <v>396</v>
      </c>
      <c r="D243" s="454" t="s">
        <v>648</v>
      </c>
      <c r="E243" s="325">
        <v>0</v>
      </c>
      <c r="F243" s="323">
        <v>0</v>
      </c>
      <c r="G243" s="540">
        <f t="shared" si="8"/>
        <v>0</v>
      </c>
      <c r="H243" s="540">
        <f t="shared" si="9"/>
        <v>0</v>
      </c>
    </row>
    <row r="244" spans="1:8">
      <c r="A244" s="451"/>
      <c r="B244" s="452" t="s">
        <v>815</v>
      </c>
      <c r="C244" s="453" t="s">
        <v>396</v>
      </c>
      <c r="D244" s="454" t="s">
        <v>648</v>
      </c>
      <c r="E244" s="325">
        <v>0</v>
      </c>
      <c r="F244" s="323">
        <v>0</v>
      </c>
      <c r="G244" s="540">
        <f t="shared" si="8"/>
        <v>0</v>
      </c>
      <c r="H244" s="540">
        <f t="shared" si="9"/>
        <v>0</v>
      </c>
    </row>
    <row r="245" spans="1:8">
      <c r="A245" s="451"/>
      <c r="B245" s="452"/>
      <c r="C245" s="453"/>
      <c r="D245" s="454"/>
      <c r="E245" s="325">
        <v>0</v>
      </c>
      <c r="F245" s="323">
        <v>0</v>
      </c>
      <c r="G245" s="540">
        <f t="shared" si="8"/>
        <v>0</v>
      </c>
      <c r="H245" s="540">
        <f t="shared" si="9"/>
        <v>0</v>
      </c>
    </row>
    <row r="246" spans="1:8">
      <c r="A246" s="451"/>
      <c r="B246" s="450"/>
      <c r="C246" s="444"/>
      <c r="D246" s="445"/>
      <c r="E246" s="325">
        <v>0</v>
      </c>
      <c r="F246" s="323">
        <v>0</v>
      </c>
      <c r="G246" s="536">
        <f t="shared" si="8"/>
        <v>0</v>
      </c>
      <c r="H246" s="536">
        <f t="shared" si="9"/>
        <v>0</v>
      </c>
    </row>
    <row r="247" spans="1:8">
      <c r="A247" s="314">
        <v>3</v>
      </c>
      <c r="B247" s="315" t="s">
        <v>816</v>
      </c>
      <c r="C247" s="367"/>
      <c r="D247" s="311"/>
      <c r="E247" s="484"/>
      <c r="F247" s="484"/>
      <c r="G247" s="518">
        <f t="shared" si="8"/>
        <v>0</v>
      </c>
      <c r="H247" s="518">
        <f t="shared" si="9"/>
        <v>0</v>
      </c>
    </row>
    <row r="248" spans="1:8">
      <c r="A248" s="449"/>
      <c r="B248" s="441" t="s">
        <v>817</v>
      </c>
      <c r="C248" s="444"/>
      <c r="D248" s="440"/>
      <c r="E248" s="325">
        <v>0</v>
      </c>
      <c r="F248" s="323">
        <v>0</v>
      </c>
      <c r="G248" s="536">
        <f t="shared" si="8"/>
        <v>0</v>
      </c>
      <c r="H248" s="536">
        <f t="shared" si="9"/>
        <v>0</v>
      </c>
    </row>
    <row r="249" spans="1:8" ht="29">
      <c r="A249" s="451"/>
      <c r="B249" s="442" t="s">
        <v>818</v>
      </c>
      <c r="C249" s="444" t="s">
        <v>796</v>
      </c>
      <c r="D249" s="445">
        <v>1</v>
      </c>
      <c r="E249" s="325">
        <v>13000</v>
      </c>
      <c r="F249" s="323">
        <v>2650</v>
      </c>
      <c r="G249" s="538">
        <f t="shared" si="8"/>
        <v>13000</v>
      </c>
      <c r="H249" s="538">
        <f t="shared" si="9"/>
        <v>2650</v>
      </c>
    </row>
    <row r="250" spans="1:8">
      <c r="A250" s="449"/>
      <c r="B250" s="450"/>
      <c r="C250" s="439"/>
      <c r="D250" s="440"/>
      <c r="E250" s="325">
        <v>0</v>
      </c>
      <c r="F250" s="323">
        <v>0</v>
      </c>
      <c r="G250" s="536">
        <f t="shared" si="8"/>
        <v>0</v>
      </c>
      <c r="H250" s="536">
        <f t="shared" si="9"/>
        <v>0</v>
      </c>
    </row>
    <row r="251" spans="1:8">
      <c r="A251" s="449"/>
      <c r="B251" s="448" t="s">
        <v>819</v>
      </c>
      <c r="C251" s="439"/>
      <c r="D251" s="440"/>
      <c r="E251" s="325">
        <v>0</v>
      </c>
      <c r="F251" s="323">
        <v>0</v>
      </c>
      <c r="G251" s="536">
        <f t="shared" si="8"/>
        <v>0</v>
      </c>
      <c r="H251" s="536">
        <f t="shared" si="9"/>
        <v>0</v>
      </c>
    </row>
    <row r="252" spans="1:8" ht="58">
      <c r="A252" s="449"/>
      <c r="B252" s="442" t="s">
        <v>820</v>
      </c>
      <c r="C252" s="439" t="s">
        <v>796</v>
      </c>
      <c r="D252" s="440">
        <v>1</v>
      </c>
      <c r="E252" s="325">
        <v>13000</v>
      </c>
      <c r="F252" s="323">
        <v>2650</v>
      </c>
      <c r="G252" s="538">
        <f t="shared" si="8"/>
        <v>13000</v>
      </c>
      <c r="H252" s="538">
        <f t="shared" si="9"/>
        <v>2650</v>
      </c>
    </row>
    <row r="253" spans="1:8">
      <c r="A253" s="314">
        <v>4</v>
      </c>
      <c r="B253" s="315" t="s">
        <v>821</v>
      </c>
      <c r="C253" s="367"/>
      <c r="D253" s="311"/>
      <c r="E253" s="484"/>
      <c r="F253" s="484"/>
      <c r="G253" s="518">
        <f t="shared" si="8"/>
        <v>0</v>
      </c>
      <c r="H253" s="518">
        <f t="shared" si="9"/>
        <v>0</v>
      </c>
    </row>
    <row r="254" spans="1:8">
      <c r="A254" s="449"/>
      <c r="B254" s="441" t="s">
        <v>822</v>
      </c>
      <c r="C254" s="439"/>
      <c r="D254" s="440"/>
      <c r="E254" s="325">
        <v>0</v>
      </c>
      <c r="F254" s="323">
        <v>0</v>
      </c>
      <c r="G254" s="536">
        <f t="shared" si="8"/>
        <v>0</v>
      </c>
      <c r="H254" s="536">
        <f t="shared" si="9"/>
        <v>0</v>
      </c>
    </row>
    <row r="255" spans="1:8" ht="58">
      <c r="A255" s="449"/>
      <c r="B255" s="442" t="s">
        <v>823</v>
      </c>
      <c r="C255" s="443"/>
      <c r="D255" s="440"/>
      <c r="E255" s="325">
        <v>0</v>
      </c>
      <c r="F255" s="323">
        <v>0</v>
      </c>
      <c r="G255" s="541">
        <f t="shared" si="8"/>
        <v>0</v>
      </c>
      <c r="H255" s="541">
        <f t="shared" si="9"/>
        <v>0</v>
      </c>
    </row>
    <row r="256" spans="1:8">
      <c r="A256" s="449"/>
      <c r="B256" s="438" t="s">
        <v>824</v>
      </c>
      <c r="C256" s="439" t="s">
        <v>796</v>
      </c>
      <c r="D256" s="440" t="s">
        <v>648</v>
      </c>
      <c r="E256" s="325">
        <v>0</v>
      </c>
      <c r="F256" s="323">
        <v>0</v>
      </c>
      <c r="G256" s="538">
        <f t="shared" si="8"/>
        <v>0</v>
      </c>
      <c r="H256" s="538">
        <f t="shared" si="9"/>
        <v>0</v>
      </c>
    </row>
    <row r="257" spans="1:8">
      <c r="A257" s="449"/>
      <c r="B257" s="438" t="s">
        <v>825</v>
      </c>
      <c r="C257" s="439" t="s">
        <v>796</v>
      </c>
      <c r="D257" s="440">
        <v>1</v>
      </c>
      <c r="E257" s="325">
        <v>11130</v>
      </c>
      <c r="F257" s="323">
        <v>2650</v>
      </c>
      <c r="G257" s="541">
        <f t="shared" si="8"/>
        <v>11130</v>
      </c>
      <c r="H257" s="541">
        <f t="shared" si="9"/>
        <v>2650</v>
      </c>
    </row>
    <row r="258" spans="1:8">
      <c r="A258" s="449"/>
      <c r="B258" s="438"/>
      <c r="C258" s="439"/>
      <c r="D258" s="440"/>
      <c r="E258" s="325">
        <v>0</v>
      </c>
      <c r="F258" s="323">
        <v>0</v>
      </c>
      <c r="G258" s="536">
        <f t="shared" si="8"/>
        <v>0</v>
      </c>
      <c r="H258" s="536">
        <f t="shared" si="9"/>
        <v>0</v>
      </c>
    </row>
    <row r="259" spans="1:8">
      <c r="A259" s="449"/>
      <c r="B259" s="441" t="s">
        <v>826</v>
      </c>
      <c r="C259" s="439"/>
      <c r="D259" s="440"/>
      <c r="E259" s="325">
        <v>0</v>
      </c>
      <c r="F259" s="323">
        <v>0</v>
      </c>
      <c r="G259" s="536">
        <f t="shared" si="8"/>
        <v>0</v>
      </c>
      <c r="H259" s="536">
        <f t="shared" si="9"/>
        <v>0</v>
      </c>
    </row>
    <row r="260" spans="1:8" ht="43.5">
      <c r="A260" s="449"/>
      <c r="B260" s="442" t="s">
        <v>827</v>
      </c>
      <c r="C260" s="439"/>
      <c r="D260" s="440"/>
      <c r="E260" s="325">
        <v>0</v>
      </c>
      <c r="F260" s="323">
        <v>0</v>
      </c>
      <c r="G260" s="536">
        <f t="shared" si="8"/>
        <v>0</v>
      </c>
      <c r="H260" s="536">
        <f t="shared" si="9"/>
        <v>0</v>
      </c>
    </row>
    <row r="261" spans="1:8">
      <c r="A261" s="449"/>
      <c r="B261" s="446" t="s">
        <v>667</v>
      </c>
      <c r="C261" s="443" t="s">
        <v>796</v>
      </c>
      <c r="D261" s="440">
        <v>1</v>
      </c>
      <c r="E261" s="325">
        <v>3710</v>
      </c>
      <c r="F261" s="323">
        <v>530</v>
      </c>
      <c r="G261" s="538">
        <f t="shared" si="8"/>
        <v>3710</v>
      </c>
      <c r="H261" s="538">
        <f t="shared" si="9"/>
        <v>530</v>
      </c>
    </row>
    <row r="262" spans="1:8">
      <c r="A262" s="449"/>
      <c r="B262" s="446"/>
      <c r="C262" s="439"/>
      <c r="D262" s="440"/>
      <c r="E262" s="325">
        <v>0</v>
      </c>
      <c r="F262" s="323">
        <v>0</v>
      </c>
      <c r="G262" s="536">
        <f t="shared" si="8"/>
        <v>0</v>
      </c>
      <c r="H262" s="536">
        <f t="shared" si="9"/>
        <v>0</v>
      </c>
    </row>
    <row r="263" spans="1:8">
      <c r="A263" s="449"/>
      <c r="B263" s="441" t="s">
        <v>828</v>
      </c>
      <c r="C263" s="439"/>
      <c r="D263" s="440"/>
      <c r="E263" s="325">
        <v>0</v>
      </c>
      <c r="F263" s="323">
        <v>0</v>
      </c>
      <c r="G263" s="536">
        <f t="shared" si="8"/>
        <v>0</v>
      </c>
      <c r="H263" s="536">
        <f t="shared" si="9"/>
        <v>0</v>
      </c>
    </row>
    <row r="264" spans="1:8" ht="43.5">
      <c r="A264" s="449"/>
      <c r="B264" s="442" t="s">
        <v>829</v>
      </c>
      <c r="C264" s="439"/>
      <c r="D264" s="440"/>
      <c r="E264" s="325">
        <v>0</v>
      </c>
      <c r="F264" s="323">
        <v>0</v>
      </c>
      <c r="G264" s="536">
        <f t="shared" si="8"/>
        <v>0</v>
      </c>
      <c r="H264" s="536">
        <f t="shared" si="9"/>
        <v>0</v>
      </c>
    </row>
    <row r="265" spans="1:8">
      <c r="A265" s="449"/>
      <c r="B265" s="446" t="s">
        <v>670</v>
      </c>
      <c r="C265" s="443" t="s">
        <v>796</v>
      </c>
      <c r="D265" s="440">
        <v>1</v>
      </c>
      <c r="E265" s="325">
        <v>3710</v>
      </c>
      <c r="F265" s="323">
        <v>530</v>
      </c>
      <c r="G265" s="541">
        <f t="shared" si="8"/>
        <v>3710</v>
      </c>
      <c r="H265" s="541">
        <f t="shared" si="9"/>
        <v>530</v>
      </c>
    </row>
    <row r="266" spans="1:8">
      <c r="A266" s="455" t="s">
        <v>636</v>
      </c>
      <c r="B266" s="456" t="s">
        <v>830</v>
      </c>
      <c r="C266" s="457"/>
      <c r="D266" s="458"/>
      <c r="E266" s="459"/>
      <c r="F266" s="459"/>
      <c r="G266" s="542">
        <f>SUM(G217:G265)</f>
        <v>485600</v>
      </c>
      <c r="H266" s="542">
        <f>SUM(H217:H265)</f>
        <v>135760</v>
      </c>
    </row>
    <row r="267" spans="1:8">
      <c r="A267" s="460"/>
      <c r="B267" s="461"/>
      <c r="C267" s="462"/>
      <c r="D267" s="463"/>
      <c r="E267" s="464"/>
      <c r="F267" s="464"/>
      <c r="G267" s="543"/>
      <c r="H267" s="543"/>
    </row>
    <row r="268" spans="1:8">
      <c r="A268" s="465"/>
      <c r="C268" s="467"/>
      <c r="H268" s="545"/>
    </row>
    <row r="269" spans="1:8">
      <c r="A269" s="465"/>
      <c r="C269" s="467"/>
      <c r="H269" s="545"/>
    </row>
    <row r="270" spans="1:8">
      <c r="A270" s="465"/>
      <c r="C270" s="467"/>
      <c r="H270" s="545"/>
    </row>
    <row r="271" spans="1:8">
      <c r="A271" s="465"/>
      <c r="C271" s="467"/>
      <c r="H271" s="545"/>
    </row>
    <row r="272" spans="1:8">
      <c r="A272" s="465"/>
      <c r="C272" s="467"/>
      <c r="H272" s="545"/>
    </row>
    <row r="273" spans="1:8">
      <c r="A273" s="465"/>
      <c r="C273" s="467"/>
      <c r="H273" s="545"/>
    </row>
    <row r="274" spans="1:8">
      <c r="A274" s="465"/>
      <c r="C274" s="467"/>
      <c r="H274" s="545"/>
    </row>
    <row r="275" spans="1:8">
      <c r="A275" s="465"/>
      <c r="C275" s="467"/>
      <c r="H275" s="545"/>
    </row>
    <row r="276" spans="1:8">
      <c r="A276" s="465"/>
      <c r="C276" s="467"/>
      <c r="H276" s="545"/>
    </row>
    <row r="277" spans="1:8">
      <c r="A277" s="465"/>
      <c r="C277" s="467"/>
      <c r="H277" s="545"/>
    </row>
    <row r="278" spans="1:8">
      <c r="A278" s="465"/>
      <c r="C278" s="467"/>
      <c r="H278" s="545"/>
    </row>
    <row r="279" spans="1:8">
      <c r="A279" s="465"/>
      <c r="C279" s="467"/>
      <c r="H279" s="545"/>
    </row>
    <row r="280" spans="1:8">
      <c r="A280" s="465"/>
      <c r="C280" s="467"/>
      <c r="H280" s="545"/>
    </row>
    <row r="281" spans="1:8">
      <c r="A281" s="465"/>
      <c r="C281" s="467"/>
      <c r="H281" s="545"/>
    </row>
    <row r="282" spans="1:8">
      <c r="A282" s="465"/>
      <c r="C282" s="467"/>
      <c r="H282" s="545"/>
    </row>
    <row r="283" spans="1:8">
      <c r="A283" s="465"/>
      <c r="C283" s="467"/>
      <c r="H283" s="545"/>
    </row>
    <row r="284" spans="1:8">
      <c r="A284" s="465"/>
      <c r="C284" s="467"/>
      <c r="H284" s="545"/>
    </row>
    <row r="285" spans="1:8">
      <c r="A285" s="465"/>
      <c r="C285" s="467"/>
      <c r="H285" s="545"/>
    </row>
    <row r="286" spans="1:8">
      <c r="A286" s="465"/>
      <c r="C286" s="467"/>
      <c r="H286" s="545"/>
    </row>
    <row r="287" spans="1:8">
      <c r="A287" s="465"/>
      <c r="C287" s="467"/>
      <c r="H287" s="545"/>
    </row>
    <row r="288" spans="1:8">
      <c r="A288" s="465"/>
      <c r="C288" s="467"/>
      <c r="H288" s="545"/>
    </row>
    <row r="289" spans="1:8">
      <c r="A289" s="465"/>
      <c r="C289" s="467"/>
      <c r="H289" s="545"/>
    </row>
    <row r="290" spans="1:8">
      <c r="A290" s="465"/>
      <c r="C290" s="467"/>
      <c r="H290" s="545"/>
    </row>
    <row r="291" spans="1:8">
      <c r="A291" s="465"/>
      <c r="C291" s="467"/>
      <c r="H291" s="545"/>
    </row>
    <row r="292" spans="1:8">
      <c r="A292" s="465"/>
      <c r="C292" s="467"/>
      <c r="H292" s="545"/>
    </row>
    <row r="293" spans="1:8">
      <c r="A293" s="465"/>
      <c r="C293" s="467"/>
      <c r="H293" s="545"/>
    </row>
    <row r="294" spans="1:8">
      <c r="A294" s="465"/>
      <c r="C294" s="467"/>
      <c r="H294" s="545"/>
    </row>
    <row r="295" spans="1:8">
      <c r="A295" s="465"/>
      <c r="C295" s="467"/>
      <c r="H295" s="545"/>
    </row>
    <row r="296" spans="1:8">
      <c r="A296" s="465"/>
      <c r="C296" s="467"/>
      <c r="H296" s="545"/>
    </row>
    <row r="297" spans="1:8">
      <c r="A297" s="465"/>
      <c r="C297" s="467"/>
      <c r="H297" s="545"/>
    </row>
    <row r="298" spans="1:8">
      <c r="A298" s="465"/>
      <c r="C298" s="467"/>
      <c r="H298" s="545"/>
    </row>
    <row r="299" spans="1:8">
      <c r="A299" s="465"/>
      <c r="C299" s="467"/>
      <c r="H299" s="545"/>
    </row>
    <row r="300" spans="1:8">
      <c r="A300" s="465"/>
      <c r="C300" s="467"/>
      <c r="H300" s="545"/>
    </row>
    <row r="301" spans="1:8">
      <c r="H301" s="545"/>
    </row>
    <row r="302" spans="1:8">
      <c r="H302" s="545"/>
    </row>
    <row r="303" spans="1:8">
      <c r="H303" s="545"/>
    </row>
    <row r="304" spans="1:8">
      <c r="H304" s="545"/>
    </row>
    <row r="305" spans="8:8">
      <c r="H305" s="545"/>
    </row>
    <row r="306" spans="8:8">
      <c r="H306" s="545"/>
    </row>
    <row r="307" spans="8:8">
      <c r="H307" s="545"/>
    </row>
    <row r="308" spans="8:8">
      <c r="H308" s="545"/>
    </row>
    <row r="309" spans="8:8">
      <c r="H309" s="545"/>
    </row>
    <row r="310" spans="8:8">
      <c r="H310" s="545"/>
    </row>
    <row r="311" spans="8:8">
      <c r="H311" s="545"/>
    </row>
    <row r="312" spans="8:8">
      <c r="H312" s="545"/>
    </row>
    <row r="313" spans="8:8">
      <c r="H313" s="545"/>
    </row>
    <row r="314" spans="8:8">
      <c r="H314" s="545"/>
    </row>
    <row r="315" spans="8:8">
      <c r="H315" s="545"/>
    </row>
    <row r="316" spans="8:8">
      <c r="H316" s="545"/>
    </row>
    <row r="317" spans="8:8">
      <c r="H317" s="545"/>
    </row>
    <row r="318" spans="8:8">
      <c r="H318" s="545"/>
    </row>
    <row r="319" spans="8:8">
      <c r="H319" s="545"/>
    </row>
    <row r="320" spans="8:8">
      <c r="H320" s="545"/>
    </row>
    <row r="321" spans="8:8">
      <c r="H321" s="545"/>
    </row>
    <row r="322" spans="8:8">
      <c r="H322" s="545"/>
    </row>
    <row r="323" spans="8:8">
      <c r="H323" s="545"/>
    </row>
    <row r="324" spans="8:8">
      <c r="H324" s="545"/>
    </row>
    <row r="325" spans="8:8">
      <c r="H325" s="545"/>
    </row>
    <row r="326" spans="8:8">
      <c r="H326" s="545"/>
    </row>
    <row r="327" spans="8:8">
      <c r="H327" s="545"/>
    </row>
    <row r="328" spans="8:8">
      <c r="H328" s="545"/>
    </row>
    <row r="329" spans="8:8">
      <c r="H329" s="545"/>
    </row>
    <row r="330" spans="8:8">
      <c r="H330" s="545"/>
    </row>
    <row r="331" spans="8:8">
      <c r="H331" s="545"/>
    </row>
    <row r="332" spans="8:8">
      <c r="H332" s="545"/>
    </row>
    <row r="333" spans="8:8">
      <c r="H333" s="545"/>
    </row>
    <row r="334" spans="8:8">
      <c r="H334" s="545"/>
    </row>
    <row r="335" spans="8:8">
      <c r="H335" s="545"/>
    </row>
    <row r="336" spans="8:8">
      <c r="H336" s="545"/>
    </row>
    <row r="337" spans="8:8">
      <c r="H337" s="545"/>
    </row>
    <row r="338" spans="8:8">
      <c r="H338" s="545"/>
    </row>
    <row r="339" spans="8:8">
      <c r="H339" s="545"/>
    </row>
    <row r="340" spans="8:8">
      <c r="H340" s="545"/>
    </row>
    <row r="341" spans="8:8">
      <c r="H341" s="545"/>
    </row>
    <row r="342" spans="8:8">
      <c r="H342" s="545"/>
    </row>
    <row r="343" spans="8:8">
      <c r="H343" s="545"/>
    </row>
    <row r="344" spans="8:8">
      <c r="H344" s="545"/>
    </row>
    <row r="345" spans="8:8">
      <c r="H345" s="545"/>
    </row>
    <row r="346" spans="8:8">
      <c r="H346" s="545"/>
    </row>
    <row r="347" spans="8:8">
      <c r="H347" s="545"/>
    </row>
    <row r="348" spans="8:8">
      <c r="H348" s="545"/>
    </row>
    <row r="349" spans="8:8">
      <c r="H349" s="545"/>
    </row>
    <row r="350" spans="8:8">
      <c r="H350" s="545"/>
    </row>
    <row r="351" spans="8:8">
      <c r="H351" s="545"/>
    </row>
    <row r="352" spans="8:8">
      <c r="H352" s="545"/>
    </row>
    <row r="353" spans="8:8">
      <c r="H353" s="545"/>
    </row>
    <row r="354" spans="8:8">
      <c r="H354" s="545"/>
    </row>
    <row r="355" spans="8:8">
      <c r="H355" s="545"/>
    </row>
    <row r="356" spans="8:8">
      <c r="H356" s="545"/>
    </row>
    <row r="357" spans="8:8">
      <c r="H357" s="545"/>
    </row>
    <row r="358" spans="8:8">
      <c r="H358" s="545"/>
    </row>
    <row r="359" spans="8:8">
      <c r="H359" s="545"/>
    </row>
    <row r="360" spans="8:8">
      <c r="H360" s="545"/>
    </row>
    <row r="361" spans="8:8">
      <c r="H361" s="545"/>
    </row>
    <row r="362" spans="8:8">
      <c r="H362" s="545"/>
    </row>
    <row r="363" spans="8:8">
      <c r="H363" s="545"/>
    </row>
    <row r="364" spans="8:8">
      <c r="H364" s="545"/>
    </row>
    <row r="365" spans="8:8">
      <c r="H365" s="545"/>
    </row>
    <row r="366" spans="8:8">
      <c r="H366" s="545"/>
    </row>
    <row r="367" spans="8:8">
      <c r="H367" s="545"/>
    </row>
    <row r="368" spans="8:8">
      <c r="H368" s="545"/>
    </row>
    <row r="369" spans="8:8">
      <c r="H369" s="545"/>
    </row>
    <row r="370" spans="8:8">
      <c r="H370" s="545"/>
    </row>
    <row r="371" spans="8:8">
      <c r="H371" s="545"/>
    </row>
    <row r="372" spans="8:8">
      <c r="H372" s="545"/>
    </row>
    <row r="373" spans="8:8">
      <c r="H373" s="545"/>
    </row>
    <row r="374" spans="8:8">
      <c r="H374" s="545"/>
    </row>
    <row r="375" spans="8:8">
      <c r="H375" s="545"/>
    </row>
    <row r="376" spans="8:8">
      <c r="H376" s="545"/>
    </row>
    <row r="377" spans="8:8">
      <c r="H377" s="545"/>
    </row>
    <row r="378" spans="8:8">
      <c r="H378" s="545"/>
    </row>
    <row r="379" spans="8:8">
      <c r="H379" s="545"/>
    </row>
    <row r="380" spans="8:8">
      <c r="H380" s="545"/>
    </row>
    <row r="381" spans="8:8">
      <c r="H381" s="545"/>
    </row>
    <row r="382" spans="8:8">
      <c r="H382" s="545"/>
    </row>
    <row r="383" spans="8:8">
      <c r="H383" s="545"/>
    </row>
    <row r="384" spans="8:8">
      <c r="H384" s="545"/>
    </row>
    <row r="385" spans="8:8">
      <c r="H385" s="545"/>
    </row>
    <row r="386" spans="8:8">
      <c r="H386" s="545"/>
    </row>
    <row r="387" spans="8:8">
      <c r="H387" s="545"/>
    </row>
    <row r="388" spans="8:8">
      <c r="H388" s="545"/>
    </row>
    <row r="389" spans="8:8">
      <c r="H389" s="545"/>
    </row>
    <row r="390" spans="8:8">
      <c r="H390" s="545"/>
    </row>
    <row r="391" spans="8:8">
      <c r="H391" s="545"/>
    </row>
    <row r="392" spans="8:8">
      <c r="H392" s="545"/>
    </row>
    <row r="393" spans="8:8">
      <c r="H393" s="545"/>
    </row>
    <row r="394" spans="8:8">
      <c r="H394" s="545"/>
    </row>
    <row r="395" spans="8:8">
      <c r="H395" s="545"/>
    </row>
    <row r="396" spans="8:8">
      <c r="H396" s="545"/>
    </row>
    <row r="397" spans="8:8">
      <c r="H397" s="545"/>
    </row>
    <row r="398" spans="8:8">
      <c r="H398" s="545"/>
    </row>
    <row r="399" spans="8:8">
      <c r="H399" s="545"/>
    </row>
    <row r="400" spans="8:8">
      <c r="H400" s="545"/>
    </row>
    <row r="401" spans="8:8">
      <c r="H401" s="545"/>
    </row>
    <row r="402" spans="8:8">
      <c r="H402" s="545"/>
    </row>
    <row r="403" spans="8:8">
      <c r="H403" s="545"/>
    </row>
    <row r="404" spans="8:8">
      <c r="H404" s="545"/>
    </row>
    <row r="405" spans="8:8">
      <c r="H405" s="545"/>
    </row>
    <row r="406" spans="8:8">
      <c r="H406" s="545"/>
    </row>
    <row r="407" spans="8:8">
      <c r="H407" s="545"/>
    </row>
    <row r="408" spans="8:8">
      <c r="H408" s="545"/>
    </row>
    <row r="409" spans="8:8">
      <c r="H409" s="545"/>
    </row>
    <row r="410" spans="8:8">
      <c r="H410" s="545"/>
    </row>
    <row r="411" spans="8:8">
      <c r="H411" s="545"/>
    </row>
    <row r="412" spans="8:8">
      <c r="H412" s="545"/>
    </row>
    <row r="413" spans="8:8">
      <c r="H413" s="545"/>
    </row>
    <row r="414" spans="8:8">
      <c r="H414" s="545"/>
    </row>
    <row r="415" spans="8:8">
      <c r="H415" s="545"/>
    </row>
    <row r="416" spans="8:8">
      <c r="H416" s="545"/>
    </row>
    <row r="417" spans="8:8">
      <c r="H417" s="545"/>
    </row>
    <row r="418" spans="8:8">
      <c r="H418" s="545"/>
    </row>
    <row r="419" spans="8:8">
      <c r="H419" s="545"/>
    </row>
    <row r="420" spans="8:8">
      <c r="H420" s="545"/>
    </row>
    <row r="421" spans="8:8">
      <c r="H421" s="545"/>
    </row>
    <row r="422" spans="8:8">
      <c r="H422" s="545"/>
    </row>
    <row r="423" spans="8:8">
      <c r="H423" s="545"/>
    </row>
    <row r="424" spans="8:8">
      <c r="H424" s="545"/>
    </row>
    <row r="425" spans="8:8">
      <c r="H425" s="545"/>
    </row>
    <row r="426" spans="8:8">
      <c r="H426" s="545"/>
    </row>
    <row r="427" spans="8:8">
      <c r="H427" s="545"/>
    </row>
    <row r="428" spans="8:8">
      <c r="H428" s="545"/>
    </row>
    <row r="429" spans="8:8">
      <c r="H429" s="545"/>
    </row>
    <row r="430" spans="8:8">
      <c r="H430" s="545"/>
    </row>
    <row r="431" spans="8:8">
      <c r="H431" s="545"/>
    </row>
    <row r="432" spans="8:8">
      <c r="H432" s="545"/>
    </row>
    <row r="433" spans="8:8">
      <c r="H433" s="545"/>
    </row>
    <row r="434" spans="8:8">
      <c r="H434" s="545"/>
    </row>
    <row r="435" spans="8:8">
      <c r="H435" s="545"/>
    </row>
    <row r="436" spans="8:8">
      <c r="H436" s="545"/>
    </row>
    <row r="437" spans="8:8">
      <c r="H437" s="545"/>
    </row>
    <row r="438" spans="8:8">
      <c r="H438" s="545"/>
    </row>
    <row r="439" spans="8:8">
      <c r="H439" s="545"/>
    </row>
    <row r="440" spans="8:8">
      <c r="H440" s="545"/>
    </row>
    <row r="441" spans="8:8">
      <c r="H441" s="545"/>
    </row>
    <row r="442" spans="8:8">
      <c r="H442" s="545"/>
    </row>
    <row r="443" spans="8:8">
      <c r="H443" s="545"/>
    </row>
    <row r="444" spans="8:8">
      <c r="H444" s="545"/>
    </row>
    <row r="445" spans="8:8">
      <c r="H445" s="545"/>
    </row>
    <row r="446" spans="8:8">
      <c r="H446" s="545"/>
    </row>
    <row r="447" spans="8:8">
      <c r="H447" s="545"/>
    </row>
    <row r="448" spans="8:8">
      <c r="H448" s="545"/>
    </row>
    <row r="449" spans="8:8">
      <c r="H449" s="545"/>
    </row>
    <row r="450" spans="8:8">
      <c r="H450" s="545"/>
    </row>
    <row r="451" spans="8:8">
      <c r="H451" s="545"/>
    </row>
    <row r="452" spans="8:8">
      <c r="H452" s="545"/>
    </row>
    <row r="453" spans="8:8">
      <c r="H453" s="545"/>
    </row>
    <row r="454" spans="8:8">
      <c r="H454" s="545"/>
    </row>
    <row r="455" spans="8:8">
      <c r="H455" s="545"/>
    </row>
    <row r="456" spans="8:8">
      <c r="H456" s="545"/>
    </row>
    <row r="457" spans="8:8">
      <c r="H457" s="545"/>
    </row>
    <row r="458" spans="8:8">
      <c r="H458" s="545"/>
    </row>
    <row r="459" spans="8:8">
      <c r="H459" s="545"/>
    </row>
    <row r="460" spans="8:8">
      <c r="H460" s="545"/>
    </row>
    <row r="461" spans="8:8">
      <c r="H461" s="545"/>
    </row>
    <row r="462" spans="8:8">
      <c r="H462" s="545"/>
    </row>
    <row r="463" spans="8:8">
      <c r="H463" s="545"/>
    </row>
    <row r="464" spans="8:8">
      <c r="H464" s="545"/>
    </row>
    <row r="465" spans="8:8">
      <c r="H465" s="545"/>
    </row>
    <row r="466" spans="8:8">
      <c r="H466" s="545"/>
    </row>
    <row r="467" spans="8:8">
      <c r="H467" s="545"/>
    </row>
    <row r="468" spans="8:8">
      <c r="H468" s="545"/>
    </row>
    <row r="469" spans="8:8">
      <c r="H469" s="545"/>
    </row>
    <row r="470" spans="8:8">
      <c r="H470" s="545"/>
    </row>
    <row r="471" spans="8:8">
      <c r="H471" s="545"/>
    </row>
    <row r="472" spans="8:8">
      <c r="H472" s="545"/>
    </row>
    <row r="473" spans="8:8">
      <c r="H473" s="545"/>
    </row>
    <row r="474" spans="8:8">
      <c r="H474" s="545"/>
    </row>
    <row r="475" spans="8:8">
      <c r="H475" s="545"/>
    </row>
    <row r="476" spans="8:8">
      <c r="H476" s="545"/>
    </row>
    <row r="477" spans="8:8">
      <c r="H477" s="545"/>
    </row>
    <row r="478" spans="8:8">
      <c r="H478" s="545"/>
    </row>
    <row r="479" spans="8:8">
      <c r="H479" s="545"/>
    </row>
    <row r="480" spans="8:8">
      <c r="H480" s="545"/>
    </row>
    <row r="481" spans="8:8">
      <c r="H481" s="545"/>
    </row>
    <row r="482" spans="8:8">
      <c r="H482" s="545"/>
    </row>
    <row r="483" spans="8:8">
      <c r="H483" s="545"/>
    </row>
    <row r="484" spans="8:8">
      <c r="H484" s="545"/>
    </row>
    <row r="485" spans="8:8">
      <c r="H485" s="545"/>
    </row>
    <row r="486" spans="8:8">
      <c r="H486" s="545"/>
    </row>
    <row r="487" spans="8:8">
      <c r="H487" s="545"/>
    </row>
    <row r="488" spans="8:8">
      <c r="H488" s="545"/>
    </row>
    <row r="489" spans="8:8">
      <c r="H489" s="545"/>
    </row>
    <row r="490" spans="8:8">
      <c r="H490" s="545"/>
    </row>
    <row r="491" spans="8:8">
      <c r="H491" s="545"/>
    </row>
    <row r="492" spans="8:8">
      <c r="H492" s="545"/>
    </row>
    <row r="493" spans="8:8">
      <c r="H493" s="545"/>
    </row>
    <row r="494" spans="8:8">
      <c r="H494" s="545"/>
    </row>
    <row r="495" spans="8:8">
      <c r="H495" s="545"/>
    </row>
    <row r="496" spans="8:8">
      <c r="H496" s="545"/>
    </row>
    <row r="497" spans="8:8">
      <c r="H497" s="545"/>
    </row>
    <row r="498" spans="8:8">
      <c r="H498" s="545"/>
    </row>
    <row r="499" spans="8:8">
      <c r="H499" s="545"/>
    </row>
    <row r="500" spans="8:8">
      <c r="H500" s="545"/>
    </row>
    <row r="501" spans="8:8">
      <c r="H501" s="545"/>
    </row>
    <row r="502" spans="8:8">
      <c r="H502" s="545"/>
    </row>
    <row r="503" spans="8:8">
      <c r="H503" s="545"/>
    </row>
    <row r="504" spans="8:8">
      <c r="H504" s="545"/>
    </row>
    <row r="505" spans="8:8">
      <c r="H505" s="545"/>
    </row>
    <row r="506" spans="8:8">
      <c r="H506" s="545"/>
    </row>
    <row r="507" spans="8:8">
      <c r="H507" s="545"/>
    </row>
    <row r="508" spans="8:8">
      <c r="H508" s="545"/>
    </row>
    <row r="509" spans="8:8">
      <c r="H509" s="545"/>
    </row>
    <row r="510" spans="8:8">
      <c r="H510" s="545"/>
    </row>
    <row r="511" spans="8:8">
      <c r="H511" s="545"/>
    </row>
    <row r="512" spans="8:8">
      <c r="H512" s="545"/>
    </row>
    <row r="513" spans="8:8">
      <c r="H513" s="545"/>
    </row>
    <row r="514" spans="8:8">
      <c r="H514" s="545"/>
    </row>
    <row r="515" spans="8:8">
      <c r="H515" s="545"/>
    </row>
    <row r="516" spans="8:8">
      <c r="H516" s="545"/>
    </row>
    <row r="517" spans="8:8">
      <c r="H517" s="545"/>
    </row>
    <row r="518" spans="8:8">
      <c r="H518" s="545"/>
    </row>
    <row r="519" spans="8:8">
      <c r="H519" s="545"/>
    </row>
    <row r="520" spans="8:8">
      <c r="H520" s="545"/>
    </row>
    <row r="521" spans="8:8">
      <c r="H521" s="545"/>
    </row>
    <row r="522" spans="8:8">
      <c r="H522" s="545"/>
    </row>
    <row r="523" spans="8:8">
      <c r="H523" s="545"/>
    </row>
    <row r="524" spans="8:8">
      <c r="H524" s="545"/>
    </row>
    <row r="525" spans="8:8">
      <c r="H525" s="545"/>
    </row>
    <row r="526" spans="8:8">
      <c r="H526" s="545"/>
    </row>
    <row r="527" spans="8:8">
      <c r="H527" s="545"/>
    </row>
    <row r="528" spans="8:8">
      <c r="H528" s="545"/>
    </row>
    <row r="529" spans="8:8">
      <c r="H529" s="545"/>
    </row>
    <row r="530" spans="8:8">
      <c r="H530" s="545"/>
    </row>
    <row r="531" spans="8:8">
      <c r="H531" s="545"/>
    </row>
    <row r="532" spans="8:8">
      <c r="H532" s="545"/>
    </row>
    <row r="533" spans="8:8">
      <c r="H533" s="545"/>
    </row>
    <row r="534" spans="8:8">
      <c r="H534" s="545"/>
    </row>
    <row r="535" spans="8:8">
      <c r="H535" s="545"/>
    </row>
    <row r="536" spans="8:8">
      <c r="H536" s="545"/>
    </row>
    <row r="537" spans="8:8">
      <c r="H537" s="545"/>
    </row>
    <row r="538" spans="8:8">
      <c r="H538" s="545"/>
    </row>
    <row r="539" spans="8:8">
      <c r="H539" s="545"/>
    </row>
    <row r="540" spans="8:8">
      <c r="H540" s="545"/>
    </row>
    <row r="541" spans="8:8">
      <c r="H541" s="545"/>
    </row>
    <row r="542" spans="8:8">
      <c r="H542" s="545"/>
    </row>
    <row r="543" spans="8:8">
      <c r="H543" s="545"/>
    </row>
    <row r="544" spans="8:8">
      <c r="H544" s="545"/>
    </row>
    <row r="545" spans="8:8">
      <c r="H545" s="545"/>
    </row>
    <row r="546" spans="8:8">
      <c r="H546" s="545"/>
    </row>
    <row r="547" spans="8:8">
      <c r="H547" s="545"/>
    </row>
    <row r="548" spans="8:8">
      <c r="H548" s="545"/>
    </row>
    <row r="549" spans="8:8">
      <c r="H549" s="545"/>
    </row>
    <row r="550" spans="8:8">
      <c r="H550" s="545"/>
    </row>
    <row r="551" spans="8:8">
      <c r="H551" s="545"/>
    </row>
    <row r="552" spans="8:8">
      <c r="H552" s="545"/>
    </row>
    <row r="553" spans="8:8">
      <c r="H553" s="545"/>
    </row>
    <row r="554" spans="8:8">
      <c r="H554" s="545"/>
    </row>
    <row r="555" spans="8:8">
      <c r="H555" s="545"/>
    </row>
    <row r="556" spans="8:8">
      <c r="H556" s="545"/>
    </row>
    <row r="557" spans="8:8">
      <c r="H557" s="545"/>
    </row>
    <row r="558" spans="8:8">
      <c r="H558" s="545"/>
    </row>
    <row r="559" spans="8:8">
      <c r="H559" s="545"/>
    </row>
    <row r="560" spans="8:8">
      <c r="H560" s="545"/>
    </row>
    <row r="561" spans="8:8">
      <c r="H561" s="545"/>
    </row>
    <row r="562" spans="8:8">
      <c r="H562" s="545"/>
    </row>
    <row r="563" spans="8:8">
      <c r="H563" s="545"/>
    </row>
    <row r="564" spans="8:8">
      <c r="H564" s="545"/>
    </row>
    <row r="565" spans="8:8">
      <c r="H565" s="545"/>
    </row>
    <row r="566" spans="8:8">
      <c r="H566" s="545"/>
    </row>
    <row r="567" spans="8:8">
      <c r="H567" s="545"/>
    </row>
    <row r="568" spans="8:8">
      <c r="H568" s="545"/>
    </row>
    <row r="569" spans="8:8">
      <c r="H569" s="545"/>
    </row>
    <row r="570" spans="8:8">
      <c r="H570" s="545"/>
    </row>
    <row r="571" spans="8:8">
      <c r="H571" s="545"/>
    </row>
    <row r="572" spans="8:8">
      <c r="H572" s="545"/>
    </row>
    <row r="573" spans="8:8">
      <c r="H573" s="545"/>
    </row>
    <row r="574" spans="8:8">
      <c r="H574" s="545"/>
    </row>
    <row r="575" spans="8:8">
      <c r="H575" s="545"/>
    </row>
    <row r="576" spans="8:8">
      <c r="H576" s="545"/>
    </row>
    <row r="577" spans="8:8">
      <c r="H577" s="545"/>
    </row>
    <row r="578" spans="8:8">
      <c r="H578" s="545"/>
    </row>
    <row r="579" spans="8:8">
      <c r="H579" s="545"/>
    </row>
    <row r="580" spans="8:8">
      <c r="H580" s="545"/>
    </row>
    <row r="581" spans="8:8">
      <c r="H581" s="545"/>
    </row>
    <row r="582" spans="8:8">
      <c r="H582" s="545"/>
    </row>
    <row r="583" spans="8:8">
      <c r="H583" s="545"/>
    </row>
    <row r="584" spans="8:8">
      <c r="H584" s="545"/>
    </row>
    <row r="585" spans="8:8">
      <c r="H585" s="545"/>
    </row>
    <row r="586" spans="8:8">
      <c r="H586" s="545"/>
    </row>
    <row r="587" spans="8:8">
      <c r="H587" s="545"/>
    </row>
    <row r="588" spans="8:8">
      <c r="H588" s="545"/>
    </row>
    <row r="589" spans="8:8">
      <c r="H589" s="545"/>
    </row>
    <row r="590" spans="8:8">
      <c r="H590" s="545"/>
    </row>
    <row r="591" spans="8:8">
      <c r="H591" s="545"/>
    </row>
    <row r="592" spans="8:8">
      <c r="H592" s="545"/>
    </row>
    <row r="593" spans="8:8">
      <c r="H593" s="545"/>
    </row>
    <row r="594" spans="8:8">
      <c r="H594" s="545"/>
    </row>
    <row r="595" spans="8:8">
      <c r="H595" s="545"/>
    </row>
    <row r="596" spans="8:8">
      <c r="H596" s="545"/>
    </row>
    <row r="597" spans="8:8">
      <c r="H597" s="545"/>
    </row>
    <row r="598" spans="8:8">
      <c r="H598" s="545"/>
    </row>
    <row r="599" spans="8:8">
      <c r="H599" s="545"/>
    </row>
    <row r="600" spans="8:8">
      <c r="H600" s="545"/>
    </row>
    <row r="601" spans="8:8">
      <c r="H601" s="545"/>
    </row>
    <row r="602" spans="8:8">
      <c r="H602" s="545"/>
    </row>
    <row r="603" spans="8:8">
      <c r="H603" s="545"/>
    </row>
    <row r="604" spans="8:8">
      <c r="H604" s="545"/>
    </row>
    <row r="605" spans="8:8">
      <c r="H605" s="545"/>
    </row>
    <row r="606" spans="8:8">
      <c r="H606" s="545"/>
    </row>
    <row r="607" spans="8:8">
      <c r="H607" s="545"/>
    </row>
    <row r="608" spans="8:8">
      <c r="H608" s="545"/>
    </row>
    <row r="609" spans="8:8">
      <c r="H609" s="545"/>
    </row>
    <row r="610" spans="8:8">
      <c r="H610" s="545"/>
    </row>
    <row r="611" spans="8:8">
      <c r="H611" s="545"/>
    </row>
    <row r="612" spans="8:8">
      <c r="H612" s="545"/>
    </row>
    <row r="613" spans="8:8">
      <c r="H613" s="545"/>
    </row>
    <row r="614" spans="8:8">
      <c r="H614" s="545"/>
    </row>
    <row r="615" spans="8:8">
      <c r="H615" s="545"/>
    </row>
    <row r="616" spans="8:8">
      <c r="H616" s="545"/>
    </row>
    <row r="617" spans="8:8">
      <c r="H617" s="545"/>
    </row>
    <row r="618" spans="8:8">
      <c r="H618" s="545"/>
    </row>
    <row r="619" spans="8:8">
      <c r="H619" s="545"/>
    </row>
    <row r="620" spans="8:8">
      <c r="H620" s="545"/>
    </row>
    <row r="621" spans="8:8">
      <c r="H621" s="545"/>
    </row>
    <row r="622" spans="8:8">
      <c r="H622" s="545"/>
    </row>
    <row r="623" spans="8:8">
      <c r="H623" s="545"/>
    </row>
    <row r="624" spans="8:8">
      <c r="H624" s="545"/>
    </row>
    <row r="625" spans="8:8">
      <c r="H625" s="545"/>
    </row>
    <row r="626" spans="8:8">
      <c r="H626" s="545"/>
    </row>
    <row r="627" spans="8:8">
      <c r="H627" s="545"/>
    </row>
    <row r="628" spans="8:8">
      <c r="H628" s="545"/>
    </row>
    <row r="629" spans="8:8">
      <c r="H629" s="545"/>
    </row>
    <row r="630" spans="8:8">
      <c r="H630" s="545"/>
    </row>
    <row r="631" spans="8:8">
      <c r="H631" s="545"/>
    </row>
    <row r="632" spans="8:8">
      <c r="H632" s="545"/>
    </row>
    <row r="633" spans="8:8">
      <c r="H633" s="545"/>
    </row>
    <row r="634" spans="8:8">
      <c r="H634" s="545"/>
    </row>
    <row r="635" spans="8:8">
      <c r="H635" s="545"/>
    </row>
    <row r="636" spans="8:8">
      <c r="H636" s="545"/>
    </row>
    <row r="637" spans="8:8">
      <c r="H637" s="545"/>
    </row>
    <row r="638" spans="8:8">
      <c r="H638" s="545"/>
    </row>
    <row r="639" spans="8:8">
      <c r="H639" s="545"/>
    </row>
    <row r="640" spans="8:8">
      <c r="H640" s="545"/>
    </row>
    <row r="641" spans="8:8">
      <c r="H641" s="545"/>
    </row>
    <row r="642" spans="8:8">
      <c r="H642" s="545"/>
    </row>
    <row r="643" spans="8:8">
      <c r="H643" s="545"/>
    </row>
    <row r="644" spans="8:8">
      <c r="H644" s="545"/>
    </row>
    <row r="645" spans="8:8">
      <c r="H645" s="545"/>
    </row>
    <row r="646" spans="8:8">
      <c r="H646" s="545"/>
    </row>
    <row r="647" spans="8:8">
      <c r="H647" s="545"/>
    </row>
    <row r="648" spans="8:8">
      <c r="H648" s="545"/>
    </row>
    <row r="649" spans="8:8">
      <c r="H649" s="545"/>
    </row>
    <row r="650" spans="8:8">
      <c r="H650" s="545"/>
    </row>
    <row r="651" spans="8:8">
      <c r="H651" s="545"/>
    </row>
    <row r="652" spans="8:8">
      <c r="H652" s="545"/>
    </row>
    <row r="653" spans="8:8">
      <c r="H653" s="545"/>
    </row>
    <row r="654" spans="8:8">
      <c r="H654" s="545"/>
    </row>
    <row r="655" spans="8:8">
      <c r="H655" s="545"/>
    </row>
    <row r="656" spans="8:8">
      <c r="H656" s="545"/>
    </row>
    <row r="657" spans="8:8">
      <c r="H657" s="545"/>
    </row>
    <row r="658" spans="8:8">
      <c r="H658" s="545"/>
    </row>
    <row r="659" spans="8:8">
      <c r="H659" s="545"/>
    </row>
    <row r="660" spans="8:8">
      <c r="H660" s="545"/>
    </row>
    <row r="661" spans="8:8">
      <c r="H661" s="545"/>
    </row>
    <row r="662" spans="8:8">
      <c r="H662" s="545"/>
    </row>
    <row r="663" spans="8:8">
      <c r="H663" s="545"/>
    </row>
    <row r="664" spans="8:8">
      <c r="H664" s="545"/>
    </row>
    <row r="665" spans="8:8">
      <c r="H665" s="545"/>
    </row>
    <row r="666" spans="8:8">
      <c r="H666" s="545"/>
    </row>
    <row r="667" spans="8:8">
      <c r="H667" s="545"/>
    </row>
    <row r="668" spans="8:8">
      <c r="H668" s="545"/>
    </row>
    <row r="669" spans="8:8">
      <c r="H669" s="545"/>
    </row>
    <row r="670" spans="8:8">
      <c r="H670" s="545"/>
    </row>
    <row r="671" spans="8:8">
      <c r="H671" s="545"/>
    </row>
    <row r="672" spans="8:8">
      <c r="H672" s="545"/>
    </row>
    <row r="673" spans="8:8">
      <c r="H673" s="545"/>
    </row>
    <row r="674" spans="8:8">
      <c r="H674" s="545"/>
    </row>
    <row r="675" spans="8:8">
      <c r="H675" s="545"/>
    </row>
    <row r="676" spans="8:8">
      <c r="H676" s="545"/>
    </row>
    <row r="677" spans="8:8">
      <c r="H677" s="545"/>
    </row>
    <row r="678" spans="8:8">
      <c r="H678" s="545"/>
    </row>
    <row r="679" spans="8:8">
      <c r="H679" s="545"/>
    </row>
    <row r="680" spans="8:8">
      <c r="H680" s="545"/>
    </row>
    <row r="681" spans="8:8">
      <c r="H681" s="545"/>
    </row>
    <row r="682" spans="8:8">
      <c r="H682" s="545"/>
    </row>
    <row r="683" spans="8:8">
      <c r="H683" s="545"/>
    </row>
    <row r="684" spans="8:8">
      <c r="H684" s="545"/>
    </row>
    <row r="685" spans="8:8">
      <c r="H685" s="545"/>
    </row>
    <row r="686" spans="8:8">
      <c r="H686" s="545"/>
    </row>
    <row r="687" spans="8:8">
      <c r="H687" s="545"/>
    </row>
    <row r="688" spans="8:8">
      <c r="H688" s="545"/>
    </row>
    <row r="689" spans="8:8">
      <c r="H689" s="545"/>
    </row>
    <row r="690" spans="8:8">
      <c r="H690" s="545"/>
    </row>
    <row r="691" spans="8:8">
      <c r="H691" s="545"/>
    </row>
    <row r="692" spans="8:8">
      <c r="H692" s="545"/>
    </row>
    <row r="693" spans="8:8">
      <c r="H693" s="545"/>
    </row>
    <row r="694" spans="8:8">
      <c r="H694" s="545"/>
    </row>
    <row r="695" spans="8:8">
      <c r="H695" s="545"/>
    </row>
    <row r="696" spans="8:8">
      <c r="H696" s="545"/>
    </row>
    <row r="697" spans="8:8">
      <c r="H697" s="545"/>
    </row>
    <row r="698" spans="8:8">
      <c r="H698" s="545"/>
    </row>
    <row r="699" spans="8:8">
      <c r="H699" s="545"/>
    </row>
    <row r="700" spans="8:8">
      <c r="H700" s="545"/>
    </row>
    <row r="701" spans="8:8">
      <c r="H701" s="545"/>
    </row>
    <row r="702" spans="8:8">
      <c r="H702" s="545"/>
    </row>
    <row r="703" spans="8:8">
      <c r="H703" s="545"/>
    </row>
    <row r="704" spans="8:8">
      <c r="H704" s="545"/>
    </row>
    <row r="705" spans="8:8">
      <c r="H705" s="545"/>
    </row>
    <row r="706" spans="8:8">
      <c r="H706" s="545"/>
    </row>
    <row r="707" spans="8:8">
      <c r="H707" s="545"/>
    </row>
    <row r="708" spans="8:8">
      <c r="H708" s="545"/>
    </row>
    <row r="709" spans="8:8">
      <c r="H709" s="545"/>
    </row>
    <row r="710" spans="8:8">
      <c r="H710" s="545"/>
    </row>
    <row r="711" spans="8:8">
      <c r="H711" s="545"/>
    </row>
    <row r="712" spans="8:8">
      <c r="H712" s="545"/>
    </row>
    <row r="713" spans="8:8">
      <c r="H713" s="545"/>
    </row>
    <row r="714" spans="8:8">
      <c r="H714" s="545"/>
    </row>
    <row r="715" spans="8:8">
      <c r="H715" s="545"/>
    </row>
    <row r="716" spans="8:8">
      <c r="H716" s="545"/>
    </row>
    <row r="717" spans="8:8">
      <c r="H717" s="545"/>
    </row>
    <row r="718" spans="8:8">
      <c r="H718" s="545"/>
    </row>
    <row r="719" spans="8:8">
      <c r="H719" s="545"/>
    </row>
    <row r="720" spans="8:8">
      <c r="H720" s="545"/>
    </row>
    <row r="721" spans="8:8">
      <c r="H721" s="545"/>
    </row>
    <row r="722" spans="8:8">
      <c r="H722" s="545"/>
    </row>
    <row r="723" spans="8:8">
      <c r="H723" s="545"/>
    </row>
    <row r="724" spans="8:8">
      <c r="H724" s="545"/>
    </row>
    <row r="725" spans="8:8">
      <c r="H725" s="545"/>
    </row>
    <row r="726" spans="8:8">
      <c r="H726" s="545"/>
    </row>
    <row r="727" spans="8:8">
      <c r="H727" s="545"/>
    </row>
    <row r="728" spans="8:8">
      <c r="H728" s="545"/>
    </row>
    <row r="729" spans="8:8">
      <c r="H729" s="545"/>
    </row>
    <row r="730" spans="8:8">
      <c r="H730" s="545"/>
    </row>
    <row r="731" spans="8:8">
      <c r="H731" s="545"/>
    </row>
    <row r="732" spans="8:8">
      <c r="H732" s="545"/>
    </row>
    <row r="733" spans="8:8">
      <c r="H733" s="545"/>
    </row>
    <row r="734" spans="8:8">
      <c r="H734" s="545"/>
    </row>
    <row r="735" spans="8:8">
      <c r="H735" s="545"/>
    </row>
    <row r="736" spans="8:8">
      <c r="H736" s="545"/>
    </row>
    <row r="737" spans="8:8">
      <c r="H737" s="545"/>
    </row>
    <row r="738" spans="8:8">
      <c r="H738" s="545"/>
    </row>
    <row r="739" spans="8:8">
      <c r="H739" s="545"/>
    </row>
    <row r="740" spans="8:8">
      <c r="H740" s="545"/>
    </row>
    <row r="741" spans="8:8">
      <c r="H741" s="545"/>
    </row>
    <row r="742" spans="8:8">
      <c r="H742" s="545"/>
    </row>
    <row r="743" spans="8:8">
      <c r="H743" s="545"/>
    </row>
    <row r="744" spans="8:8">
      <c r="H744" s="545"/>
    </row>
    <row r="745" spans="8:8">
      <c r="H745" s="545"/>
    </row>
    <row r="746" spans="8:8">
      <c r="H746" s="545"/>
    </row>
    <row r="747" spans="8:8">
      <c r="H747" s="545"/>
    </row>
    <row r="748" spans="8:8">
      <c r="H748" s="545"/>
    </row>
    <row r="749" spans="8:8">
      <c r="H749" s="545"/>
    </row>
    <row r="750" spans="8:8">
      <c r="H750" s="545"/>
    </row>
    <row r="751" spans="8:8">
      <c r="H751" s="545"/>
    </row>
    <row r="752" spans="8:8">
      <c r="H752" s="545"/>
    </row>
    <row r="753" spans="8:8">
      <c r="H753" s="545"/>
    </row>
    <row r="754" spans="8:8">
      <c r="H754" s="545"/>
    </row>
    <row r="755" spans="8:8">
      <c r="H755" s="545"/>
    </row>
    <row r="756" spans="8:8">
      <c r="H756" s="545"/>
    </row>
    <row r="757" spans="8:8">
      <c r="H757" s="545"/>
    </row>
    <row r="758" spans="8:8">
      <c r="H758" s="545"/>
    </row>
    <row r="759" spans="8:8">
      <c r="H759" s="545"/>
    </row>
    <row r="760" spans="8:8">
      <c r="H760" s="545"/>
    </row>
    <row r="761" spans="8:8">
      <c r="H761" s="545"/>
    </row>
    <row r="762" spans="8:8">
      <c r="H762" s="545"/>
    </row>
    <row r="763" spans="8:8">
      <c r="H763" s="545"/>
    </row>
    <row r="764" spans="8:8">
      <c r="H764" s="545"/>
    </row>
    <row r="765" spans="8:8">
      <c r="H765" s="545"/>
    </row>
    <row r="766" spans="8:8">
      <c r="H766" s="545"/>
    </row>
    <row r="767" spans="8:8">
      <c r="H767" s="545"/>
    </row>
    <row r="768" spans="8:8">
      <c r="H768" s="545"/>
    </row>
    <row r="769" spans="8:8">
      <c r="H769" s="545"/>
    </row>
    <row r="770" spans="8:8">
      <c r="H770" s="545"/>
    </row>
    <row r="771" spans="8:8">
      <c r="H771" s="545"/>
    </row>
    <row r="772" spans="8:8">
      <c r="H772" s="545"/>
    </row>
    <row r="773" spans="8:8">
      <c r="H773" s="545"/>
    </row>
    <row r="774" spans="8:8">
      <c r="H774" s="545"/>
    </row>
    <row r="775" spans="8:8">
      <c r="H775" s="545"/>
    </row>
    <row r="776" spans="8:8">
      <c r="H776" s="545"/>
    </row>
    <row r="777" spans="8:8">
      <c r="H777" s="545"/>
    </row>
    <row r="778" spans="8:8">
      <c r="H778" s="545"/>
    </row>
    <row r="779" spans="8:8">
      <c r="H779" s="545"/>
    </row>
    <row r="780" spans="8:8">
      <c r="H780" s="545"/>
    </row>
    <row r="781" spans="8:8">
      <c r="H781" s="545"/>
    </row>
    <row r="782" spans="8:8">
      <c r="H782" s="545"/>
    </row>
    <row r="783" spans="8:8">
      <c r="H783" s="545"/>
    </row>
    <row r="784" spans="8:8">
      <c r="H784" s="545"/>
    </row>
    <row r="785" spans="8:8">
      <c r="H785" s="545"/>
    </row>
    <row r="786" spans="8:8">
      <c r="H786" s="545"/>
    </row>
    <row r="787" spans="8:8">
      <c r="H787" s="545"/>
    </row>
    <row r="788" spans="8:8">
      <c r="H788" s="545"/>
    </row>
    <row r="789" spans="8:8">
      <c r="H789" s="545"/>
    </row>
    <row r="790" spans="8:8">
      <c r="H790" s="545"/>
    </row>
    <row r="791" spans="8:8">
      <c r="H791" s="545"/>
    </row>
    <row r="792" spans="8:8">
      <c r="H792" s="545"/>
    </row>
    <row r="793" spans="8:8">
      <c r="H793" s="545"/>
    </row>
    <row r="794" spans="8:8">
      <c r="H794" s="545"/>
    </row>
    <row r="795" spans="8:8">
      <c r="H795" s="545"/>
    </row>
    <row r="796" spans="8:8">
      <c r="H796" s="545"/>
    </row>
    <row r="797" spans="8:8">
      <c r="H797" s="545"/>
    </row>
    <row r="798" spans="8:8">
      <c r="H798" s="545"/>
    </row>
    <row r="799" spans="8:8">
      <c r="H799" s="545"/>
    </row>
    <row r="800" spans="8:8">
      <c r="H800" s="545"/>
    </row>
    <row r="801" spans="8:8">
      <c r="H801" s="545"/>
    </row>
    <row r="802" spans="8:8">
      <c r="H802" s="545"/>
    </row>
    <row r="803" spans="8:8">
      <c r="H803" s="545"/>
    </row>
    <row r="804" spans="8:8">
      <c r="H804" s="545"/>
    </row>
    <row r="805" spans="8:8">
      <c r="H805" s="545"/>
    </row>
    <row r="806" spans="8:8">
      <c r="H806" s="545"/>
    </row>
    <row r="807" spans="8:8">
      <c r="H807" s="545"/>
    </row>
    <row r="808" spans="8:8">
      <c r="H808" s="545"/>
    </row>
    <row r="809" spans="8:8">
      <c r="H809" s="545"/>
    </row>
    <row r="810" spans="8:8">
      <c r="H810" s="545"/>
    </row>
    <row r="811" spans="8:8">
      <c r="H811" s="545"/>
    </row>
    <row r="812" spans="8:8">
      <c r="H812" s="545"/>
    </row>
    <row r="813" spans="8:8">
      <c r="H813" s="545"/>
    </row>
    <row r="814" spans="8:8">
      <c r="H814" s="545"/>
    </row>
    <row r="815" spans="8:8">
      <c r="H815" s="545"/>
    </row>
    <row r="816" spans="8:8">
      <c r="H816" s="545"/>
    </row>
    <row r="817" spans="8:8">
      <c r="H817" s="545"/>
    </row>
    <row r="818" spans="8:8">
      <c r="H818" s="545"/>
    </row>
    <row r="819" spans="8:8">
      <c r="H819" s="545"/>
    </row>
    <row r="820" spans="8:8">
      <c r="H820" s="545"/>
    </row>
    <row r="821" spans="8:8">
      <c r="H821" s="545"/>
    </row>
    <row r="822" spans="8:8">
      <c r="H822" s="545"/>
    </row>
    <row r="823" spans="8:8">
      <c r="H823" s="545"/>
    </row>
    <row r="824" spans="8:8">
      <c r="H824" s="545"/>
    </row>
    <row r="825" spans="8:8">
      <c r="H825" s="545"/>
    </row>
    <row r="826" spans="8:8">
      <c r="H826" s="545"/>
    </row>
    <row r="827" spans="8:8">
      <c r="H827" s="545"/>
    </row>
    <row r="828" spans="8:8">
      <c r="H828" s="545"/>
    </row>
    <row r="829" spans="8:8">
      <c r="H829" s="545"/>
    </row>
    <row r="830" spans="8:8">
      <c r="H830" s="545"/>
    </row>
    <row r="831" spans="8:8">
      <c r="H831" s="545"/>
    </row>
    <row r="832" spans="8:8">
      <c r="H832" s="545"/>
    </row>
    <row r="833" spans="8:8">
      <c r="H833" s="545"/>
    </row>
    <row r="834" spans="8:8">
      <c r="H834" s="545"/>
    </row>
    <row r="835" spans="8:8">
      <c r="H835" s="545"/>
    </row>
    <row r="836" spans="8:8">
      <c r="H836" s="545"/>
    </row>
    <row r="837" spans="8:8">
      <c r="H837" s="545"/>
    </row>
    <row r="838" spans="8:8">
      <c r="H838" s="545"/>
    </row>
    <row r="839" spans="8:8">
      <c r="H839" s="545"/>
    </row>
    <row r="840" spans="8:8">
      <c r="H840" s="545"/>
    </row>
    <row r="841" spans="8:8">
      <c r="H841" s="545"/>
    </row>
    <row r="842" spans="8:8">
      <c r="H842" s="545"/>
    </row>
    <row r="843" spans="8:8">
      <c r="H843" s="545"/>
    </row>
    <row r="844" spans="8:8">
      <c r="H844" s="545"/>
    </row>
    <row r="845" spans="8:8">
      <c r="H845" s="545"/>
    </row>
    <row r="846" spans="8:8">
      <c r="H846" s="545"/>
    </row>
    <row r="847" spans="8:8">
      <c r="H847" s="545"/>
    </row>
    <row r="848" spans="8:8">
      <c r="H848" s="545"/>
    </row>
    <row r="849" spans="8:8">
      <c r="H849" s="545"/>
    </row>
    <row r="850" spans="8:8">
      <c r="H850" s="545"/>
    </row>
    <row r="851" spans="8:8">
      <c r="H851" s="545"/>
    </row>
    <row r="852" spans="8:8">
      <c r="H852" s="545"/>
    </row>
    <row r="853" spans="8:8">
      <c r="H853" s="545"/>
    </row>
    <row r="854" spans="8:8">
      <c r="H854" s="545"/>
    </row>
    <row r="855" spans="8:8">
      <c r="H855" s="545"/>
    </row>
    <row r="856" spans="8:8">
      <c r="H856" s="545"/>
    </row>
    <row r="857" spans="8:8">
      <c r="H857" s="545"/>
    </row>
    <row r="858" spans="8:8">
      <c r="H858" s="545"/>
    </row>
    <row r="859" spans="8:8">
      <c r="H859" s="545"/>
    </row>
    <row r="860" spans="8:8">
      <c r="H860" s="545"/>
    </row>
    <row r="861" spans="8:8">
      <c r="H861" s="545"/>
    </row>
    <row r="862" spans="8:8">
      <c r="H862" s="545"/>
    </row>
    <row r="863" spans="8:8">
      <c r="H863" s="545"/>
    </row>
    <row r="864" spans="8:8">
      <c r="H864" s="545"/>
    </row>
    <row r="865" spans="8:8">
      <c r="H865" s="545"/>
    </row>
    <row r="866" spans="8:8">
      <c r="H866" s="545"/>
    </row>
    <row r="867" spans="8:8">
      <c r="H867" s="545"/>
    </row>
    <row r="868" spans="8:8">
      <c r="H868" s="545"/>
    </row>
    <row r="869" spans="8:8">
      <c r="H869" s="545"/>
    </row>
    <row r="870" spans="8:8">
      <c r="H870" s="545"/>
    </row>
    <row r="871" spans="8:8">
      <c r="H871" s="545"/>
    </row>
    <row r="872" spans="8:8">
      <c r="H872" s="545"/>
    </row>
    <row r="873" spans="8:8">
      <c r="H873" s="545"/>
    </row>
    <row r="874" spans="8:8">
      <c r="H874" s="545"/>
    </row>
    <row r="875" spans="8:8">
      <c r="H875" s="545"/>
    </row>
    <row r="876" spans="8:8">
      <c r="H876" s="545"/>
    </row>
    <row r="877" spans="8:8">
      <c r="H877" s="545"/>
    </row>
    <row r="878" spans="8:8">
      <c r="H878" s="545"/>
    </row>
    <row r="879" spans="8:8">
      <c r="H879" s="545"/>
    </row>
    <row r="880" spans="8:8">
      <c r="H880" s="545"/>
    </row>
    <row r="881" spans="8:8">
      <c r="H881" s="545"/>
    </row>
    <row r="882" spans="8:8">
      <c r="H882" s="545"/>
    </row>
    <row r="883" spans="8:8">
      <c r="H883" s="545"/>
    </row>
    <row r="884" spans="8:8">
      <c r="H884" s="545"/>
    </row>
    <row r="885" spans="8:8">
      <c r="H885" s="545"/>
    </row>
    <row r="886" spans="8:8">
      <c r="H886" s="545"/>
    </row>
    <row r="887" spans="8:8">
      <c r="H887" s="545"/>
    </row>
    <row r="888" spans="8:8">
      <c r="H888" s="545"/>
    </row>
    <row r="889" spans="8:8">
      <c r="H889" s="545"/>
    </row>
    <row r="890" spans="8:8">
      <c r="H890" s="545"/>
    </row>
    <row r="891" spans="8:8">
      <c r="H891" s="545"/>
    </row>
    <row r="892" spans="8:8">
      <c r="H892" s="545"/>
    </row>
    <row r="893" spans="8:8">
      <c r="H893" s="545"/>
    </row>
    <row r="894" spans="8:8">
      <c r="H894" s="545"/>
    </row>
    <row r="895" spans="8:8">
      <c r="H895" s="545"/>
    </row>
    <row r="896" spans="8:8">
      <c r="H896" s="545"/>
    </row>
    <row r="897" spans="8:8">
      <c r="H897" s="545"/>
    </row>
    <row r="898" spans="8:8">
      <c r="H898" s="545"/>
    </row>
    <row r="899" spans="8:8">
      <c r="H899" s="545"/>
    </row>
    <row r="900" spans="8:8">
      <c r="H900" s="545"/>
    </row>
    <row r="901" spans="8:8">
      <c r="H901" s="545"/>
    </row>
    <row r="902" spans="8:8">
      <c r="H902" s="545"/>
    </row>
    <row r="903" spans="8:8">
      <c r="H903" s="545"/>
    </row>
    <row r="904" spans="8:8">
      <c r="H904" s="545"/>
    </row>
    <row r="905" spans="8:8">
      <c r="H905" s="545"/>
    </row>
    <row r="906" spans="8:8">
      <c r="H906" s="545"/>
    </row>
    <row r="907" spans="8:8">
      <c r="H907" s="545"/>
    </row>
    <row r="908" spans="8:8">
      <c r="H908" s="545"/>
    </row>
    <row r="909" spans="8:8">
      <c r="H909" s="545"/>
    </row>
    <row r="910" spans="8:8">
      <c r="H910" s="545"/>
    </row>
    <row r="911" spans="8:8">
      <c r="H911" s="545"/>
    </row>
    <row r="912" spans="8:8">
      <c r="H912" s="545"/>
    </row>
    <row r="913" spans="8:8">
      <c r="H913" s="545"/>
    </row>
    <row r="914" spans="8:8">
      <c r="H914" s="545"/>
    </row>
    <row r="915" spans="8:8">
      <c r="H915" s="545"/>
    </row>
    <row r="916" spans="8:8">
      <c r="H916" s="545"/>
    </row>
    <row r="917" spans="8:8">
      <c r="H917" s="545"/>
    </row>
    <row r="918" spans="8:8">
      <c r="H918" s="545"/>
    </row>
    <row r="919" spans="8:8">
      <c r="H919" s="545"/>
    </row>
    <row r="920" spans="8:8">
      <c r="H920" s="545"/>
    </row>
    <row r="921" spans="8:8">
      <c r="H921" s="545"/>
    </row>
    <row r="922" spans="8:8">
      <c r="H922" s="545"/>
    </row>
    <row r="923" spans="8:8">
      <c r="H923" s="545"/>
    </row>
    <row r="924" spans="8:8">
      <c r="H924" s="545"/>
    </row>
    <row r="925" spans="8:8">
      <c r="H925" s="545"/>
    </row>
    <row r="926" spans="8:8">
      <c r="H926" s="545"/>
    </row>
    <row r="927" spans="8:8">
      <c r="H927" s="545"/>
    </row>
    <row r="928" spans="8:8">
      <c r="H928" s="545"/>
    </row>
    <row r="929" spans="8:8">
      <c r="H929" s="545"/>
    </row>
    <row r="930" spans="8:8">
      <c r="H930" s="545"/>
    </row>
    <row r="931" spans="8:8">
      <c r="H931" s="545"/>
    </row>
    <row r="932" spans="8:8">
      <c r="H932" s="545"/>
    </row>
    <row r="933" spans="8:8">
      <c r="H933" s="545"/>
    </row>
    <row r="934" spans="8:8">
      <c r="H934" s="545"/>
    </row>
    <row r="935" spans="8:8">
      <c r="H935" s="545"/>
    </row>
    <row r="936" spans="8:8">
      <c r="H936" s="545"/>
    </row>
    <row r="937" spans="8:8">
      <c r="H937" s="545"/>
    </row>
    <row r="938" spans="8:8">
      <c r="H938" s="545"/>
    </row>
    <row r="939" spans="8:8">
      <c r="H939" s="545"/>
    </row>
    <row r="940" spans="8:8">
      <c r="H940" s="545"/>
    </row>
    <row r="941" spans="8:8">
      <c r="H941" s="545"/>
    </row>
    <row r="942" spans="8:8">
      <c r="H942" s="545"/>
    </row>
    <row r="943" spans="8:8">
      <c r="H943" s="545"/>
    </row>
    <row r="944" spans="8:8">
      <c r="H944" s="545"/>
    </row>
    <row r="945" spans="8:8">
      <c r="H945" s="545"/>
    </row>
    <row r="946" spans="8:8">
      <c r="H946" s="545"/>
    </row>
    <row r="947" spans="8:8">
      <c r="H947" s="545"/>
    </row>
    <row r="948" spans="8:8">
      <c r="H948" s="545"/>
    </row>
    <row r="949" spans="8:8">
      <c r="H949" s="545"/>
    </row>
    <row r="950" spans="8:8">
      <c r="H950" s="545"/>
    </row>
    <row r="951" spans="8:8">
      <c r="H951" s="545"/>
    </row>
    <row r="952" spans="8:8">
      <c r="H952" s="545"/>
    </row>
    <row r="953" spans="8:8">
      <c r="H953" s="545"/>
    </row>
    <row r="954" spans="8:8">
      <c r="H954" s="545"/>
    </row>
    <row r="955" spans="8:8">
      <c r="H955" s="545"/>
    </row>
    <row r="956" spans="8:8">
      <c r="H956" s="545"/>
    </row>
    <row r="957" spans="8:8">
      <c r="H957" s="545"/>
    </row>
    <row r="958" spans="8:8">
      <c r="H958" s="545"/>
    </row>
    <row r="959" spans="8:8">
      <c r="H959" s="545"/>
    </row>
    <row r="960" spans="8:8">
      <c r="H960" s="545"/>
    </row>
    <row r="961" spans="8:8">
      <c r="H961" s="545"/>
    </row>
    <row r="962" spans="8:8">
      <c r="H962" s="545"/>
    </row>
    <row r="963" spans="8:8">
      <c r="H963" s="545"/>
    </row>
    <row r="964" spans="8:8">
      <c r="H964" s="545"/>
    </row>
    <row r="965" spans="8:8">
      <c r="H965" s="545"/>
    </row>
    <row r="966" spans="8:8">
      <c r="H966" s="545"/>
    </row>
    <row r="967" spans="8:8">
      <c r="H967" s="545"/>
    </row>
    <row r="968" spans="8:8">
      <c r="H968" s="545"/>
    </row>
    <row r="969" spans="8:8">
      <c r="H969" s="545"/>
    </row>
    <row r="970" spans="8:8">
      <c r="H970" s="545"/>
    </row>
    <row r="971" spans="8:8">
      <c r="H971" s="545"/>
    </row>
    <row r="972" spans="8:8">
      <c r="H972" s="545"/>
    </row>
    <row r="973" spans="8:8">
      <c r="H973" s="545"/>
    </row>
    <row r="974" spans="8:8">
      <c r="H974" s="545"/>
    </row>
    <row r="975" spans="8:8">
      <c r="H975" s="545"/>
    </row>
    <row r="976" spans="8:8">
      <c r="H976" s="545"/>
    </row>
    <row r="977" spans="8:8">
      <c r="H977" s="545"/>
    </row>
    <row r="978" spans="8:8">
      <c r="H978" s="545"/>
    </row>
    <row r="979" spans="8:8">
      <c r="H979" s="545"/>
    </row>
    <row r="980" spans="8:8">
      <c r="H980" s="545"/>
    </row>
    <row r="981" spans="8:8">
      <c r="H981" s="545"/>
    </row>
    <row r="982" spans="8:8">
      <c r="H982" s="545"/>
    </row>
    <row r="983" spans="8:8">
      <c r="H983" s="545"/>
    </row>
    <row r="984" spans="8:8">
      <c r="H984" s="545"/>
    </row>
    <row r="985" spans="8:8">
      <c r="H985" s="545"/>
    </row>
    <row r="986" spans="8:8">
      <c r="H986" s="545"/>
    </row>
    <row r="987" spans="8:8">
      <c r="H987" s="545"/>
    </row>
    <row r="988" spans="8:8">
      <c r="H988" s="545"/>
    </row>
    <row r="989" spans="8:8">
      <c r="H989" s="545"/>
    </row>
    <row r="990" spans="8:8">
      <c r="H990" s="545"/>
    </row>
    <row r="991" spans="8:8">
      <c r="H991" s="545"/>
    </row>
    <row r="992" spans="8:8">
      <c r="H992" s="545"/>
    </row>
    <row r="993" spans="8:8">
      <c r="H993" s="545"/>
    </row>
    <row r="994" spans="8:8">
      <c r="H994" s="545"/>
    </row>
    <row r="995" spans="8:8">
      <c r="H995" s="545"/>
    </row>
    <row r="996" spans="8:8">
      <c r="H996" s="545"/>
    </row>
    <row r="997" spans="8:8">
      <c r="H997" s="545"/>
    </row>
    <row r="998" spans="8:8">
      <c r="H998" s="545"/>
    </row>
    <row r="999" spans="8:8">
      <c r="H999" s="545"/>
    </row>
    <row r="1000" spans="8:8">
      <c r="H1000" s="545"/>
    </row>
    <row r="1001" spans="8:8">
      <c r="H1001" s="545"/>
    </row>
    <row r="1002" spans="8:8">
      <c r="H1002" s="545"/>
    </row>
    <row r="1003" spans="8:8">
      <c r="H1003" s="545"/>
    </row>
    <row r="1004" spans="8:8">
      <c r="H1004" s="545"/>
    </row>
    <row r="1005" spans="8:8">
      <c r="H1005" s="545"/>
    </row>
    <row r="1006" spans="8:8">
      <c r="H1006" s="545"/>
    </row>
    <row r="1007" spans="8:8">
      <c r="H1007" s="545"/>
    </row>
    <row r="1008" spans="8:8">
      <c r="H1008" s="545"/>
    </row>
    <row r="1009" spans="8:8">
      <c r="H1009" s="545"/>
    </row>
    <row r="1010" spans="8:8">
      <c r="H1010" s="545"/>
    </row>
    <row r="1011" spans="8:8">
      <c r="H1011" s="545"/>
    </row>
    <row r="1012" spans="8:8">
      <c r="H1012" s="545"/>
    </row>
    <row r="1013" spans="8:8">
      <c r="H1013" s="545"/>
    </row>
    <row r="1014" spans="8:8">
      <c r="H1014" s="545"/>
    </row>
    <row r="1015" spans="8:8">
      <c r="H1015" s="545"/>
    </row>
    <row r="1016" spans="8:8">
      <c r="H1016" s="545"/>
    </row>
    <row r="1017" spans="8:8">
      <c r="H1017" s="545"/>
    </row>
    <row r="1018" spans="8:8">
      <c r="H1018" s="545"/>
    </row>
    <row r="1019" spans="8:8">
      <c r="H1019" s="545"/>
    </row>
    <row r="1020" spans="8:8">
      <c r="H1020" s="545"/>
    </row>
    <row r="1021" spans="8:8">
      <c r="H1021" s="545"/>
    </row>
    <row r="1022" spans="8:8">
      <c r="H1022" s="545"/>
    </row>
    <row r="1023" spans="8:8">
      <c r="H1023" s="545"/>
    </row>
    <row r="1024" spans="8:8">
      <c r="H1024" s="545"/>
    </row>
    <row r="1025" spans="8:8">
      <c r="H1025" s="545"/>
    </row>
    <row r="1026" spans="8:8">
      <c r="H1026" s="545"/>
    </row>
    <row r="1027" spans="8:8">
      <c r="H1027" s="545"/>
    </row>
    <row r="1028" spans="8:8">
      <c r="H1028" s="545"/>
    </row>
    <row r="1029" spans="8:8">
      <c r="H1029" s="545"/>
    </row>
    <row r="1030" spans="8:8">
      <c r="H1030" s="545"/>
    </row>
    <row r="1031" spans="8:8">
      <c r="H1031" s="545"/>
    </row>
    <row r="1032" spans="8:8">
      <c r="H1032" s="545"/>
    </row>
    <row r="1033" spans="8:8">
      <c r="H1033" s="545"/>
    </row>
    <row r="1034" spans="8:8">
      <c r="H1034" s="545"/>
    </row>
    <row r="1035" spans="8:8">
      <c r="H1035" s="545"/>
    </row>
    <row r="1036" spans="8:8">
      <c r="H1036" s="545"/>
    </row>
    <row r="1037" spans="8:8">
      <c r="H1037" s="545"/>
    </row>
    <row r="1038" spans="8:8">
      <c r="H1038" s="545"/>
    </row>
    <row r="1039" spans="8:8">
      <c r="H1039" s="545"/>
    </row>
    <row r="1040" spans="8:8">
      <c r="H1040" s="545"/>
    </row>
    <row r="1041" spans="8:8">
      <c r="H1041" s="545"/>
    </row>
    <row r="1042" spans="8:8">
      <c r="H1042" s="545"/>
    </row>
    <row r="1043" spans="8:8">
      <c r="H1043" s="545"/>
    </row>
    <row r="1044" spans="8:8">
      <c r="H1044" s="545"/>
    </row>
    <row r="1045" spans="8:8">
      <c r="H1045" s="545"/>
    </row>
    <row r="1046" spans="8:8">
      <c r="H1046" s="545"/>
    </row>
    <row r="1047" spans="8:8">
      <c r="H1047" s="545"/>
    </row>
    <row r="1048" spans="8:8">
      <c r="H1048" s="545"/>
    </row>
    <row r="1049" spans="8:8">
      <c r="H1049" s="545"/>
    </row>
    <row r="1050" spans="8:8">
      <c r="H1050" s="545"/>
    </row>
    <row r="1051" spans="8:8">
      <c r="H1051" s="545"/>
    </row>
    <row r="1052" spans="8:8">
      <c r="H1052" s="545"/>
    </row>
    <row r="1053" spans="8:8">
      <c r="H1053" s="545"/>
    </row>
    <row r="1054" spans="8:8">
      <c r="H1054" s="545"/>
    </row>
    <row r="1055" spans="8:8">
      <c r="H1055" s="545"/>
    </row>
    <row r="1056" spans="8:8">
      <c r="H1056" s="545"/>
    </row>
    <row r="1057" spans="8:8">
      <c r="H1057" s="545"/>
    </row>
    <row r="1058" spans="8:8">
      <c r="H1058" s="545"/>
    </row>
    <row r="1059" spans="8:8">
      <c r="H1059" s="545"/>
    </row>
    <row r="1060" spans="8:8">
      <c r="H1060" s="545"/>
    </row>
    <row r="1061" spans="8:8">
      <c r="H1061" s="545"/>
    </row>
    <row r="1062" spans="8:8">
      <c r="H1062" s="545"/>
    </row>
    <row r="1063" spans="8:8">
      <c r="H1063" s="545"/>
    </row>
    <row r="1064" spans="8:8">
      <c r="H1064" s="545"/>
    </row>
    <row r="1065" spans="8:8">
      <c r="H1065" s="545"/>
    </row>
    <row r="1066" spans="8:8">
      <c r="H1066" s="545"/>
    </row>
    <row r="1067" spans="8:8">
      <c r="H1067" s="545"/>
    </row>
    <row r="1068" spans="8:8">
      <c r="H1068" s="545"/>
    </row>
    <row r="1069" spans="8:8">
      <c r="H1069" s="545"/>
    </row>
    <row r="1070" spans="8:8">
      <c r="H1070" s="545"/>
    </row>
    <row r="1071" spans="8:8">
      <c r="H1071" s="545"/>
    </row>
    <row r="1072" spans="8:8">
      <c r="H1072" s="545"/>
    </row>
    <row r="1073" spans="8:8">
      <c r="H1073" s="545"/>
    </row>
    <row r="1074" spans="8:8">
      <c r="H1074" s="545"/>
    </row>
    <row r="1075" spans="8:8">
      <c r="H1075" s="545"/>
    </row>
    <row r="1076" spans="8:8">
      <c r="H1076" s="545"/>
    </row>
    <row r="1077" spans="8:8">
      <c r="H1077" s="545"/>
    </row>
    <row r="1078" spans="8:8">
      <c r="H1078" s="545"/>
    </row>
    <row r="1079" spans="8:8">
      <c r="H1079" s="545"/>
    </row>
    <row r="1080" spans="8:8">
      <c r="H1080" s="545"/>
    </row>
    <row r="1081" spans="8:8">
      <c r="H1081" s="545"/>
    </row>
    <row r="1082" spans="8:8">
      <c r="H1082" s="545"/>
    </row>
    <row r="1083" spans="8:8">
      <c r="H1083" s="545"/>
    </row>
    <row r="1084" spans="8:8">
      <c r="H1084" s="545"/>
    </row>
    <row r="1085" spans="8:8">
      <c r="H1085" s="545"/>
    </row>
    <row r="1086" spans="8:8">
      <c r="H1086" s="545"/>
    </row>
    <row r="1087" spans="8:8">
      <c r="H1087" s="545"/>
    </row>
    <row r="1088" spans="8:8">
      <c r="H1088" s="545"/>
    </row>
    <row r="1089" spans="8:8">
      <c r="H1089" s="545"/>
    </row>
    <row r="1090" spans="8:8">
      <c r="H1090" s="545"/>
    </row>
    <row r="1091" spans="8:8">
      <c r="H1091" s="545"/>
    </row>
    <row r="1092" spans="8:8">
      <c r="H1092" s="545"/>
    </row>
    <row r="1093" spans="8:8">
      <c r="H1093" s="545"/>
    </row>
    <row r="1094" spans="8:8">
      <c r="H1094" s="545"/>
    </row>
    <row r="1095" spans="8:8">
      <c r="H1095" s="545"/>
    </row>
    <row r="1096" spans="8:8">
      <c r="H1096" s="545"/>
    </row>
    <row r="1097" spans="8:8">
      <c r="H1097" s="545"/>
    </row>
    <row r="1098" spans="8:8">
      <c r="H1098" s="545"/>
    </row>
    <row r="1099" spans="8:8">
      <c r="H1099" s="545"/>
    </row>
    <row r="1100" spans="8:8">
      <c r="H1100" s="545"/>
    </row>
    <row r="1101" spans="8:8">
      <c r="H1101" s="545"/>
    </row>
    <row r="1102" spans="8:8">
      <c r="H1102" s="545"/>
    </row>
    <row r="1103" spans="8:8">
      <c r="H1103" s="545"/>
    </row>
    <row r="1104" spans="8:8">
      <c r="H1104" s="545"/>
    </row>
    <row r="1105" spans="8:8">
      <c r="H1105" s="545"/>
    </row>
    <row r="1106" spans="8:8">
      <c r="H1106" s="545"/>
    </row>
    <row r="1107" spans="8:8">
      <c r="H1107" s="545"/>
    </row>
    <row r="1108" spans="8:8">
      <c r="H1108" s="545"/>
    </row>
    <row r="1109" spans="8:8">
      <c r="H1109" s="545"/>
    </row>
    <row r="1110" spans="8:8">
      <c r="H1110" s="545"/>
    </row>
    <row r="1111" spans="8:8">
      <c r="H1111" s="545"/>
    </row>
    <row r="1112" spans="8:8">
      <c r="H1112" s="545"/>
    </row>
    <row r="1113" spans="8:8">
      <c r="H1113" s="545"/>
    </row>
    <row r="1114" spans="8:8">
      <c r="H1114" s="545"/>
    </row>
    <row r="1115" spans="8:8">
      <c r="H1115" s="545"/>
    </row>
    <row r="1116" spans="8:8">
      <c r="H1116" s="545"/>
    </row>
    <row r="1117" spans="8:8">
      <c r="H1117" s="545"/>
    </row>
    <row r="1118" spans="8:8">
      <c r="H1118" s="545"/>
    </row>
    <row r="1119" spans="8:8">
      <c r="H1119" s="545"/>
    </row>
    <row r="1120" spans="8:8">
      <c r="H1120" s="545"/>
    </row>
    <row r="1121" spans="8:8">
      <c r="H1121" s="545"/>
    </row>
    <row r="1122" spans="8:8">
      <c r="H1122" s="545"/>
    </row>
    <row r="1123" spans="8:8">
      <c r="H1123" s="545"/>
    </row>
    <row r="1124" spans="8:8">
      <c r="H1124" s="545"/>
    </row>
    <row r="1125" spans="8:8">
      <c r="H1125" s="545"/>
    </row>
    <row r="1126" spans="8:8">
      <c r="H1126" s="545"/>
    </row>
    <row r="1127" spans="8:8">
      <c r="H1127" s="545"/>
    </row>
    <row r="1128" spans="8:8">
      <c r="H1128" s="545"/>
    </row>
    <row r="1129" spans="8:8">
      <c r="H1129" s="545"/>
    </row>
    <row r="1130" spans="8:8">
      <c r="H1130" s="545"/>
    </row>
    <row r="1131" spans="8:8">
      <c r="H1131" s="545"/>
    </row>
    <row r="1132" spans="8:8">
      <c r="H1132" s="545"/>
    </row>
    <row r="1133" spans="8:8">
      <c r="H1133" s="545"/>
    </row>
    <row r="1134" spans="8:8">
      <c r="H1134" s="545"/>
    </row>
    <row r="1135" spans="8:8">
      <c r="H1135" s="545"/>
    </row>
    <row r="1136" spans="8:8">
      <c r="H1136" s="545"/>
    </row>
    <row r="1137" spans="8:8">
      <c r="H1137" s="545"/>
    </row>
    <row r="1138" spans="8:8">
      <c r="H1138" s="545"/>
    </row>
    <row r="1139" spans="8:8">
      <c r="H1139" s="545"/>
    </row>
    <row r="1140" spans="8:8">
      <c r="H1140" s="545"/>
    </row>
    <row r="1141" spans="8:8">
      <c r="H1141" s="545"/>
    </row>
    <row r="1142" spans="8:8">
      <c r="H1142" s="545"/>
    </row>
    <row r="1143" spans="8:8">
      <c r="H1143" s="545"/>
    </row>
    <row r="1144" spans="8:8">
      <c r="H1144" s="545"/>
    </row>
    <row r="1145" spans="8:8">
      <c r="H1145" s="545"/>
    </row>
    <row r="1146" spans="8:8">
      <c r="H1146" s="545"/>
    </row>
    <row r="1147" spans="8:8">
      <c r="H1147" s="545"/>
    </row>
    <row r="1148" spans="8:8">
      <c r="H1148" s="545"/>
    </row>
    <row r="1149" spans="8:8">
      <c r="H1149" s="545"/>
    </row>
    <row r="1150" spans="8:8">
      <c r="H1150" s="545"/>
    </row>
    <row r="1151" spans="8:8">
      <c r="H1151" s="545"/>
    </row>
    <row r="1152" spans="8:8">
      <c r="H1152" s="545"/>
    </row>
    <row r="1153" spans="8:8">
      <c r="H1153" s="545"/>
    </row>
    <row r="1154" spans="8:8">
      <c r="H1154" s="545"/>
    </row>
    <row r="1155" spans="8:8">
      <c r="H1155" s="545"/>
    </row>
    <row r="1156" spans="8:8">
      <c r="H1156" s="545"/>
    </row>
    <row r="1157" spans="8:8">
      <c r="H1157" s="545"/>
    </row>
    <row r="1158" spans="8:8">
      <c r="H1158" s="545"/>
    </row>
    <row r="1159" spans="8:8">
      <c r="H1159" s="545"/>
    </row>
    <row r="1160" spans="8:8">
      <c r="H1160" s="545"/>
    </row>
    <row r="1161" spans="8:8">
      <c r="H1161" s="545"/>
    </row>
    <row r="1162" spans="8:8">
      <c r="H1162" s="545"/>
    </row>
    <row r="1163" spans="8:8">
      <c r="H1163" s="545"/>
    </row>
    <row r="1164" spans="8:8">
      <c r="H1164" s="545"/>
    </row>
    <row r="1165" spans="8:8">
      <c r="H1165" s="545"/>
    </row>
    <row r="1166" spans="8:8">
      <c r="H1166" s="545"/>
    </row>
    <row r="1167" spans="8:8">
      <c r="H1167" s="545"/>
    </row>
    <row r="1168" spans="8:8">
      <c r="H1168" s="545"/>
    </row>
    <row r="1169" spans="8:8">
      <c r="H1169" s="545"/>
    </row>
    <row r="1170" spans="8:8">
      <c r="H1170" s="545"/>
    </row>
    <row r="1171" spans="8:8">
      <c r="H1171" s="545"/>
    </row>
    <row r="1172" spans="8:8">
      <c r="H1172" s="545"/>
    </row>
    <row r="1173" spans="8:8">
      <c r="H1173" s="545"/>
    </row>
    <row r="1174" spans="8:8">
      <c r="H1174" s="545"/>
    </row>
    <row r="1175" spans="8:8">
      <c r="H1175" s="545"/>
    </row>
    <row r="1176" spans="8:8">
      <c r="H1176" s="545"/>
    </row>
    <row r="1177" spans="8:8">
      <c r="H1177" s="545"/>
    </row>
    <row r="1178" spans="8:8">
      <c r="H1178" s="545"/>
    </row>
    <row r="1179" spans="8:8">
      <c r="H1179" s="545"/>
    </row>
    <row r="1180" spans="8:8">
      <c r="H1180" s="545"/>
    </row>
    <row r="1181" spans="8:8">
      <c r="H1181" s="545"/>
    </row>
    <row r="1182" spans="8:8">
      <c r="H1182" s="545"/>
    </row>
    <row r="1183" spans="8:8">
      <c r="H1183" s="545"/>
    </row>
    <row r="1184" spans="8:8">
      <c r="H1184" s="545"/>
    </row>
    <row r="1185" spans="8:8">
      <c r="H1185" s="545"/>
    </row>
    <row r="1186" spans="8:8">
      <c r="H1186" s="545"/>
    </row>
    <row r="1187" spans="8:8">
      <c r="H1187" s="545"/>
    </row>
    <row r="1188" spans="8:8">
      <c r="H1188" s="545"/>
    </row>
    <row r="1189" spans="8:8">
      <c r="H1189" s="545"/>
    </row>
    <row r="1190" spans="8:8">
      <c r="H1190" s="545"/>
    </row>
    <row r="1191" spans="8:8">
      <c r="H1191" s="545"/>
    </row>
    <row r="1192" spans="8:8">
      <c r="H1192" s="545"/>
    </row>
    <row r="1193" spans="8:8">
      <c r="H1193" s="545"/>
    </row>
    <row r="1194" spans="8:8">
      <c r="H1194" s="545"/>
    </row>
    <row r="1195" spans="8:8">
      <c r="H1195" s="545"/>
    </row>
    <row r="1196" spans="8:8">
      <c r="H1196" s="545"/>
    </row>
    <row r="1197" spans="8:8">
      <c r="H1197" s="545"/>
    </row>
    <row r="1198" spans="8:8">
      <c r="H1198" s="545"/>
    </row>
    <row r="1199" spans="8:8">
      <c r="H1199" s="545"/>
    </row>
    <row r="1200" spans="8:8">
      <c r="H1200" s="545"/>
    </row>
    <row r="1201" spans="8:8">
      <c r="H1201" s="545"/>
    </row>
    <row r="1202" spans="8:8">
      <c r="H1202" s="545"/>
    </row>
    <row r="1203" spans="8:8">
      <c r="H1203" s="545"/>
    </row>
    <row r="1204" spans="8:8">
      <c r="H1204" s="545"/>
    </row>
    <row r="1205" spans="8:8">
      <c r="H1205" s="545"/>
    </row>
    <row r="1206" spans="8:8">
      <c r="H1206" s="545"/>
    </row>
    <row r="1207" spans="8:8">
      <c r="H1207" s="545"/>
    </row>
    <row r="1208" spans="8:8">
      <c r="H1208" s="545"/>
    </row>
    <row r="1209" spans="8:8">
      <c r="H1209" s="545"/>
    </row>
    <row r="1210" spans="8:8">
      <c r="H1210" s="545"/>
    </row>
    <row r="1211" spans="8:8">
      <c r="H1211" s="545"/>
    </row>
    <row r="1212" spans="8:8">
      <c r="H1212" s="545"/>
    </row>
    <row r="1213" spans="8:8">
      <c r="H1213" s="545"/>
    </row>
    <row r="1214" spans="8:8">
      <c r="H1214" s="545"/>
    </row>
    <row r="1215" spans="8:8">
      <c r="H1215" s="545"/>
    </row>
    <row r="1216" spans="8:8">
      <c r="H1216" s="545"/>
    </row>
    <row r="1217" spans="8:8">
      <c r="H1217" s="545"/>
    </row>
    <row r="1218" spans="8:8">
      <c r="H1218" s="545"/>
    </row>
    <row r="1219" spans="8:8">
      <c r="H1219" s="545"/>
    </row>
    <row r="1220" spans="8:8">
      <c r="H1220" s="545"/>
    </row>
    <row r="1221" spans="8:8">
      <c r="H1221" s="545"/>
    </row>
    <row r="1222" spans="8:8">
      <c r="H1222" s="545"/>
    </row>
    <row r="1223" spans="8:8">
      <c r="H1223" s="545"/>
    </row>
    <row r="1224" spans="8:8">
      <c r="H1224" s="545"/>
    </row>
    <row r="1225" spans="8:8">
      <c r="H1225" s="545"/>
    </row>
    <row r="1226" spans="8:8">
      <c r="H1226" s="545"/>
    </row>
    <row r="1227" spans="8:8">
      <c r="H1227" s="545"/>
    </row>
    <row r="1228" spans="8:8">
      <c r="H1228" s="545"/>
    </row>
    <row r="1229" spans="8:8">
      <c r="H1229" s="545"/>
    </row>
    <row r="1230" spans="8:8">
      <c r="H1230" s="545"/>
    </row>
    <row r="1231" spans="8:8">
      <c r="H1231" s="545"/>
    </row>
    <row r="1232" spans="8:8">
      <c r="H1232" s="545"/>
    </row>
    <row r="1233" spans="8:8">
      <c r="H1233" s="545"/>
    </row>
    <row r="1234" spans="8:8">
      <c r="H1234" s="545"/>
    </row>
    <row r="1235" spans="8:8">
      <c r="H1235" s="545"/>
    </row>
    <row r="1236" spans="8:8">
      <c r="H1236" s="545"/>
    </row>
    <row r="1237" spans="8:8">
      <c r="H1237" s="545"/>
    </row>
    <row r="1238" spans="8:8">
      <c r="H1238" s="545"/>
    </row>
    <row r="1239" spans="8:8">
      <c r="H1239" s="545"/>
    </row>
    <row r="1240" spans="8:8">
      <c r="H1240" s="545"/>
    </row>
    <row r="1241" spans="8:8">
      <c r="H1241" s="545"/>
    </row>
    <row r="1242" spans="8:8">
      <c r="H1242" s="545"/>
    </row>
    <row r="1243" spans="8:8">
      <c r="H1243" s="545"/>
    </row>
    <row r="1244" spans="8:8">
      <c r="H1244" s="545"/>
    </row>
    <row r="1245" spans="8:8">
      <c r="H1245" s="545"/>
    </row>
    <row r="1246" spans="8:8">
      <c r="H1246" s="545"/>
    </row>
    <row r="1247" spans="8:8">
      <c r="H1247" s="545"/>
    </row>
    <row r="1248" spans="8:8">
      <c r="H1248" s="545"/>
    </row>
    <row r="1249" spans="8:8">
      <c r="H1249" s="545"/>
    </row>
    <row r="1250" spans="8:8">
      <c r="H1250" s="545"/>
    </row>
    <row r="1251" spans="8:8">
      <c r="H1251" s="545"/>
    </row>
    <row r="1252" spans="8:8">
      <c r="H1252" s="545"/>
    </row>
    <row r="1253" spans="8:8">
      <c r="H1253" s="545"/>
    </row>
    <row r="1254" spans="8:8">
      <c r="H1254" s="545"/>
    </row>
    <row r="1255" spans="8:8">
      <c r="H1255" s="545"/>
    </row>
    <row r="1256" spans="8:8">
      <c r="H1256" s="545"/>
    </row>
    <row r="1257" spans="8:8">
      <c r="H1257" s="545"/>
    </row>
    <row r="1258" spans="8:8">
      <c r="H1258" s="545"/>
    </row>
    <row r="1259" spans="8:8">
      <c r="H1259" s="545"/>
    </row>
    <row r="1260" spans="8:8">
      <c r="H1260" s="545"/>
    </row>
    <row r="1261" spans="8:8">
      <c r="H1261" s="545"/>
    </row>
    <row r="1262" spans="8:8">
      <c r="H1262" s="545"/>
    </row>
    <row r="1263" spans="8:8">
      <c r="H1263" s="545"/>
    </row>
    <row r="1264" spans="8:8">
      <c r="H1264" s="545"/>
    </row>
    <row r="1265" spans="8:8">
      <c r="H1265" s="545"/>
    </row>
    <row r="1266" spans="8:8">
      <c r="H1266" s="545"/>
    </row>
    <row r="1267" spans="8:8">
      <c r="H1267" s="545"/>
    </row>
    <row r="1268" spans="8:8">
      <c r="H1268" s="545"/>
    </row>
    <row r="1269" spans="8:8">
      <c r="H1269" s="545"/>
    </row>
    <row r="1270" spans="8:8">
      <c r="H1270" s="545"/>
    </row>
    <row r="1271" spans="8:8">
      <c r="H1271" s="545"/>
    </row>
    <row r="1272" spans="8:8">
      <c r="H1272" s="545"/>
    </row>
    <row r="1273" spans="8:8">
      <c r="H1273" s="545"/>
    </row>
    <row r="1274" spans="8:8">
      <c r="H1274" s="545"/>
    </row>
    <row r="1275" spans="8:8">
      <c r="H1275" s="545"/>
    </row>
    <row r="1276" spans="8:8">
      <c r="H1276" s="545"/>
    </row>
    <row r="1277" spans="8:8">
      <c r="H1277" s="545"/>
    </row>
    <row r="1278" spans="8:8">
      <c r="H1278" s="545"/>
    </row>
    <row r="1279" spans="8:8">
      <c r="H1279" s="545"/>
    </row>
    <row r="1280" spans="8:8">
      <c r="H1280" s="545"/>
    </row>
    <row r="1281" spans="8:8">
      <c r="H1281" s="545"/>
    </row>
    <row r="1282" spans="8:8">
      <c r="H1282" s="545"/>
    </row>
    <row r="1283" spans="8:8">
      <c r="H1283" s="545"/>
    </row>
    <row r="1284" spans="8:8">
      <c r="H1284" s="545"/>
    </row>
    <row r="1285" spans="8:8">
      <c r="H1285" s="545"/>
    </row>
    <row r="1286" spans="8:8">
      <c r="H1286" s="545"/>
    </row>
    <row r="1287" spans="8:8">
      <c r="H1287" s="545"/>
    </row>
    <row r="1288" spans="8:8">
      <c r="H1288" s="545"/>
    </row>
    <row r="1289" spans="8:8">
      <c r="H1289" s="545"/>
    </row>
    <row r="1290" spans="8:8">
      <c r="H1290" s="545"/>
    </row>
    <row r="1291" spans="8:8">
      <c r="H1291" s="545"/>
    </row>
    <row r="1292" spans="8:8">
      <c r="H1292" s="545"/>
    </row>
    <row r="1293" spans="8:8">
      <c r="H1293" s="545"/>
    </row>
    <row r="1294" spans="8:8">
      <c r="H1294" s="545"/>
    </row>
    <row r="1295" spans="8:8">
      <c r="H1295" s="545"/>
    </row>
    <row r="1296" spans="8:8">
      <c r="H1296" s="545"/>
    </row>
    <row r="1297" spans="8:8">
      <c r="H1297" s="545"/>
    </row>
    <row r="1298" spans="8:8">
      <c r="H1298" s="545"/>
    </row>
    <row r="1299" spans="8:8">
      <c r="H1299" s="545"/>
    </row>
    <row r="1300" spans="8:8">
      <c r="H1300" s="545"/>
    </row>
    <row r="1301" spans="8:8">
      <c r="H1301" s="545"/>
    </row>
    <row r="1302" spans="8:8">
      <c r="H1302" s="545"/>
    </row>
    <row r="1303" spans="8:8">
      <c r="H1303" s="545"/>
    </row>
    <row r="1304" spans="8:8">
      <c r="H1304" s="545"/>
    </row>
    <row r="1305" spans="8:8">
      <c r="H1305" s="545"/>
    </row>
    <row r="1306" spans="8:8">
      <c r="H1306" s="545"/>
    </row>
    <row r="1307" spans="8:8">
      <c r="H1307" s="545"/>
    </row>
    <row r="1308" spans="8:8">
      <c r="H1308" s="545"/>
    </row>
    <row r="1309" spans="8:8">
      <c r="H1309" s="545"/>
    </row>
    <row r="1310" spans="8:8">
      <c r="H1310" s="545"/>
    </row>
    <row r="1311" spans="8:8">
      <c r="H1311" s="545"/>
    </row>
    <row r="1312" spans="8:8">
      <c r="H1312" s="545"/>
    </row>
    <row r="1313" spans="8:8">
      <c r="H1313" s="545"/>
    </row>
    <row r="1314" spans="8:8">
      <c r="H1314" s="545"/>
    </row>
    <row r="1315" spans="8:8">
      <c r="H1315" s="545"/>
    </row>
    <row r="1316" spans="8:8">
      <c r="H1316" s="545"/>
    </row>
    <row r="1317" spans="8:8">
      <c r="H1317" s="545"/>
    </row>
    <row r="1318" spans="8:8">
      <c r="H1318" s="545"/>
    </row>
    <row r="1319" spans="8:8">
      <c r="H1319" s="545"/>
    </row>
    <row r="1320" spans="8:8">
      <c r="H1320" s="545"/>
    </row>
    <row r="1321" spans="8:8">
      <c r="H1321" s="545"/>
    </row>
    <row r="1322" spans="8:8">
      <c r="H1322" s="545"/>
    </row>
    <row r="1323" spans="8:8">
      <c r="H1323" s="545"/>
    </row>
    <row r="1324" spans="8:8">
      <c r="H1324" s="545"/>
    </row>
    <row r="1325" spans="8:8">
      <c r="H1325" s="545"/>
    </row>
    <row r="1326" spans="8:8">
      <c r="H1326" s="545"/>
    </row>
    <row r="1327" spans="8:8">
      <c r="H1327" s="545"/>
    </row>
    <row r="1328" spans="8:8">
      <c r="H1328" s="545"/>
    </row>
    <row r="1329" spans="8:8">
      <c r="H1329" s="545"/>
    </row>
    <row r="1330" spans="8:8">
      <c r="H1330" s="545"/>
    </row>
    <row r="1331" spans="8:8">
      <c r="H1331" s="545"/>
    </row>
    <row r="1332" spans="8:8">
      <c r="H1332" s="545"/>
    </row>
    <row r="1333" spans="8:8">
      <c r="H1333" s="545"/>
    </row>
    <row r="1334" spans="8:8">
      <c r="H1334" s="545"/>
    </row>
    <row r="1335" spans="8:8">
      <c r="H1335" s="545"/>
    </row>
    <row r="1336" spans="8:8">
      <c r="H1336" s="545"/>
    </row>
    <row r="1337" spans="8:8">
      <c r="H1337" s="545"/>
    </row>
    <row r="1338" spans="8:8">
      <c r="H1338" s="545"/>
    </row>
    <row r="1339" spans="8:8">
      <c r="H1339" s="545"/>
    </row>
    <row r="1340" spans="8:8">
      <c r="H1340" s="545"/>
    </row>
    <row r="1341" spans="8:8">
      <c r="H1341" s="545"/>
    </row>
    <row r="1342" spans="8:8">
      <c r="H1342" s="545"/>
    </row>
    <row r="1343" spans="8:8">
      <c r="H1343" s="545"/>
    </row>
    <row r="1344" spans="8:8">
      <c r="H1344" s="545"/>
    </row>
    <row r="1345" spans="8:8">
      <c r="H1345" s="545"/>
    </row>
    <row r="1346" spans="8:8">
      <c r="H1346" s="545"/>
    </row>
    <row r="1347" spans="8:8">
      <c r="H1347" s="545"/>
    </row>
    <row r="1348" spans="8:8">
      <c r="H1348" s="545"/>
    </row>
    <row r="1349" spans="8:8">
      <c r="H1349" s="545"/>
    </row>
    <row r="1350" spans="8:8">
      <c r="H1350" s="545"/>
    </row>
    <row r="1351" spans="8:8">
      <c r="H1351" s="545"/>
    </row>
    <row r="1352" spans="8:8">
      <c r="H1352" s="545"/>
    </row>
    <row r="1353" spans="8:8">
      <c r="H1353" s="545"/>
    </row>
    <row r="1354" spans="8:8">
      <c r="H1354" s="545"/>
    </row>
    <row r="1355" spans="8:8">
      <c r="H1355" s="545"/>
    </row>
    <row r="1356" spans="8:8">
      <c r="H1356" s="545"/>
    </row>
    <row r="1357" spans="8:8">
      <c r="H1357" s="545"/>
    </row>
    <row r="1358" spans="8:8">
      <c r="H1358" s="545"/>
    </row>
    <row r="1359" spans="8:8">
      <c r="H1359" s="545"/>
    </row>
    <row r="1360" spans="8:8">
      <c r="H1360" s="545"/>
    </row>
    <row r="1361" spans="8:8">
      <c r="H1361" s="545"/>
    </row>
    <row r="1362" spans="8:8">
      <c r="H1362" s="545"/>
    </row>
    <row r="1363" spans="8:8">
      <c r="H1363" s="545"/>
    </row>
    <row r="1364" spans="8:8">
      <c r="H1364" s="545"/>
    </row>
    <row r="1365" spans="8:8">
      <c r="H1365" s="545"/>
    </row>
    <row r="1366" spans="8:8">
      <c r="H1366" s="545"/>
    </row>
    <row r="1367" spans="8:8">
      <c r="H1367" s="545"/>
    </row>
    <row r="1368" spans="8:8">
      <c r="H1368" s="545"/>
    </row>
    <row r="1369" spans="8:8">
      <c r="H1369" s="545"/>
    </row>
    <row r="1370" spans="8:8">
      <c r="H1370" s="545"/>
    </row>
    <row r="1371" spans="8:8">
      <c r="H1371" s="545"/>
    </row>
    <row r="1372" spans="8:8">
      <c r="H1372" s="545"/>
    </row>
    <row r="1373" spans="8:8">
      <c r="H1373" s="545"/>
    </row>
    <row r="1374" spans="8:8">
      <c r="H1374" s="545"/>
    </row>
    <row r="1375" spans="8:8">
      <c r="H1375" s="545"/>
    </row>
    <row r="1376" spans="8:8">
      <c r="H1376" s="545"/>
    </row>
    <row r="1377" spans="8:8">
      <c r="H1377" s="545"/>
    </row>
    <row r="1378" spans="8:8">
      <c r="H1378" s="545"/>
    </row>
    <row r="1379" spans="8:8">
      <c r="H1379" s="545"/>
    </row>
    <row r="1380" spans="8:8">
      <c r="H1380" s="545"/>
    </row>
    <row r="1381" spans="8:8">
      <c r="H1381" s="545"/>
    </row>
    <row r="1382" spans="8:8">
      <c r="H1382" s="545"/>
    </row>
    <row r="1383" spans="8:8">
      <c r="H1383" s="545"/>
    </row>
    <row r="1384" spans="8:8">
      <c r="H1384" s="545"/>
    </row>
    <row r="1385" spans="8:8">
      <c r="H1385" s="545"/>
    </row>
    <row r="1386" spans="8:8">
      <c r="H1386" s="545"/>
    </row>
    <row r="1387" spans="8:8">
      <c r="H1387" s="545"/>
    </row>
    <row r="1388" spans="8:8">
      <c r="H1388" s="545"/>
    </row>
    <row r="1389" spans="8:8">
      <c r="H1389" s="545"/>
    </row>
    <row r="1390" spans="8:8">
      <c r="H1390" s="545"/>
    </row>
    <row r="1391" spans="8:8">
      <c r="H1391" s="545"/>
    </row>
    <row r="1392" spans="8:8">
      <c r="H1392" s="545"/>
    </row>
    <row r="1393" spans="8:8">
      <c r="H1393" s="545"/>
    </row>
    <row r="1394" spans="8:8">
      <c r="H1394" s="545"/>
    </row>
    <row r="1395" spans="8:8">
      <c r="H1395" s="545"/>
    </row>
    <row r="1396" spans="8:8">
      <c r="H1396" s="545"/>
    </row>
    <row r="1397" spans="8:8">
      <c r="H1397" s="545"/>
    </row>
    <row r="1398" spans="8:8">
      <c r="H1398" s="545"/>
    </row>
    <row r="1399" spans="8:8">
      <c r="H1399" s="545"/>
    </row>
    <row r="1400" spans="8:8">
      <c r="H1400" s="545"/>
    </row>
    <row r="1401" spans="8:8">
      <c r="H1401" s="545"/>
    </row>
    <row r="1402" spans="8:8">
      <c r="H1402" s="545"/>
    </row>
    <row r="1403" spans="8:8">
      <c r="H1403" s="545"/>
    </row>
    <row r="1404" spans="8:8">
      <c r="H1404" s="545"/>
    </row>
    <row r="1405" spans="8:8">
      <c r="H1405" s="545"/>
    </row>
    <row r="1406" spans="8:8">
      <c r="H1406" s="545"/>
    </row>
    <row r="1407" spans="8:8">
      <c r="H1407" s="545"/>
    </row>
    <row r="1408" spans="8:8">
      <c r="H1408" s="545"/>
    </row>
    <row r="1409" spans="8:8">
      <c r="H1409" s="545"/>
    </row>
    <row r="1410" spans="8:8">
      <c r="H1410" s="545"/>
    </row>
    <row r="1411" spans="8:8">
      <c r="H1411" s="545"/>
    </row>
    <row r="1412" spans="8:8">
      <c r="H1412" s="545"/>
    </row>
    <row r="1413" spans="8:8">
      <c r="H1413" s="545"/>
    </row>
    <row r="1414" spans="8:8">
      <c r="H1414" s="545"/>
    </row>
    <row r="1415" spans="8:8">
      <c r="H1415" s="545"/>
    </row>
    <row r="1416" spans="8:8">
      <c r="H1416" s="545"/>
    </row>
    <row r="1417" spans="8:8">
      <c r="H1417" s="545"/>
    </row>
    <row r="1418" spans="8:8">
      <c r="H1418" s="545"/>
    </row>
    <row r="1419" spans="8:8">
      <c r="H1419" s="545"/>
    </row>
    <row r="1420" spans="8:8">
      <c r="H1420" s="545"/>
    </row>
    <row r="1421" spans="8:8">
      <c r="H1421" s="545"/>
    </row>
    <row r="1422" spans="8:8">
      <c r="H1422" s="545"/>
    </row>
    <row r="1423" spans="8:8">
      <c r="H1423" s="545"/>
    </row>
    <row r="1424" spans="8:8">
      <c r="H1424" s="545"/>
    </row>
    <row r="1425" spans="8:8">
      <c r="H1425" s="545"/>
    </row>
    <row r="1426" spans="8:8">
      <c r="H1426" s="545"/>
    </row>
    <row r="1427" spans="8:8">
      <c r="H1427" s="545"/>
    </row>
    <row r="1428" spans="8:8">
      <c r="H1428" s="545"/>
    </row>
    <row r="1429" spans="8:8">
      <c r="H1429" s="545"/>
    </row>
    <row r="1430" spans="8:8">
      <c r="H1430" s="545"/>
    </row>
    <row r="1431" spans="8:8">
      <c r="H1431" s="545"/>
    </row>
    <row r="1432" spans="8:8">
      <c r="H1432" s="545"/>
    </row>
    <row r="1433" spans="8:8">
      <c r="H1433" s="545"/>
    </row>
    <row r="1434" spans="8:8">
      <c r="H1434" s="545"/>
    </row>
    <row r="1435" spans="8:8">
      <c r="H1435" s="545"/>
    </row>
    <row r="1436" spans="8:8">
      <c r="H1436" s="545"/>
    </row>
    <row r="1437" spans="8:8">
      <c r="H1437" s="545"/>
    </row>
    <row r="1438" spans="8:8">
      <c r="H1438" s="545"/>
    </row>
    <row r="1439" spans="8:8">
      <c r="H1439" s="545"/>
    </row>
    <row r="1440" spans="8:8">
      <c r="H1440" s="545"/>
    </row>
    <row r="1441" spans="8:8">
      <c r="H1441" s="545"/>
    </row>
    <row r="1442" spans="8:8">
      <c r="H1442" s="545"/>
    </row>
    <row r="1443" spans="8:8">
      <c r="H1443" s="545"/>
    </row>
    <row r="1444" spans="8:8">
      <c r="H1444" s="545"/>
    </row>
    <row r="1445" spans="8:8">
      <c r="H1445" s="545"/>
    </row>
    <row r="1446" spans="8:8">
      <c r="H1446" s="545"/>
    </row>
    <row r="1447" spans="8:8">
      <c r="H1447" s="545"/>
    </row>
    <row r="1448" spans="8:8">
      <c r="H1448" s="545"/>
    </row>
    <row r="1449" spans="8:8">
      <c r="H1449" s="545"/>
    </row>
    <row r="1450" spans="8:8">
      <c r="H1450" s="545"/>
    </row>
    <row r="1451" spans="8:8">
      <c r="H1451" s="545"/>
    </row>
    <row r="1452" spans="8:8">
      <c r="H1452" s="545"/>
    </row>
    <row r="1453" spans="8:8">
      <c r="H1453" s="545"/>
    </row>
    <row r="1454" spans="8:8">
      <c r="H1454" s="545"/>
    </row>
    <row r="1455" spans="8:8">
      <c r="H1455" s="545"/>
    </row>
    <row r="1456" spans="8:8">
      <c r="H1456" s="545"/>
    </row>
    <row r="1457" spans="8:8">
      <c r="H1457" s="545"/>
    </row>
    <row r="1458" spans="8:8">
      <c r="H1458" s="545"/>
    </row>
    <row r="1459" spans="8:8">
      <c r="H1459" s="545"/>
    </row>
    <row r="1460" spans="8:8">
      <c r="H1460" s="545"/>
    </row>
    <row r="1461" spans="8:8">
      <c r="H1461" s="545"/>
    </row>
    <row r="1462" spans="8:8">
      <c r="H1462" s="545"/>
    </row>
    <row r="1463" spans="8:8">
      <c r="H1463" s="545"/>
    </row>
    <row r="1464" spans="8:8">
      <c r="H1464" s="545"/>
    </row>
    <row r="1465" spans="8:8">
      <c r="H1465" s="545"/>
    </row>
    <row r="1466" spans="8:8">
      <c r="H1466" s="545"/>
    </row>
    <row r="1467" spans="8:8">
      <c r="H1467" s="545"/>
    </row>
    <row r="1468" spans="8:8">
      <c r="H1468" s="545"/>
    </row>
    <row r="1469" spans="8:8">
      <c r="H1469" s="545"/>
    </row>
    <row r="1470" spans="8:8">
      <c r="H1470" s="545"/>
    </row>
    <row r="1471" spans="8:8">
      <c r="H1471" s="545"/>
    </row>
    <row r="1472" spans="8:8">
      <c r="H1472" s="545"/>
    </row>
    <row r="1473" spans="8:8">
      <c r="H1473" s="545"/>
    </row>
    <row r="1474" spans="8:8">
      <c r="H1474" s="545"/>
    </row>
    <row r="1475" spans="8:8">
      <c r="H1475" s="545"/>
    </row>
    <row r="1476" spans="8:8">
      <c r="H1476" s="545"/>
    </row>
    <row r="1477" spans="8:8">
      <c r="H1477" s="545"/>
    </row>
    <row r="1478" spans="8:8">
      <c r="H1478" s="545"/>
    </row>
    <row r="1479" spans="8:8">
      <c r="H1479" s="545"/>
    </row>
    <row r="1480" spans="8:8">
      <c r="H1480" s="545"/>
    </row>
    <row r="1481" spans="8:8">
      <c r="H1481" s="545"/>
    </row>
    <row r="1482" spans="8:8">
      <c r="H1482" s="545"/>
    </row>
    <row r="1483" spans="8:8">
      <c r="H1483" s="545"/>
    </row>
    <row r="1484" spans="8:8">
      <c r="H1484" s="545"/>
    </row>
    <row r="1485" spans="8:8">
      <c r="H1485" s="545"/>
    </row>
    <row r="1486" spans="8:8">
      <c r="H1486" s="545"/>
    </row>
    <row r="1487" spans="8:8">
      <c r="H1487" s="545"/>
    </row>
    <row r="1488" spans="8:8">
      <c r="H1488" s="545"/>
    </row>
    <row r="1489" spans="8:8">
      <c r="H1489" s="545"/>
    </row>
    <row r="1490" spans="8:8">
      <c r="H1490" s="545"/>
    </row>
    <row r="1491" spans="8:8">
      <c r="H1491" s="545"/>
    </row>
    <row r="1492" spans="8:8">
      <c r="H1492" s="545"/>
    </row>
    <row r="1493" spans="8:8">
      <c r="H1493" s="545"/>
    </row>
    <row r="1494" spans="8:8">
      <c r="H1494" s="545"/>
    </row>
    <row r="1495" spans="8:8">
      <c r="H1495" s="545"/>
    </row>
    <row r="1496" spans="8:8">
      <c r="H1496" s="545"/>
    </row>
    <row r="1497" spans="8:8">
      <c r="H1497" s="545"/>
    </row>
    <row r="1498" spans="8:8">
      <c r="H1498" s="545"/>
    </row>
    <row r="1499" spans="8:8">
      <c r="H1499" s="545"/>
    </row>
    <row r="1500" spans="8:8">
      <c r="H1500" s="545"/>
    </row>
    <row r="1501" spans="8:8">
      <c r="H1501" s="545"/>
    </row>
    <row r="1502" spans="8:8">
      <c r="H1502" s="545"/>
    </row>
    <row r="1503" spans="8:8">
      <c r="H1503" s="545"/>
    </row>
    <row r="1504" spans="8:8">
      <c r="H1504" s="545"/>
    </row>
    <row r="1505" spans="8:8">
      <c r="H1505" s="545"/>
    </row>
    <row r="1506" spans="8:8">
      <c r="H1506" s="545"/>
    </row>
    <row r="1507" spans="8:8">
      <c r="H1507" s="545"/>
    </row>
    <row r="1508" spans="8:8">
      <c r="H1508" s="545"/>
    </row>
    <row r="1509" spans="8:8">
      <c r="H1509" s="545"/>
    </row>
    <row r="1510" spans="8:8">
      <c r="H1510" s="545"/>
    </row>
    <row r="1511" spans="8:8">
      <c r="H1511" s="545"/>
    </row>
    <row r="1512" spans="8:8">
      <c r="H1512" s="545"/>
    </row>
    <row r="1513" spans="8:8">
      <c r="H1513" s="545"/>
    </row>
    <row r="1514" spans="8:8">
      <c r="H1514" s="545"/>
    </row>
    <row r="1515" spans="8:8">
      <c r="H1515" s="545"/>
    </row>
    <row r="1516" spans="8:8">
      <c r="H1516" s="545"/>
    </row>
    <row r="1517" spans="8:8">
      <c r="H1517" s="545"/>
    </row>
    <row r="1518" spans="8:8">
      <c r="H1518" s="545"/>
    </row>
    <row r="1519" spans="8:8">
      <c r="H1519" s="545"/>
    </row>
    <row r="1520" spans="8:8">
      <c r="H1520" s="545"/>
    </row>
    <row r="1521" spans="8:8">
      <c r="H1521" s="545"/>
    </row>
    <row r="1522" spans="8:8">
      <c r="H1522" s="545"/>
    </row>
    <row r="1523" spans="8:8">
      <c r="H1523" s="545"/>
    </row>
    <row r="1524" spans="8:8">
      <c r="H1524" s="545"/>
    </row>
    <row r="1525" spans="8:8">
      <c r="H1525" s="545"/>
    </row>
    <row r="1526" spans="8:8">
      <c r="H1526" s="545"/>
    </row>
    <row r="1527" spans="8:8">
      <c r="H1527" s="545"/>
    </row>
    <row r="1528" spans="8:8">
      <c r="H1528" s="545"/>
    </row>
    <row r="1529" spans="8:8">
      <c r="H1529" s="545"/>
    </row>
    <row r="1530" spans="8:8">
      <c r="H1530" s="545"/>
    </row>
    <row r="1531" spans="8:8">
      <c r="H1531" s="545"/>
    </row>
    <row r="1532" spans="8:8">
      <c r="H1532" s="545"/>
    </row>
    <row r="1533" spans="8:8">
      <c r="H1533" s="545"/>
    </row>
    <row r="1534" spans="8:8">
      <c r="H1534" s="545"/>
    </row>
    <row r="1535" spans="8:8">
      <c r="H1535" s="545"/>
    </row>
    <row r="1536" spans="8:8">
      <c r="H1536" s="545"/>
    </row>
    <row r="1537" spans="8:8">
      <c r="H1537" s="545"/>
    </row>
    <row r="1538" spans="8:8">
      <c r="H1538" s="545"/>
    </row>
    <row r="1539" spans="8:8">
      <c r="H1539" s="545"/>
    </row>
    <row r="1540" spans="8:8">
      <c r="H1540" s="545"/>
    </row>
    <row r="1541" spans="8:8">
      <c r="H1541" s="545"/>
    </row>
    <row r="1542" spans="8:8">
      <c r="H1542" s="545"/>
    </row>
    <row r="1543" spans="8:8">
      <c r="H1543" s="545"/>
    </row>
    <row r="1544" spans="8:8">
      <c r="H1544" s="545"/>
    </row>
    <row r="1545" spans="8:8">
      <c r="H1545" s="545"/>
    </row>
    <row r="1546" spans="8:8">
      <c r="H1546" s="545"/>
    </row>
    <row r="1547" spans="8:8">
      <c r="H1547" s="545"/>
    </row>
    <row r="1548" spans="8:8">
      <c r="H1548" s="545"/>
    </row>
    <row r="1549" spans="8:8">
      <c r="H1549" s="545"/>
    </row>
    <row r="1550" spans="8:8">
      <c r="H1550" s="545"/>
    </row>
    <row r="1551" spans="8:8">
      <c r="H1551" s="545"/>
    </row>
    <row r="1552" spans="8:8">
      <c r="H1552" s="545"/>
    </row>
    <row r="1553" spans="8:8">
      <c r="H1553" s="545"/>
    </row>
    <row r="1554" spans="8:8">
      <c r="H1554" s="545"/>
    </row>
    <row r="1555" spans="8:8">
      <c r="H1555" s="545"/>
    </row>
    <row r="1556" spans="8:8">
      <c r="H1556" s="545"/>
    </row>
    <row r="1557" spans="8:8">
      <c r="H1557" s="545"/>
    </row>
    <row r="1558" spans="8:8">
      <c r="H1558" s="545"/>
    </row>
    <row r="1559" spans="8:8">
      <c r="H1559" s="545"/>
    </row>
    <row r="1560" spans="8:8">
      <c r="H1560" s="545"/>
    </row>
    <row r="1561" spans="8:8">
      <c r="H1561" s="545"/>
    </row>
    <row r="1562" spans="8:8">
      <c r="H1562" s="545"/>
    </row>
    <row r="1563" spans="8:8">
      <c r="H1563" s="545"/>
    </row>
    <row r="1564" spans="8:8">
      <c r="H1564" s="545"/>
    </row>
    <row r="1565" spans="8:8">
      <c r="H1565" s="545"/>
    </row>
    <row r="1566" spans="8:8">
      <c r="H1566" s="545"/>
    </row>
    <row r="1567" spans="8:8">
      <c r="H1567" s="545"/>
    </row>
    <row r="1568" spans="8:8">
      <c r="H1568" s="545"/>
    </row>
    <row r="1569" spans="8:8">
      <c r="H1569" s="545"/>
    </row>
    <row r="1570" spans="8:8">
      <c r="H1570" s="545"/>
    </row>
    <row r="1571" spans="8:8">
      <c r="H1571" s="545"/>
    </row>
    <row r="1572" spans="8:8">
      <c r="H1572" s="545"/>
    </row>
    <row r="1573" spans="8:8">
      <c r="H1573" s="545"/>
    </row>
    <row r="1574" spans="8:8">
      <c r="H1574" s="545"/>
    </row>
    <row r="1575" spans="8:8">
      <c r="H1575" s="545"/>
    </row>
    <row r="1576" spans="8:8">
      <c r="H1576" s="545"/>
    </row>
    <row r="1577" spans="8:8">
      <c r="H1577" s="545"/>
    </row>
    <row r="1578" spans="8:8">
      <c r="H1578" s="545"/>
    </row>
    <row r="1579" spans="8:8">
      <c r="H1579" s="545"/>
    </row>
    <row r="1580" spans="8:8">
      <c r="H1580" s="545"/>
    </row>
    <row r="1581" spans="8:8">
      <c r="H1581" s="545"/>
    </row>
    <row r="1582" spans="8:8">
      <c r="H1582" s="545"/>
    </row>
    <row r="1583" spans="8:8">
      <c r="H1583" s="545"/>
    </row>
    <row r="1584" spans="8:8">
      <c r="H1584" s="545"/>
    </row>
    <row r="1585" spans="8:8">
      <c r="H1585" s="545"/>
    </row>
    <row r="1586" spans="8:8">
      <c r="H1586" s="545"/>
    </row>
    <row r="1587" spans="8:8">
      <c r="H1587" s="545"/>
    </row>
    <row r="1588" spans="8:8">
      <c r="H1588" s="545"/>
    </row>
    <row r="1589" spans="8:8">
      <c r="H1589" s="545"/>
    </row>
    <row r="1590" spans="8:8">
      <c r="H1590" s="545"/>
    </row>
    <row r="1591" spans="8:8">
      <c r="H1591" s="545"/>
    </row>
    <row r="1592" spans="8:8">
      <c r="H1592" s="545"/>
    </row>
    <row r="1593" spans="8:8">
      <c r="H1593" s="545"/>
    </row>
    <row r="1594" spans="8:8">
      <c r="H1594" s="545"/>
    </row>
    <row r="1595" spans="8:8">
      <c r="H1595" s="545"/>
    </row>
    <row r="1596" spans="8:8">
      <c r="H1596" s="545"/>
    </row>
    <row r="1597" spans="8:8">
      <c r="H1597" s="545"/>
    </row>
    <row r="1598" spans="8:8">
      <c r="H1598" s="545"/>
    </row>
    <row r="1599" spans="8:8">
      <c r="H1599" s="545"/>
    </row>
    <row r="1600" spans="8:8">
      <c r="H1600" s="545"/>
    </row>
    <row r="1601" spans="8:8">
      <c r="H1601" s="545"/>
    </row>
    <row r="1602" spans="8:8">
      <c r="H1602" s="545"/>
    </row>
    <row r="1603" spans="8:8">
      <c r="H1603" s="545"/>
    </row>
    <row r="1604" spans="8:8">
      <c r="H1604" s="545"/>
    </row>
    <row r="1605" spans="8:8">
      <c r="H1605" s="545"/>
    </row>
    <row r="1606" spans="8:8">
      <c r="H1606" s="545"/>
    </row>
    <row r="1607" spans="8:8">
      <c r="H1607" s="545"/>
    </row>
    <row r="1608" spans="8:8">
      <c r="H1608" s="545"/>
    </row>
    <row r="1609" spans="8:8">
      <c r="H1609" s="545"/>
    </row>
    <row r="1610" spans="8:8">
      <c r="H1610" s="545"/>
    </row>
    <row r="1611" spans="8:8">
      <c r="H1611" s="545"/>
    </row>
    <row r="1612" spans="8:8">
      <c r="H1612" s="545"/>
    </row>
    <row r="1613" spans="8:8">
      <c r="H1613" s="545"/>
    </row>
    <row r="1614" spans="8:8">
      <c r="H1614" s="545"/>
    </row>
    <row r="1615" spans="8:8">
      <c r="H1615" s="545"/>
    </row>
    <row r="1616" spans="8:8">
      <c r="H1616" s="545"/>
    </row>
    <row r="1617" spans="8:8">
      <c r="H1617" s="545"/>
    </row>
    <row r="1618" spans="8:8">
      <c r="H1618" s="545"/>
    </row>
    <row r="1619" spans="8:8">
      <c r="H1619" s="545"/>
    </row>
    <row r="1620" spans="8:8">
      <c r="H1620" s="545"/>
    </row>
    <row r="1621" spans="8:8">
      <c r="H1621" s="545"/>
    </row>
    <row r="1622" spans="8:8">
      <c r="H1622" s="545"/>
    </row>
    <row r="1623" spans="8:8">
      <c r="H1623" s="545"/>
    </row>
    <row r="1624" spans="8:8">
      <c r="H1624" s="545"/>
    </row>
    <row r="1625" spans="8:8">
      <c r="H1625" s="545"/>
    </row>
    <row r="1626" spans="8:8">
      <c r="H1626" s="545"/>
    </row>
    <row r="1627" spans="8:8">
      <c r="H1627" s="545"/>
    </row>
    <row r="1628" spans="8:8">
      <c r="H1628" s="545"/>
    </row>
    <row r="1629" spans="8:8">
      <c r="H1629" s="545"/>
    </row>
    <row r="1630" spans="8:8">
      <c r="H1630" s="545"/>
    </row>
    <row r="1631" spans="8:8">
      <c r="H1631" s="545"/>
    </row>
    <row r="1632" spans="8:8">
      <c r="H1632" s="545"/>
    </row>
    <row r="1633" spans="8:8">
      <c r="H1633" s="545"/>
    </row>
    <row r="1634" spans="8:8">
      <c r="H1634" s="545"/>
    </row>
    <row r="1635" spans="8:8">
      <c r="H1635" s="545"/>
    </row>
    <row r="1636" spans="8:8">
      <c r="H1636" s="545"/>
    </row>
    <row r="1637" spans="8:8">
      <c r="H1637" s="545"/>
    </row>
    <row r="1638" spans="8:8">
      <c r="H1638" s="545"/>
    </row>
    <row r="1639" spans="8:8">
      <c r="H1639" s="545"/>
    </row>
    <row r="1640" spans="8:8">
      <c r="H1640" s="545"/>
    </row>
    <row r="1641" spans="8:8">
      <c r="H1641" s="545"/>
    </row>
    <row r="1642" spans="8:8">
      <c r="H1642" s="545"/>
    </row>
    <row r="1643" spans="8:8">
      <c r="H1643" s="545"/>
    </row>
    <row r="1644" spans="8:8">
      <c r="H1644" s="545"/>
    </row>
    <row r="1645" spans="8:8">
      <c r="H1645" s="545"/>
    </row>
    <row r="1646" spans="8:8">
      <c r="H1646" s="545"/>
    </row>
    <row r="1647" spans="8:8">
      <c r="H1647" s="545"/>
    </row>
    <row r="1648" spans="8:8">
      <c r="H1648" s="545"/>
    </row>
    <row r="1649" spans="8:8">
      <c r="H1649" s="545"/>
    </row>
    <row r="1650" spans="8:8">
      <c r="H1650" s="545"/>
    </row>
    <row r="1651" spans="8:8">
      <c r="H1651" s="545"/>
    </row>
    <row r="1652" spans="8:8">
      <c r="H1652" s="545"/>
    </row>
    <row r="1653" spans="8:8">
      <c r="H1653" s="545"/>
    </row>
    <row r="1654" spans="8:8">
      <c r="H1654" s="545"/>
    </row>
    <row r="1655" spans="8:8">
      <c r="H1655" s="545"/>
    </row>
    <row r="1656" spans="8:8">
      <c r="H1656" s="545"/>
    </row>
    <row r="1657" spans="8:8">
      <c r="H1657" s="545"/>
    </row>
    <row r="1658" spans="8:8">
      <c r="H1658" s="545"/>
    </row>
    <row r="1659" spans="8:8">
      <c r="H1659" s="545"/>
    </row>
    <row r="1660" spans="8:8">
      <c r="H1660" s="545"/>
    </row>
    <row r="1661" spans="8:8">
      <c r="H1661" s="545"/>
    </row>
    <row r="1662" spans="8:8">
      <c r="H1662" s="545"/>
    </row>
    <row r="1663" spans="8:8">
      <c r="H1663" s="545"/>
    </row>
    <row r="1664" spans="8:8">
      <c r="H1664" s="545"/>
    </row>
    <row r="1665" spans="8:8">
      <c r="H1665" s="545"/>
    </row>
    <row r="1666" spans="8:8">
      <c r="H1666" s="545"/>
    </row>
    <row r="1667" spans="8:8">
      <c r="H1667" s="545"/>
    </row>
    <row r="1668" spans="8:8">
      <c r="H1668" s="545"/>
    </row>
    <row r="1669" spans="8:8">
      <c r="H1669" s="545"/>
    </row>
    <row r="1670" spans="8:8">
      <c r="H1670" s="545"/>
    </row>
    <row r="1671" spans="8:8">
      <c r="H1671" s="545"/>
    </row>
    <row r="1672" spans="8:8">
      <c r="H1672" s="545"/>
    </row>
    <row r="1673" spans="8:8">
      <c r="H1673" s="545"/>
    </row>
    <row r="1674" spans="8:8">
      <c r="H1674" s="545"/>
    </row>
    <row r="1675" spans="8:8">
      <c r="H1675" s="545"/>
    </row>
    <row r="1676" spans="8:8">
      <c r="H1676" s="545"/>
    </row>
    <row r="1677" spans="8:8">
      <c r="H1677" s="545"/>
    </row>
    <row r="1678" spans="8:8">
      <c r="H1678" s="545"/>
    </row>
    <row r="1679" spans="8:8">
      <c r="H1679" s="545"/>
    </row>
    <row r="1680" spans="8:8">
      <c r="H1680" s="545"/>
    </row>
    <row r="1681" spans="8:8">
      <c r="H1681" s="545"/>
    </row>
    <row r="1682" spans="8:8">
      <c r="H1682" s="545"/>
    </row>
    <row r="1683" spans="8:8">
      <c r="H1683" s="545"/>
    </row>
    <row r="1684" spans="8:8">
      <c r="H1684" s="545"/>
    </row>
    <row r="1685" spans="8:8">
      <c r="H1685" s="545"/>
    </row>
    <row r="1686" spans="8:8">
      <c r="H1686" s="545"/>
    </row>
    <row r="1687" spans="8:8">
      <c r="H1687" s="545"/>
    </row>
    <row r="1688" spans="8:8">
      <c r="H1688" s="545"/>
    </row>
    <row r="1689" spans="8:8">
      <c r="H1689" s="545"/>
    </row>
    <row r="1690" spans="8:8">
      <c r="H1690" s="545"/>
    </row>
    <row r="1691" spans="8:8">
      <c r="H1691" s="545"/>
    </row>
    <row r="1692" spans="8:8">
      <c r="H1692" s="545"/>
    </row>
    <row r="1693" spans="8:8">
      <c r="H1693" s="545"/>
    </row>
    <row r="1694" spans="8:8">
      <c r="H1694" s="545"/>
    </row>
    <row r="1695" spans="8:8">
      <c r="H1695" s="545"/>
    </row>
    <row r="1696" spans="8:8">
      <c r="H1696" s="545"/>
    </row>
    <row r="1697" spans="8:8">
      <c r="H1697" s="545"/>
    </row>
    <row r="1698" spans="8:8">
      <c r="H1698" s="545"/>
    </row>
    <row r="1699" spans="8:8">
      <c r="H1699" s="545"/>
    </row>
    <row r="1700" spans="8:8">
      <c r="H1700" s="545"/>
    </row>
    <row r="1701" spans="8:8">
      <c r="H1701" s="545"/>
    </row>
    <row r="1702" spans="8:8">
      <c r="H1702" s="545"/>
    </row>
    <row r="1703" spans="8:8">
      <c r="H1703" s="545"/>
    </row>
    <row r="1704" spans="8:8">
      <c r="H1704" s="545"/>
    </row>
    <row r="1705" spans="8:8">
      <c r="H1705" s="545"/>
    </row>
    <row r="1706" spans="8:8">
      <c r="H1706" s="545"/>
    </row>
    <row r="1707" spans="8:8">
      <c r="H1707" s="545"/>
    </row>
    <row r="1708" spans="8:8">
      <c r="H1708" s="545"/>
    </row>
    <row r="1709" spans="8:8">
      <c r="H1709" s="545"/>
    </row>
    <row r="1710" spans="8:8">
      <c r="H1710" s="545"/>
    </row>
    <row r="1711" spans="8:8">
      <c r="H1711" s="545"/>
    </row>
    <row r="1712" spans="8:8">
      <c r="H1712" s="545"/>
    </row>
    <row r="1713" spans="8:8">
      <c r="H1713" s="545"/>
    </row>
    <row r="1714" spans="8:8">
      <c r="H1714" s="545"/>
    </row>
    <row r="1715" spans="8:8">
      <c r="H1715" s="545"/>
    </row>
    <row r="1716" spans="8:8">
      <c r="H1716" s="545"/>
    </row>
    <row r="1717" spans="8:8">
      <c r="H1717" s="545"/>
    </row>
    <row r="1718" spans="8:8">
      <c r="H1718" s="545"/>
    </row>
    <row r="1719" spans="8:8">
      <c r="H1719" s="545"/>
    </row>
    <row r="1720" spans="8:8">
      <c r="H1720" s="545"/>
    </row>
    <row r="1721" spans="8:8">
      <c r="H1721" s="545"/>
    </row>
    <row r="1722" spans="8:8">
      <c r="H1722" s="545"/>
    </row>
    <row r="1723" spans="8:8">
      <c r="H1723" s="545"/>
    </row>
    <row r="1724" spans="8:8">
      <c r="H1724" s="545"/>
    </row>
    <row r="1725" spans="8:8">
      <c r="H1725" s="545"/>
    </row>
    <row r="1726" spans="8:8">
      <c r="H1726" s="545"/>
    </row>
    <row r="1727" spans="8:8">
      <c r="H1727" s="545"/>
    </row>
    <row r="1728" spans="8:8">
      <c r="H1728" s="545"/>
    </row>
    <row r="1729" spans="8:8">
      <c r="H1729" s="545"/>
    </row>
    <row r="1730" spans="8:8">
      <c r="H1730" s="545"/>
    </row>
    <row r="1731" spans="8:8">
      <c r="H1731" s="545"/>
    </row>
    <row r="1732" spans="8:8">
      <c r="H1732" s="545"/>
    </row>
    <row r="1733" spans="8:8">
      <c r="H1733" s="545"/>
    </row>
    <row r="1734" spans="8:8">
      <c r="H1734" s="545"/>
    </row>
    <row r="1735" spans="8:8">
      <c r="H1735" s="545"/>
    </row>
    <row r="1736" spans="8:8">
      <c r="H1736" s="545"/>
    </row>
    <row r="1737" spans="8:8">
      <c r="H1737" s="545"/>
    </row>
    <row r="1738" spans="8:8">
      <c r="H1738" s="545"/>
    </row>
    <row r="1739" spans="8:8">
      <c r="H1739" s="545"/>
    </row>
    <row r="1740" spans="8:8">
      <c r="H1740" s="545"/>
    </row>
    <row r="1741" spans="8:8">
      <c r="H1741" s="545"/>
    </row>
    <row r="1742" spans="8:8">
      <c r="H1742" s="545"/>
    </row>
    <row r="1743" spans="8:8">
      <c r="H1743" s="545"/>
    </row>
    <row r="1744" spans="8:8">
      <c r="H1744" s="545"/>
    </row>
    <row r="1745" spans="8:8">
      <c r="H1745" s="545"/>
    </row>
    <row r="1746" spans="8:8">
      <c r="H1746" s="545"/>
    </row>
    <row r="1747" spans="8:8">
      <c r="H1747" s="545"/>
    </row>
    <row r="1748" spans="8:8">
      <c r="H1748" s="545"/>
    </row>
    <row r="1749" spans="8:8">
      <c r="H1749" s="545"/>
    </row>
    <row r="1750" spans="8:8">
      <c r="H1750" s="545"/>
    </row>
    <row r="1751" spans="8:8">
      <c r="H1751" s="545"/>
    </row>
    <row r="1752" spans="8:8">
      <c r="H1752" s="545"/>
    </row>
    <row r="1753" spans="8:8">
      <c r="H1753" s="545"/>
    </row>
    <row r="1754" spans="8:8">
      <c r="H1754" s="545"/>
    </row>
    <row r="1755" spans="8:8">
      <c r="H1755" s="545"/>
    </row>
    <row r="1756" spans="8:8">
      <c r="H1756" s="545"/>
    </row>
    <row r="1757" spans="8:8">
      <c r="H1757" s="545"/>
    </row>
    <row r="1758" spans="8:8">
      <c r="H1758" s="545"/>
    </row>
    <row r="1759" spans="8:8">
      <c r="H1759" s="545"/>
    </row>
    <row r="1760" spans="8:8">
      <c r="H1760" s="545"/>
    </row>
    <row r="1761" spans="8:8">
      <c r="H1761" s="545"/>
    </row>
    <row r="1762" spans="8:8">
      <c r="H1762" s="545"/>
    </row>
    <row r="1763" spans="8:8">
      <c r="H1763" s="545"/>
    </row>
    <row r="1764" spans="8:8">
      <c r="H1764" s="545"/>
    </row>
    <row r="1765" spans="8:8">
      <c r="H1765" s="545"/>
    </row>
    <row r="1766" spans="8:8">
      <c r="H1766" s="545"/>
    </row>
    <row r="1767" spans="8:8">
      <c r="H1767" s="545"/>
    </row>
    <row r="1768" spans="8:8">
      <c r="H1768" s="545"/>
    </row>
    <row r="1769" spans="8:8">
      <c r="H1769" s="545"/>
    </row>
    <row r="1770" spans="8:8">
      <c r="H1770" s="545"/>
    </row>
    <row r="1771" spans="8:8">
      <c r="H1771" s="545"/>
    </row>
    <row r="1772" spans="8:8">
      <c r="H1772" s="545"/>
    </row>
    <row r="1773" spans="8:8">
      <c r="H1773" s="545"/>
    </row>
    <row r="1774" spans="8:8">
      <c r="H1774" s="545"/>
    </row>
    <row r="1775" spans="8:8">
      <c r="H1775" s="545"/>
    </row>
    <row r="1776" spans="8:8">
      <c r="H1776" s="545"/>
    </row>
    <row r="1777" spans="8:8">
      <c r="H1777" s="545"/>
    </row>
    <row r="1778" spans="8:8">
      <c r="H1778" s="545"/>
    </row>
    <row r="1779" spans="8:8">
      <c r="H1779" s="545"/>
    </row>
    <row r="1780" spans="8:8">
      <c r="H1780" s="545"/>
    </row>
    <row r="1781" spans="8:8">
      <c r="H1781" s="545"/>
    </row>
    <row r="1782" spans="8:8">
      <c r="H1782" s="545"/>
    </row>
    <row r="1783" spans="8:8">
      <c r="H1783" s="545"/>
    </row>
    <row r="1784" spans="8:8">
      <c r="H1784" s="545"/>
    </row>
    <row r="1785" spans="8:8">
      <c r="H1785" s="545"/>
    </row>
    <row r="1786" spans="8:8">
      <c r="H1786" s="545"/>
    </row>
    <row r="1787" spans="8:8">
      <c r="H1787" s="545"/>
    </row>
    <row r="1788" spans="8:8">
      <c r="H1788" s="545"/>
    </row>
    <row r="1789" spans="8:8">
      <c r="H1789" s="545"/>
    </row>
    <row r="1790" spans="8:8">
      <c r="H1790" s="545"/>
    </row>
    <row r="1791" spans="8:8">
      <c r="H1791" s="545"/>
    </row>
    <row r="1792" spans="8:8">
      <c r="H1792" s="545"/>
    </row>
    <row r="1793" spans="8:8">
      <c r="H1793" s="545"/>
    </row>
    <row r="1794" spans="8:8">
      <c r="H1794" s="545"/>
    </row>
    <row r="1795" spans="8:8">
      <c r="H1795" s="545"/>
    </row>
    <row r="1796" spans="8:8">
      <c r="H1796" s="545"/>
    </row>
    <row r="1797" spans="8:8">
      <c r="H1797" s="545"/>
    </row>
    <row r="1798" spans="8:8">
      <c r="H1798" s="545"/>
    </row>
    <row r="1799" spans="8:8">
      <c r="H1799" s="545"/>
    </row>
    <row r="1800" spans="8:8">
      <c r="H1800" s="545"/>
    </row>
    <row r="1801" spans="8:8">
      <c r="H1801" s="545"/>
    </row>
    <row r="1802" spans="8:8">
      <c r="H1802" s="545"/>
    </row>
    <row r="1803" spans="8:8">
      <c r="H1803" s="545"/>
    </row>
    <row r="1804" spans="8:8">
      <c r="H1804" s="545"/>
    </row>
    <row r="1805" spans="8:8">
      <c r="H1805" s="545"/>
    </row>
    <row r="1806" spans="8:8">
      <c r="H1806" s="545"/>
    </row>
    <row r="1807" spans="8:8">
      <c r="H1807" s="545"/>
    </row>
    <row r="1808" spans="8:8">
      <c r="H1808" s="545"/>
    </row>
    <row r="1809" spans="8:8">
      <c r="H1809" s="545"/>
    </row>
    <row r="1810" spans="8:8">
      <c r="H1810" s="545"/>
    </row>
    <row r="1811" spans="8:8">
      <c r="H1811" s="545"/>
    </row>
    <row r="1812" spans="8:8">
      <c r="H1812" s="545"/>
    </row>
    <row r="1813" spans="8:8">
      <c r="H1813" s="545"/>
    </row>
    <row r="1814" spans="8:8">
      <c r="H1814" s="545"/>
    </row>
    <row r="1815" spans="8:8">
      <c r="H1815" s="545"/>
    </row>
    <row r="1816" spans="8:8">
      <c r="H1816" s="545"/>
    </row>
    <row r="1817" spans="8:8">
      <c r="H1817" s="545"/>
    </row>
    <row r="1818" spans="8:8">
      <c r="H1818" s="545"/>
    </row>
    <row r="1819" spans="8:8">
      <c r="H1819" s="545"/>
    </row>
    <row r="1820" spans="8:8">
      <c r="H1820" s="545"/>
    </row>
    <row r="1821" spans="8:8">
      <c r="H1821" s="545"/>
    </row>
    <row r="1822" spans="8:8">
      <c r="H1822" s="545"/>
    </row>
    <row r="1823" spans="8:8">
      <c r="H1823" s="545"/>
    </row>
    <row r="1824" spans="8:8">
      <c r="H1824" s="545"/>
    </row>
    <row r="1825" spans="8:8">
      <c r="H1825" s="545"/>
    </row>
    <row r="1826" spans="8:8">
      <c r="H1826" s="545"/>
    </row>
    <row r="1827" spans="8:8">
      <c r="H1827" s="545"/>
    </row>
    <row r="1828" spans="8:8">
      <c r="H1828" s="545"/>
    </row>
    <row r="1829" spans="8:8">
      <c r="H1829" s="545"/>
    </row>
    <row r="1830" spans="8:8">
      <c r="H1830" s="545"/>
    </row>
    <row r="1831" spans="8:8">
      <c r="H1831" s="545"/>
    </row>
    <row r="1832" spans="8:8">
      <c r="H1832" s="545"/>
    </row>
    <row r="1833" spans="8:8">
      <c r="H1833" s="545"/>
    </row>
    <row r="1834" spans="8:8">
      <c r="H1834" s="545"/>
    </row>
    <row r="1835" spans="8:8">
      <c r="H1835" s="545"/>
    </row>
    <row r="1836" spans="8:8">
      <c r="H1836" s="545"/>
    </row>
    <row r="1837" spans="8:8">
      <c r="H1837" s="545"/>
    </row>
    <row r="1838" spans="8:8">
      <c r="H1838" s="545"/>
    </row>
    <row r="1839" spans="8:8">
      <c r="H1839" s="545"/>
    </row>
    <row r="1840" spans="8:8">
      <c r="H1840" s="545"/>
    </row>
    <row r="1841" spans="8:8">
      <c r="H1841" s="545"/>
    </row>
    <row r="1842" spans="8:8">
      <c r="H1842" s="545"/>
    </row>
    <row r="1843" spans="8:8">
      <c r="H1843" s="545"/>
    </row>
    <row r="1844" spans="8:8">
      <c r="H1844" s="545"/>
    </row>
    <row r="1845" spans="8:8">
      <c r="H1845" s="545"/>
    </row>
    <row r="1846" spans="8:8">
      <c r="H1846" s="545"/>
    </row>
    <row r="1847" spans="8:8">
      <c r="H1847" s="545"/>
    </row>
    <row r="1848" spans="8:8">
      <c r="H1848" s="545"/>
    </row>
    <row r="1849" spans="8:8">
      <c r="H1849" s="545"/>
    </row>
    <row r="1850" spans="8:8">
      <c r="H1850" s="545"/>
    </row>
    <row r="1851" spans="8:8">
      <c r="H1851" s="545"/>
    </row>
    <row r="1852" spans="8:8">
      <c r="H1852" s="545"/>
    </row>
    <row r="1853" spans="8:8">
      <c r="H1853" s="545"/>
    </row>
    <row r="1854" spans="8:8">
      <c r="H1854" s="545"/>
    </row>
    <row r="1855" spans="8:8">
      <c r="H1855" s="545"/>
    </row>
    <row r="1856" spans="8:8">
      <c r="H1856" s="545"/>
    </row>
    <row r="1857" spans="8:8">
      <c r="H1857" s="545"/>
    </row>
    <row r="1858" spans="8:8">
      <c r="H1858" s="545"/>
    </row>
    <row r="1859" spans="8:8">
      <c r="H1859" s="545"/>
    </row>
    <row r="1860" spans="8:8">
      <c r="H1860" s="545"/>
    </row>
    <row r="1861" spans="8:8">
      <c r="H1861" s="545"/>
    </row>
    <row r="1862" spans="8:8">
      <c r="H1862" s="545"/>
    </row>
    <row r="1863" spans="8:8">
      <c r="H1863" s="545"/>
    </row>
    <row r="1864" spans="8:8">
      <c r="H1864" s="545"/>
    </row>
    <row r="1865" spans="8:8">
      <c r="H1865" s="545"/>
    </row>
    <row r="1866" spans="8:8">
      <c r="H1866" s="545"/>
    </row>
    <row r="1867" spans="8:8">
      <c r="H1867" s="545"/>
    </row>
    <row r="1868" spans="8:8">
      <c r="H1868" s="545"/>
    </row>
    <row r="1869" spans="8:8">
      <c r="H1869" s="545"/>
    </row>
    <row r="1870" spans="8:8">
      <c r="H1870" s="545"/>
    </row>
    <row r="1871" spans="8:8">
      <c r="H1871" s="545"/>
    </row>
    <row r="1872" spans="8:8">
      <c r="H1872" s="545"/>
    </row>
    <row r="1873" spans="8:8">
      <c r="H1873" s="545"/>
    </row>
    <row r="1874" spans="8:8">
      <c r="H1874" s="545"/>
    </row>
    <row r="1875" spans="8:8">
      <c r="H1875" s="545"/>
    </row>
    <row r="1876" spans="8:8">
      <c r="H1876" s="545"/>
    </row>
    <row r="1877" spans="8:8">
      <c r="H1877" s="545"/>
    </row>
    <row r="1878" spans="8:8">
      <c r="H1878" s="545"/>
    </row>
    <row r="1879" spans="8:8">
      <c r="H1879" s="545"/>
    </row>
    <row r="1880" spans="8:8">
      <c r="H1880" s="545"/>
    </row>
    <row r="1881" spans="8:8">
      <c r="H1881" s="545"/>
    </row>
    <row r="1882" spans="8:8">
      <c r="H1882" s="545"/>
    </row>
    <row r="1883" spans="8:8">
      <c r="H1883" s="545"/>
    </row>
    <row r="1884" spans="8:8">
      <c r="H1884" s="545"/>
    </row>
    <row r="1885" spans="8:8">
      <c r="H1885" s="545"/>
    </row>
    <row r="1886" spans="8:8">
      <c r="H1886" s="545"/>
    </row>
    <row r="1887" spans="8:8">
      <c r="H1887" s="545"/>
    </row>
    <row r="1888" spans="8:8">
      <c r="H1888" s="545"/>
    </row>
    <row r="1889" spans="8:8">
      <c r="H1889" s="545"/>
    </row>
    <row r="1890" spans="8:8">
      <c r="H1890" s="545"/>
    </row>
    <row r="1891" spans="8:8">
      <c r="H1891" s="545"/>
    </row>
    <row r="1892" spans="8:8">
      <c r="H1892" s="545"/>
    </row>
    <row r="1893" spans="8:8">
      <c r="H1893" s="545"/>
    </row>
    <row r="1894" spans="8:8">
      <c r="H1894" s="545"/>
    </row>
    <row r="1895" spans="8:8">
      <c r="H1895" s="545"/>
    </row>
    <row r="1896" spans="8:8">
      <c r="H1896" s="545"/>
    </row>
    <row r="1897" spans="8:8">
      <c r="H1897" s="545"/>
    </row>
    <row r="1898" spans="8:8">
      <c r="H1898" s="545"/>
    </row>
    <row r="1899" spans="8:8">
      <c r="H1899" s="545"/>
    </row>
    <row r="1900" spans="8:8">
      <c r="H1900" s="545"/>
    </row>
    <row r="1901" spans="8:8">
      <c r="H1901" s="545"/>
    </row>
    <row r="1902" spans="8:8">
      <c r="H1902" s="545"/>
    </row>
    <row r="1903" spans="8:8">
      <c r="H1903" s="545"/>
    </row>
    <row r="1904" spans="8:8">
      <c r="H1904" s="545"/>
    </row>
    <row r="1905" spans="8:8">
      <c r="H1905" s="545"/>
    </row>
    <row r="1906" spans="8:8">
      <c r="H1906" s="545"/>
    </row>
    <row r="1907" spans="8:8">
      <c r="H1907" s="545"/>
    </row>
    <row r="1908" spans="8:8">
      <c r="H1908" s="545"/>
    </row>
    <row r="1909" spans="8:8">
      <c r="H1909" s="545"/>
    </row>
    <row r="1910" spans="8:8">
      <c r="H1910" s="545"/>
    </row>
    <row r="1911" spans="8:8">
      <c r="H1911" s="545"/>
    </row>
    <row r="1912" spans="8:8">
      <c r="H1912" s="545"/>
    </row>
    <row r="1913" spans="8:8">
      <c r="H1913" s="545"/>
    </row>
    <row r="1914" spans="8:8">
      <c r="H1914" s="545"/>
    </row>
    <row r="1915" spans="8:8">
      <c r="H1915" s="545"/>
    </row>
    <row r="1916" spans="8:8">
      <c r="H1916" s="545"/>
    </row>
    <row r="1917" spans="8:8">
      <c r="H1917" s="545"/>
    </row>
    <row r="1918" spans="8:8">
      <c r="H1918" s="545"/>
    </row>
    <row r="1919" spans="8:8">
      <c r="H1919" s="545"/>
    </row>
    <row r="1920" spans="8:8">
      <c r="H1920" s="545"/>
    </row>
    <row r="1921" spans="8:8">
      <c r="H1921" s="545"/>
    </row>
    <row r="1922" spans="8:8">
      <c r="H1922" s="545"/>
    </row>
    <row r="1923" spans="8:8">
      <c r="H1923" s="545"/>
    </row>
    <row r="1924" spans="8:8">
      <c r="H1924" s="545"/>
    </row>
    <row r="1925" spans="8:8">
      <c r="H1925" s="545"/>
    </row>
    <row r="1926" spans="8:8">
      <c r="H1926" s="545"/>
    </row>
    <row r="1927" spans="8:8">
      <c r="H1927" s="545"/>
    </row>
    <row r="1928" spans="8:8">
      <c r="H1928" s="545"/>
    </row>
    <row r="1929" spans="8:8">
      <c r="H1929" s="545"/>
    </row>
    <row r="1930" spans="8:8">
      <c r="H1930" s="545"/>
    </row>
    <row r="1931" spans="8:8">
      <c r="H1931" s="545"/>
    </row>
    <row r="1932" spans="8:8">
      <c r="H1932" s="545"/>
    </row>
    <row r="1933" spans="8:8">
      <c r="H1933" s="545"/>
    </row>
    <row r="1934" spans="8:8">
      <c r="H1934" s="545"/>
    </row>
    <row r="1935" spans="8:8">
      <c r="H1935" s="545"/>
    </row>
    <row r="1936" spans="8:8">
      <c r="H1936" s="545"/>
    </row>
    <row r="1937" spans="8:8">
      <c r="H1937" s="545"/>
    </row>
    <row r="1938" spans="8:8">
      <c r="H1938" s="545"/>
    </row>
    <row r="1939" spans="8:8">
      <c r="H1939" s="545"/>
    </row>
    <row r="1940" spans="8:8">
      <c r="H1940" s="545"/>
    </row>
    <row r="1941" spans="8:8">
      <c r="H1941" s="545"/>
    </row>
    <row r="1942" spans="8:8">
      <c r="H1942" s="545"/>
    </row>
    <row r="1943" spans="8:8">
      <c r="H1943" s="545"/>
    </row>
    <row r="1944" spans="8:8">
      <c r="H1944" s="545"/>
    </row>
    <row r="1945" spans="8:8">
      <c r="H1945" s="545"/>
    </row>
    <row r="1946" spans="8:8">
      <c r="H1946" s="545"/>
    </row>
    <row r="1947" spans="8:8">
      <c r="H1947" s="545"/>
    </row>
    <row r="1948" spans="8:8">
      <c r="H1948" s="545"/>
    </row>
    <row r="1949" spans="8:8">
      <c r="H1949" s="545"/>
    </row>
    <row r="1950" spans="8:8">
      <c r="H1950" s="545"/>
    </row>
    <row r="1951" spans="8:8">
      <c r="H1951" s="545"/>
    </row>
    <row r="1952" spans="8:8">
      <c r="H1952" s="545"/>
    </row>
    <row r="1953" spans="8:8">
      <c r="H1953" s="545"/>
    </row>
    <row r="1954" spans="8:8">
      <c r="H1954" s="545"/>
    </row>
    <row r="1955" spans="8:8">
      <c r="H1955" s="545"/>
    </row>
    <row r="1956" spans="8:8">
      <c r="H1956" s="545"/>
    </row>
    <row r="1957" spans="8:8">
      <c r="H1957" s="545"/>
    </row>
    <row r="1958" spans="8:8">
      <c r="H1958" s="545"/>
    </row>
    <row r="1959" spans="8:8">
      <c r="H1959" s="545"/>
    </row>
    <row r="1960" spans="8:8">
      <c r="H1960" s="545"/>
    </row>
    <row r="1961" spans="8:8">
      <c r="H1961" s="545"/>
    </row>
    <row r="1962" spans="8:8">
      <c r="H1962" s="545"/>
    </row>
    <row r="1963" spans="8:8">
      <c r="H1963" s="545"/>
    </row>
    <row r="1964" spans="8:8">
      <c r="H1964" s="545"/>
    </row>
    <row r="1965" spans="8:8">
      <c r="H1965" s="545"/>
    </row>
    <row r="1966" spans="8:8">
      <c r="H1966" s="545"/>
    </row>
    <row r="1967" spans="8:8">
      <c r="H1967" s="545"/>
    </row>
    <row r="1968" spans="8:8">
      <c r="H1968" s="545"/>
    </row>
    <row r="1969" spans="8:8">
      <c r="H1969" s="545"/>
    </row>
    <row r="1970" spans="8:8">
      <c r="H1970" s="545"/>
    </row>
    <row r="1971" spans="8:8">
      <c r="H1971" s="545"/>
    </row>
    <row r="1972" spans="8:8">
      <c r="H1972" s="545"/>
    </row>
    <row r="1973" spans="8:8">
      <c r="H1973" s="545"/>
    </row>
    <row r="1974" spans="8:8">
      <c r="H1974" s="545"/>
    </row>
    <row r="1975" spans="8:8">
      <c r="H1975" s="545"/>
    </row>
    <row r="1976" spans="8:8">
      <c r="H1976" s="545"/>
    </row>
    <row r="1977" spans="8:8">
      <c r="H1977" s="545"/>
    </row>
    <row r="1978" spans="8:8">
      <c r="H1978" s="545"/>
    </row>
    <row r="1979" spans="8:8">
      <c r="H1979" s="545"/>
    </row>
    <row r="1980" spans="8:8">
      <c r="H1980" s="545"/>
    </row>
    <row r="1981" spans="8:8">
      <c r="H1981" s="545"/>
    </row>
    <row r="1982" spans="8:8">
      <c r="H1982" s="545"/>
    </row>
    <row r="1983" spans="8:8">
      <c r="H1983" s="545"/>
    </row>
    <row r="1984" spans="8:8">
      <c r="H1984" s="545"/>
    </row>
    <row r="1985" spans="8:8">
      <c r="H1985" s="545"/>
    </row>
    <row r="1986" spans="8:8">
      <c r="H1986" s="545"/>
    </row>
    <row r="1987" spans="8:8">
      <c r="H1987" s="545"/>
    </row>
    <row r="1988" spans="8:8">
      <c r="H1988" s="545"/>
    </row>
    <row r="1989" spans="8:8">
      <c r="H1989" s="545"/>
    </row>
    <row r="1990" spans="8:8">
      <c r="H1990" s="545"/>
    </row>
    <row r="1991" spans="8:8">
      <c r="H1991" s="545"/>
    </row>
    <row r="1992" spans="8:8">
      <c r="H1992" s="545"/>
    </row>
    <row r="1993" spans="8:8">
      <c r="H1993" s="545"/>
    </row>
    <row r="1994" spans="8:8">
      <c r="H1994" s="545"/>
    </row>
    <row r="1995" spans="8:8">
      <c r="H1995" s="545"/>
    </row>
    <row r="1996" spans="8:8">
      <c r="H1996" s="545"/>
    </row>
    <row r="1997" spans="8:8">
      <c r="H1997" s="545"/>
    </row>
    <row r="1998" spans="8:8">
      <c r="H1998" s="545"/>
    </row>
    <row r="1999" spans="8:8">
      <c r="H1999" s="545"/>
    </row>
    <row r="2000" spans="8:8">
      <c r="H2000" s="545"/>
    </row>
    <row r="2001" spans="8:8">
      <c r="H2001" s="545"/>
    </row>
    <row r="2002" spans="8:8">
      <c r="H2002" s="545"/>
    </row>
    <row r="2003" spans="8:8">
      <c r="H2003" s="545"/>
    </row>
    <row r="2004" spans="8:8">
      <c r="H2004" s="545"/>
    </row>
    <row r="2005" spans="8:8">
      <c r="H2005" s="545"/>
    </row>
    <row r="2006" spans="8:8">
      <c r="H2006" s="545"/>
    </row>
    <row r="2007" spans="8:8">
      <c r="H2007" s="545"/>
    </row>
    <row r="2008" spans="8:8">
      <c r="H2008" s="545"/>
    </row>
    <row r="2009" spans="8:8">
      <c r="H2009" s="545"/>
    </row>
    <row r="2010" spans="8:8">
      <c r="H2010" s="545"/>
    </row>
    <row r="2011" spans="8:8">
      <c r="H2011" s="545"/>
    </row>
    <row r="2012" spans="8:8">
      <c r="H2012" s="545"/>
    </row>
    <row r="2013" spans="8:8">
      <c r="H2013" s="545"/>
    </row>
    <row r="2014" spans="8:8">
      <c r="H2014" s="545"/>
    </row>
    <row r="2015" spans="8:8">
      <c r="H2015" s="545"/>
    </row>
    <row r="2016" spans="8:8">
      <c r="H2016" s="545"/>
    </row>
    <row r="2017" spans="8:8">
      <c r="H2017" s="545"/>
    </row>
    <row r="2018" spans="8:8">
      <c r="H2018" s="545"/>
    </row>
    <row r="2019" spans="8:8">
      <c r="H2019" s="545"/>
    </row>
    <row r="2020" spans="8:8">
      <c r="H2020" s="545"/>
    </row>
    <row r="2021" spans="8:8">
      <c r="H2021" s="545"/>
    </row>
    <row r="2022" spans="8:8">
      <c r="H2022" s="545"/>
    </row>
    <row r="2023" spans="8:8">
      <c r="H2023" s="545"/>
    </row>
    <row r="2024" spans="8:8">
      <c r="H2024" s="545"/>
    </row>
    <row r="2025" spans="8:8">
      <c r="H2025" s="545"/>
    </row>
    <row r="2026" spans="8:8">
      <c r="H2026" s="545"/>
    </row>
    <row r="2027" spans="8:8">
      <c r="H2027" s="545"/>
    </row>
    <row r="2028" spans="8:8">
      <c r="H2028" s="545"/>
    </row>
    <row r="2029" spans="8:8">
      <c r="H2029" s="545"/>
    </row>
    <row r="2030" spans="8:8">
      <c r="H2030" s="545"/>
    </row>
    <row r="2031" spans="8:8">
      <c r="H2031" s="545"/>
    </row>
    <row r="2032" spans="8:8">
      <c r="H2032" s="545"/>
    </row>
    <row r="2033" spans="8:8">
      <c r="H2033" s="545"/>
    </row>
    <row r="2034" spans="8:8">
      <c r="H2034" s="545"/>
    </row>
    <row r="2035" spans="8:8">
      <c r="H2035" s="545"/>
    </row>
    <row r="2036" spans="8:8">
      <c r="H2036" s="545"/>
    </row>
    <row r="2037" spans="8:8">
      <c r="H2037" s="545"/>
    </row>
    <row r="2038" spans="8:8">
      <c r="H2038" s="545"/>
    </row>
    <row r="2039" spans="8:8">
      <c r="H2039" s="545"/>
    </row>
    <row r="2040" spans="8:8">
      <c r="H2040" s="545"/>
    </row>
    <row r="2041" spans="8:8">
      <c r="H2041" s="545"/>
    </row>
    <row r="2042" spans="8:8">
      <c r="H2042" s="545"/>
    </row>
    <row r="2043" spans="8:8">
      <c r="H2043" s="545"/>
    </row>
    <row r="2044" spans="8:8">
      <c r="H2044" s="545"/>
    </row>
    <row r="2045" spans="8:8">
      <c r="H2045" s="545"/>
    </row>
    <row r="2046" spans="8:8">
      <c r="H2046" s="545"/>
    </row>
    <row r="2047" spans="8:8">
      <c r="H2047" s="545"/>
    </row>
    <row r="2048" spans="8:8">
      <c r="H2048" s="545"/>
    </row>
    <row r="2049" spans="8:8">
      <c r="H2049" s="545"/>
    </row>
    <row r="2050" spans="8:8">
      <c r="H2050" s="545"/>
    </row>
    <row r="2051" spans="8:8">
      <c r="H2051" s="545"/>
    </row>
    <row r="2052" spans="8:8">
      <c r="H2052" s="545"/>
    </row>
    <row r="2053" spans="8:8">
      <c r="H2053" s="545"/>
    </row>
    <row r="2054" spans="8:8">
      <c r="H2054" s="545"/>
    </row>
    <row r="2055" spans="8:8">
      <c r="H2055" s="545"/>
    </row>
    <row r="2056" spans="8:8">
      <c r="H2056" s="545"/>
    </row>
    <row r="2057" spans="8:8">
      <c r="H2057" s="545"/>
    </row>
    <row r="2058" spans="8:8">
      <c r="H2058" s="545"/>
    </row>
    <row r="2059" spans="8:8">
      <c r="H2059" s="545"/>
    </row>
    <row r="2060" spans="8:8">
      <c r="H2060" s="545"/>
    </row>
    <row r="2061" spans="8:8">
      <c r="H2061" s="545"/>
    </row>
    <row r="2062" spans="8:8">
      <c r="H2062" s="545"/>
    </row>
    <row r="2063" spans="8:8">
      <c r="H2063" s="545"/>
    </row>
    <row r="2064" spans="8:8">
      <c r="H2064" s="545"/>
    </row>
    <row r="2065" spans="8:8">
      <c r="H2065" s="545"/>
    </row>
    <row r="2066" spans="8:8">
      <c r="H2066" s="545"/>
    </row>
    <row r="2067" spans="8:8">
      <c r="H2067" s="545"/>
    </row>
    <row r="2068" spans="8:8">
      <c r="H2068" s="545"/>
    </row>
    <row r="2069" spans="8:8">
      <c r="H2069" s="545"/>
    </row>
    <row r="2070" spans="8:8">
      <c r="H2070" s="545"/>
    </row>
    <row r="2071" spans="8:8">
      <c r="H2071" s="545"/>
    </row>
    <row r="2072" spans="8:8">
      <c r="H2072" s="545"/>
    </row>
    <row r="2073" spans="8:8">
      <c r="H2073" s="545"/>
    </row>
    <row r="2074" spans="8:8">
      <c r="H2074" s="545"/>
    </row>
    <row r="2075" spans="8:8">
      <c r="H2075" s="545"/>
    </row>
    <row r="2076" spans="8:8">
      <c r="H2076" s="545"/>
    </row>
    <row r="2077" spans="8:8">
      <c r="H2077" s="545"/>
    </row>
    <row r="2078" spans="8:8">
      <c r="H2078" s="545"/>
    </row>
    <row r="2079" spans="8:8">
      <c r="H2079" s="545"/>
    </row>
    <row r="2080" spans="8:8">
      <c r="H2080" s="545"/>
    </row>
    <row r="2081" spans="8:8">
      <c r="H2081" s="545"/>
    </row>
    <row r="2082" spans="8:8">
      <c r="H2082" s="545"/>
    </row>
    <row r="2083" spans="8:8">
      <c r="H2083" s="545"/>
    </row>
    <row r="2084" spans="8:8">
      <c r="H2084" s="545"/>
    </row>
    <row r="2085" spans="8:8">
      <c r="H2085" s="545"/>
    </row>
    <row r="2086" spans="8:8">
      <c r="H2086" s="545"/>
    </row>
    <row r="2087" spans="8:8">
      <c r="H2087" s="545"/>
    </row>
    <row r="2088" spans="8:8">
      <c r="H2088" s="545"/>
    </row>
    <row r="2089" spans="8:8">
      <c r="H2089" s="545"/>
    </row>
    <row r="2090" spans="8:8">
      <c r="H2090" s="545"/>
    </row>
    <row r="2091" spans="8:8">
      <c r="H2091" s="545"/>
    </row>
    <row r="2092" spans="8:8">
      <c r="H2092" s="545"/>
    </row>
    <row r="2093" spans="8:8">
      <c r="H2093" s="545"/>
    </row>
    <row r="2094" spans="8:8">
      <c r="H2094" s="545"/>
    </row>
    <row r="2095" spans="8:8">
      <c r="H2095" s="545"/>
    </row>
    <row r="2096" spans="8:8">
      <c r="H2096" s="545"/>
    </row>
    <row r="2097" spans="8:8">
      <c r="H2097" s="545"/>
    </row>
    <row r="2098" spans="8:8">
      <c r="H2098" s="545"/>
    </row>
    <row r="2099" spans="8:8">
      <c r="H2099" s="545"/>
    </row>
    <row r="2100" spans="8:8">
      <c r="H2100" s="545"/>
    </row>
    <row r="2101" spans="8:8">
      <c r="H2101" s="545"/>
    </row>
    <row r="2102" spans="8:8">
      <c r="H2102" s="545"/>
    </row>
    <row r="2103" spans="8:8">
      <c r="H2103" s="545"/>
    </row>
    <row r="2104" spans="8:8">
      <c r="H2104" s="545"/>
    </row>
    <row r="2105" spans="8:8">
      <c r="H2105" s="545"/>
    </row>
    <row r="2106" spans="8:8">
      <c r="H2106" s="545"/>
    </row>
    <row r="2107" spans="8:8">
      <c r="H2107" s="545"/>
    </row>
    <row r="2108" spans="8:8">
      <c r="H2108" s="545"/>
    </row>
    <row r="2109" spans="8:8">
      <c r="H2109" s="545"/>
    </row>
    <row r="2110" spans="8:8">
      <c r="H2110" s="545"/>
    </row>
    <row r="2111" spans="8:8">
      <c r="H2111" s="545"/>
    </row>
    <row r="2112" spans="8:8">
      <c r="H2112" s="545"/>
    </row>
    <row r="2113" spans="8:8">
      <c r="H2113" s="545"/>
    </row>
    <row r="2114" spans="8:8">
      <c r="H2114" s="545"/>
    </row>
    <row r="2115" spans="8:8">
      <c r="H2115" s="545"/>
    </row>
    <row r="2116" spans="8:8">
      <c r="H2116" s="545"/>
    </row>
    <row r="2117" spans="8:8">
      <c r="H2117" s="545"/>
    </row>
    <row r="2118" spans="8:8">
      <c r="H2118" s="545"/>
    </row>
    <row r="2119" spans="8:8">
      <c r="H2119" s="545"/>
    </row>
    <row r="2120" spans="8:8">
      <c r="H2120" s="545"/>
    </row>
    <row r="2121" spans="8:8">
      <c r="H2121" s="545"/>
    </row>
    <row r="2122" spans="8:8">
      <c r="H2122" s="545"/>
    </row>
    <row r="2123" spans="8:8">
      <c r="H2123" s="545"/>
    </row>
    <row r="2124" spans="8:8">
      <c r="H2124" s="545"/>
    </row>
    <row r="2125" spans="8:8">
      <c r="H2125" s="545"/>
    </row>
    <row r="2126" spans="8:8">
      <c r="H2126" s="545"/>
    </row>
    <row r="2127" spans="8:8">
      <c r="H2127" s="545"/>
    </row>
    <row r="2128" spans="8:8">
      <c r="H2128" s="545"/>
    </row>
    <row r="2129" spans="8:8">
      <c r="H2129" s="545"/>
    </row>
    <row r="2130" spans="8:8">
      <c r="H2130" s="545"/>
    </row>
    <row r="2131" spans="8:8">
      <c r="H2131" s="545"/>
    </row>
    <row r="2132" spans="8:8">
      <c r="H2132" s="545"/>
    </row>
    <row r="2133" spans="8:8">
      <c r="H2133" s="545"/>
    </row>
    <row r="2134" spans="8:8">
      <c r="H2134" s="545"/>
    </row>
    <row r="2135" spans="8:8">
      <c r="H2135" s="545"/>
    </row>
    <row r="2136" spans="8:8">
      <c r="H2136" s="545"/>
    </row>
    <row r="2137" spans="8:8">
      <c r="H2137" s="545"/>
    </row>
    <row r="2138" spans="8:8">
      <c r="H2138" s="545"/>
    </row>
    <row r="2139" spans="8:8">
      <c r="H2139" s="545"/>
    </row>
    <row r="2140" spans="8:8">
      <c r="H2140" s="545"/>
    </row>
    <row r="2141" spans="8:8">
      <c r="H2141" s="545"/>
    </row>
    <row r="2142" spans="8:8">
      <c r="H2142" s="545"/>
    </row>
    <row r="2143" spans="8:8">
      <c r="H2143" s="545"/>
    </row>
    <row r="2144" spans="8:8">
      <c r="H2144" s="545"/>
    </row>
    <row r="2145" spans="8:8">
      <c r="H2145" s="545"/>
    </row>
    <row r="2146" spans="8:8">
      <c r="H2146" s="545"/>
    </row>
    <row r="2147" spans="8:8">
      <c r="H2147" s="545"/>
    </row>
    <row r="2148" spans="8:8">
      <c r="H2148" s="545"/>
    </row>
    <row r="2149" spans="8:8">
      <c r="H2149" s="545"/>
    </row>
    <row r="2150" spans="8:8">
      <c r="H2150" s="545"/>
    </row>
    <row r="2151" spans="8:8">
      <c r="H2151" s="545"/>
    </row>
    <row r="2152" spans="8:8">
      <c r="H2152" s="545"/>
    </row>
    <row r="2153" spans="8:8">
      <c r="H2153" s="545"/>
    </row>
    <row r="2154" spans="8:8">
      <c r="H2154" s="545"/>
    </row>
    <row r="2155" spans="8:8">
      <c r="H2155" s="545"/>
    </row>
    <row r="2156" spans="8:8">
      <c r="H2156" s="545"/>
    </row>
    <row r="2157" spans="8:8">
      <c r="H2157" s="545"/>
    </row>
    <row r="2158" spans="8:8">
      <c r="H2158" s="545"/>
    </row>
    <row r="2159" spans="8:8">
      <c r="H2159" s="545"/>
    </row>
    <row r="2160" spans="8:8">
      <c r="H2160" s="545"/>
    </row>
    <row r="2161" spans="8:8">
      <c r="H2161" s="545"/>
    </row>
    <row r="2162" spans="8:8">
      <c r="H2162" s="545"/>
    </row>
    <row r="2163" spans="8:8">
      <c r="H2163" s="545"/>
    </row>
    <row r="2164" spans="8:8">
      <c r="H2164" s="545"/>
    </row>
    <row r="2165" spans="8:8">
      <c r="H2165" s="545"/>
    </row>
    <row r="2166" spans="8:8">
      <c r="H2166" s="545"/>
    </row>
    <row r="2167" spans="8:8">
      <c r="H2167" s="545"/>
    </row>
    <row r="2168" spans="8:8">
      <c r="H2168" s="545"/>
    </row>
    <row r="2169" spans="8:8">
      <c r="H2169" s="545"/>
    </row>
    <row r="2170" spans="8:8">
      <c r="H2170" s="545"/>
    </row>
    <row r="2171" spans="8:8">
      <c r="H2171" s="545"/>
    </row>
    <row r="2172" spans="8:8">
      <c r="H2172" s="545"/>
    </row>
    <row r="2173" spans="8:8">
      <c r="H2173" s="545"/>
    </row>
    <row r="2174" spans="8:8">
      <c r="H2174" s="545"/>
    </row>
    <row r="2175" spans="8:8">
      <c r="H2175" s="545"/>
    </row>
    <row r="2176" spans="8:8">
      <c r="H2176" s="545"/>
    </row>
    <row r="2177" spans="8:8">
      <c r="H2177" s="545"/>
    </row>
    <row r="2178" spans="8:8">
      <c r="H2178" s="545"/>
    </row>
    <row r="2179" spans="8:8">
      <c r="H2179" s="545"/>
    </row>
    <row r="2180" spans="8:8">
      <c r="H2180" s="545"/>
    </row>
    <row r="2181" spans="8:8">
      <c r="H2181" s="545"/>
    </row>
    <row r="2182" spans="8:8">
      <c r="H2182" s="545"/>
    </row>
    <row r="2183" spans="8:8">
      <c r="H2183" s="545"/>
    </row>
    <row r="2184" spans="8:8">
      <c r="H2184" s="545"/>
    </row>
    <row r="2185" spans="8:8">
      <c r="H2185" s="545"/>
    </row>
    <row r="2186" spans="8:8">
      <c r="H2186" s="545"/>
    </row>
    <row r="2187" spans="8:8">
      <c r="H2187" s="545"/>
    </row>
    <row r="2188" spans="8:8">
      <c r="H2188" s="545"/>
    </row>
    <row r="2189" spans="8:8">
      <c r="H2189" s="545"/>
    </row>
    <row r="2190" spans="8:8">
      <c r="H2190" s="545"/>
    </row>
    <row r="2191" spans="8:8">
      <c r="H2191" s="545"/>
    </row>
    <row r="2192" spans="8:8">
      <c r="H2192" s="545"/>
    </row>
    <row r="2193" spans="8:8">
      <c r="H2193" s="545"/>
    </row>
    <row r="2194" spans="8:8">
      <c r="H2194" s="545"/>
    </row>
    <row r="2195" spans="8:8">
      <c r="H2195" s="545"/>
    </row>
    <row r="2196" spans="8:8">
      <c r="H2196" s="545"/>
    </row>
    <row r="2197" spans="8:8">
      <c r="H2197" s="545"/>
    </row>
    <row r="2198" spans="8:8">
      <c r="H2198" s="545"/>
    </row>
    <row r="2199" spans="8:8">
      <c r="H2199" s="545"/>
    </row>
    <row r="2200" spans="8:8">
      <c r="H2200" s="545"/>
    </row>
    <row r="2201" spans="8:8">
      <c r="H2201" s="545"/>
    </row>
    <row r="2202" spans="8:8">
      <c r="H2202" s="545"/>
    </row>
    <row r="2203" spans="8:8">
      <c r="H2203" s="545"/>
    </row>
    <row r="2204" spans="8:8">
      <c r="H2204" s="545"/>
    </row>
    <row r="2205" spans="8:8">
      <c r="H2205" s="545"/>
    </row>
    <row r="2206" spans="8:8">
      <c r="H2206" s="545"/>
    </row>
  </sheetData>
  <mergeCells count="8">
    <mergeCell ref="A1:H1"/>
    <mergeCell ref="B2:H2"/>
    <mergeCell ref="C3:C4"/>
    <mergeCell ref="D3:D4"/>
    <mergeCell ref="E3:E4"/>
    <mergeCell ref="F3:F4"/>
    <mergeCell ref="G3:G4"/>
    <mergeCell ref="H3:H4"/>
  </mergeCells>
  <pageMargins left="0.19685039370078741" right="0.19685039370078741" top="0.74803149606299213" bottom="0.74803149606299213" header="0.31496062992125984" footer="0.31496062992125984"/>
  <pageSetup paperSize="9" scale="55" orientation="portrait" r:id="rId1"/>
  <rowBreaks count="3" manualBreakCount="3">
    <brk id="114" max="7" man="1"/>
    <brk id="132" max="7" man="1"/>
    <brk id="167"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Views>
    <sheetView tabSelected="1" view="pageBreakPreview" topLeftCell="A31" zoomScaleNormal="100" zoomScaleSheetLayoutView="100" workbookViewId="0">
      <selection activeCell="C45" sqref="C45"/>
    </sheetView>
  </sheetViews>
  <sheetFormatPr defaultColWidth="9.1796875" defaultRowHeight="14.5"/>
  <cols>
    <col min="1" max="1" width="11.1796875" style="470" bestFit="1" customWidth="1"/>
    <col min="2" max="2" width="31.1796875" style="470" bestFit="1" customWidth="1"/>
    <col min="3" max="3" width="60.81640625" style="470" bestFit="1" customWidth="1"/>
    <col min="4" max="16384" width="9.1796875" style="470"/>
  </cols>
  <sheetData>
    <row r="1" spans="1:3" s="309" customFormat="1">
      <c r="A1" s="4" t="s">
        <v>217</v>
      </c>
      <c r="B1" s="81" t="s">
        <v>831</v>
      </c>
      <c r="C1" s="81"/>
    </row>
    <row r="2" spans="1:3">
      <c r="A2" s="620" t="s">
        <v>832</v>
      </c>
      <c r="B2" s="620"/>
      <c r="C2" s="620"/>
    </row>
    <row r="3" spans="1:3">
      <c r="A3" s="471">
        <v>1</v>
      </c>
      <c r="B3" s="472" t="s">
        <v>833</v>
      </c>
      <c r="C3" s="472" t="s">
        <v>834</v>
      </c>
    </row>
    <row r="4" spans="1:3">
      <c r="A4" s="471">
        <v>2</v>
      </c>
      <c r="B4" s="472" t="s">
        <v>835</v>
      </c>
      <c r="C4" s="472" t="s">
        <v>836</v>
      </c>
    </row>
    <row r="5" spans="1:3">
      <c r="A5" s="471">
        <v>3</v>
      </c>
      <c r="B5" s="472" t="s">
        <v>837</v>
      </c>
      <c r="C5" s="472" t="s">
        <v>838</v>
      </c>
    </row>
    <row r="6" spans="1:3">
      <c r="A6" s="471">
        <v>4</v>
      </c>
      <c r="B6" s="472" t="s">
        <v>839</v>
      </c>
      <c r="C6" s="472" t="s">
        <v>840</v>
      </c>
    </row>
    <row r="7" spans="1:3">
      <c r="A7" s="471">
        <v>5</v>
      </c>
      <c r="B7" s="472" t="s">
        <v>841</v>
      </c>
      <c r="C7" s="472" t="s">
        <v>842</v>
      </c>
    </row>
    <row r="8" spans="1:3">
      <c r="A8" s="471">
        <v>6</v>
      </c>
      <c r="B8" s="472" t="s">
        <v>843</v>
      </c>
      <c r="C8" s="472" t="s">
        <v>844</v>
      </c>
    </row>
    <row r="9" spans="1:3">
      <c r="A9" s="471">
        <v>7</v>
      </c>
      <c r="B9" s="472" t="s">
        <v>845</v>
      </c>
      <c r="C9" s="472" t="s">
        <v>846</v>
      </c>
    </row>
    <row r="10" spans="1:3">
      <c r="A10" s="471">
        <v>8</v>
      </c>
      <c r="B10" s="472" t="s">
        <v>847</v>
      </c>
      <c r="C10" s="472" t="s">
        <v>848</v>
      </c>
    </row>
    <row r="11" spans="1:3">
      <c r="A11" s="471">
        <v>9</v>
      </c>
      <c r="B11" s="472" t="s">
        <v>849</v>
      </c>
      <c r="C11" s="472" t="s">
        <v>850</v>
      </c>
    </row>
    <row r="12" spans="1:3">
      <c r="A12" s="471">
        <v>10</v>
      </c>
      <c r="B12" s="472" t="s">
        <v>851</v>
      </c>
      <c r="C12" s="472" t="s">
        <v>852</v>
      </c>
    </row>
    <row r="13" spans="1:3">
      <c r="A13" s="471">
        <v>11</v>
      </c>
      <c r="B13" s="472" t="s">
        <v>853</v>
      </c>
      <c r="C13" s="472" t="s">
        <v>854</v>
      </c>
    </row>
    <row r="14" spans="1:3">
      <c r="A14" s="471">
        <v>12</v>
      </c>
      <c r="B14" s="472" t="s">
        <v>855</v>
      </c>
      <c r="C14" s="472" t="s">
        <v>856</v>
      </c>
    </row>
    <row r="15" spans="1:3">
      <c r="A15" s="471">
        <v>13</v>
      </c>
      <c r="B15" s="472" t="s">
        <v>857</v>
      </c>
      <c r="C15" s="472" t="s">
        <v>858</v>
      </c>
    </row>
    <row r="16" spans="1:3">
      <c r="A16" s="471">
        <v>14</v>
      </c>
      <c r="B16" s="472" t="s">
        <v>859</v>
      </c>
      <c r="C16" s="472" t="s">
        <v>860</v>
      </c>
    </row>
    <row r="17" spans="1:3">
      <c r="A17" s="471">
        <v>15</v>
      </c>
      <c r="B17" s="472" t="s">
        <v>861</v>
      </c>
      <c r="C17" s="472" t="s">
        <v>862</v>
      </c>
    </row>
    <row r="18" spans="1:3">
      <c r="A18" s="471">
        <v>16</v>
      </c>
      <c r="B18" s="472" t="s">
        <v>863</v>
      </c>
      <c r="C18" s="472" t="s">
        <v>864</v>
      </c>
    </row>
    <row r="19" spans="1:3">
      <c r="A19" s="471">
        <v>17</v>
      </c>
      <c r="B19" s="472" t="s">
        <v>865</v>
      </c>
      <c r="C19" s="472" t="s">
        <v>866</v>
      </c>
    </row>
    <row r="20" spans="1:3">
      <c r="A20" s="471">
        <v>18</v>
      </c>
      <c r="B20" s="472" t="s">
        <v>867</v>
      </c>
      <c r="C20" s="472" t="s">
        <v>868</v>
      </c>
    </row>
    <row r="21" spans="1:3">
      <c r="A21" s="471">
        <v>19</v>
      </c>
      <c r="B21" s="472" t="s">
        <v>869</v>
      </c>
      <c r="C21" s="472" t="s">
        <v>866</v>
      </c>
    </row>
    <row r="22" spans="1:3">
      <c r="A22" s="471">
        <v>20</v>
      </c>
      <c r="B22" s="472" t="s">
        <v>870</v>
      </c>
      <c r="C22" s="472" t="s">
        <v>871</v>
      </c>
    </row>
    <row r="23" spans="1:3">
      <c r="A23" s="471">
        <v>21</v>
      </c>
      <c r="B23" s="472" t="s">
        <v>872</v>
      </c>
      <c r="C23" s="472" t="s">
        <v>873</v>
      </c>
    </row>
    <row r="24" spans="1:3">
      <c r="A24" s="471">
        <v>22</v>
      </c>
      <c r="B24" s="472" t="s">
        <v>874</v>
      </c>
      <c r="C24" s="472" t="s">
        <v>875</v>
      </c>
    </row>
    <row r="25" spans="1:3">
      <c r="A25" s="471">
        <v>23</v>
      </c>
      <c r="B25" s="472" t="s">
        <v>793</v>
      </c>
      <c r="C25" s="472" t="s">
        <v>876</v>
      </c>
    </row>
    <row r="26" spans="1:3">
      <c r="A26" s="471">
        <v>24</v>
      </c>
      <c r="B26" s="472" t="s">
        <v>877</v>
      </c>
      <c r="C26" s="472" t="s">
        <v>876</v>
      </c>
    </row>
    <row r="27" spans="1:3">
      <c r="A27" s="471">
        <v>25</v>
      </c>
      <c r="B27" s="472" t="s">
        <v>878</v>
      </c>
      <c r="C27" s="472" t="s">
        <v>879</v>
      </c>
    </row>
    <row r="28" spans="1:3">
      <c r="A28" s="471">
        <v>26</v>
      </c>
      <c r="B28" s="472" t="s">
        <v>880</v>
      </c>
      <c r="C28" s="472" t="s">
        <v>881</v>
      </c>
    </row>
    <row r="29" spans="1:3">
      <c r="A29" s="471">
        <v>27</v>
      </c>
      <c r="B29" s="472" t="s">
        <v>882</v>
      </c>
      <c r="C29" s="472" t="s">
        <v>883</v>
      </c>
    </row>
    <row r="30" spans="1:3">
      <c r="A30" s="471">
        <v>28</v>
      </c>
      <c r="B30" s="472" t="s">
        <v>884</v>
      </c>
      <c r="C30" s="472" t="s">
        <v>885</v>
      </c>
    </row>
    <row r="31" spans="1:3">
      <c r="A31" s="471">
        <v>29</v>
      </c>
      <c r="B31" s="472" t="s">
        <v>886</v>
      </c>
      <c r="C31" s="472" t="s">
        <v>887</v>
      </c>
    </row>
    <row r="32" spans="1:3">
      <c r="A32" s="471">
        <v>30</v>
      </c>
      <c r="B32" s="472" t="s">
        <v>888</v>
      </c>
      <c r="C32" s="472" t="s">
        <v>889</v>
      </c>
    </row>
    <row r="33" spans="1:3">
      <c r="A33" s="471">
        <v>31</v>
      </c>
      <c r="B33" s="472" t="s">
        <v>890</v>
      </c>
      <c r="C33" s="472" t="s">
        <v>891</v>
      </c>
    </row>
    <row r="34" spans="1:3">
      <c r="A34" s="473"/>
      <c r="B34" s="474"/>
      <c r="C34" s="474"/>
    </row>
    <row r="35" spans="1:3">
      <c r="A35" s="475"/>
      <c r="B35" s="476" t="s">
        <v>892</v>
      </c>
      <c r="C35" s="472"/>
    </row>
    <row r="36" spans="1:3">
      <c r="A36" s="621">
        <v>1</v>
      </c>
      <c r="B36" s="622" t="s">
        <v>893</v>
      </c>
      <c r="C36" s="472" t="s">
        <v>894</v>
      </c>
    </row>
    <row r="37" spans="1:3">
      <c r="A37" s="621"/>
      <c r="B37" s="622"/>
      <c r="C37" s="472" t="s">
        <v>895</v>
      </c>
    </row>
    <row r="38" spans="1:3">
      <c r="A38" s="471">
        <v>2</v>
      </c>
      <c r="B38" s="472" t="s">
        <v>896</v>
      </c>
      <c r="C38" s="472" t="s">
        <v>897</v>
      </c>
    </row>
    <row r="39" spans="1:3">
      <c r="A39" s="471">
        <v>3</v>
      </c>
      <c r="B39" s="472" t="s">
        <v>898</v>
      </c>
      <c r="C39" s="472" t="s">
        <v>899</v>
      </c>
    </row>
    <row r="40" spans="1:3">
      <c r="A40" s="471">
        <v>4</v>
      </c>
      <c r="B40" s="472" t="s">
        <v>900</v>
      </c>
      <c r="C40" s="472" t="s">
        <v>901</v>
      </c>
    </row>
    <row r="41" spans="1:3">
      <c r="A41" s="471">
        <v>5</v>
      </c>
      <c r="B41" s="472" t="s">
        <v>902</v>
      </c>
      <c r="C41" s="472" t="s">
        <v>903</v>
      </c>
    </row>
    <row r="42" spans="1:3">
      <c r="A42" s="471">
        <v>6</v>
      </c>
      <c r="B42" s="472" t="s">
        <v>904</v>
      </c>
      <c r="C42" s="472" t="s">
        <v>905</v>
      </c>
    </row>
    <row r="43" spans="1:3">
      <c r="A43" s="471">
        <v>7</v>
      </c>
      <c r="B43" s="472" t="s">
        <v>906</v>
      </c>
      <c r="C43" s="472" t="s">
        <v>907</v>
      </c>
    </row>
    <row r="44" spans="1:3">
      <c r="A44" s="471">
        <v>8</v>
      </c>
      <c r="B44" s="472" t="s">
        <v>908</v>
      </c>
      <c r="C44" s="472" t="s">
        <v>909</v>
      </c>
    </row>
    <row r="45" spans="1:3">
      <c r="A45" s="471">
        <v>9</v>
      </c>
      <c r="B45" s="472" t="s">
        <v>910</v>
      </c>
      <c r="C45" s="472" t="s">
        <v>909</v>
      </c>
    </row>
    <row r="46" spans="1:3">
      <c r="A46" s="471">
        <v>10</v>
      </c>
      <c r="B46" s="472" t="s">
        <v>911</v>
      </c>
      <c r="C46" s="472" t="s">
        <v>903</v>
      </c>
    </row>
    <row r="47" spans="1:3">
      <c r="A47" s="471">
        <v>11</v>
      </c>
      <c r="B47" s="472" t="s">
        <v>912</v>
      </c>
      <c r="C47" s="472" t="s">
        <v>913</v>
      </c>
    </row>
    <row r="48" spans="1:3">
      <c r="A48" s="471">
        <v>12</v>
      </c>
      <c r="B48" s="472" t="s">
        <v>914</v>
      </c>
      <c r="C48" s="472" t="s">
        <v>915</v>
      </c>
    </row>
    <row r="49" spans="1:3">
      <c r="A49" s="471">
        <v>13</v>
      </c>
      <c r="B49" s="472" t="s">
        <v>916</v>
      </c>
      <c r="C49" s="472" t="s">
        <v>917</v>
      </c>
    </row>
    <row r="50" spans="1:3">
      <c r="A50" s="471">
        <v>14</v>
      </c>
      <c r="B50" s="472" t="s">
        <v>918</v>
      </c>
      <c r="C50" s="472" t="s">
        <v>919</v>
      </c>
    </row>
    <row r="51" spans="1:3">
      <c r="A51" s="471">
        <v>15</v>
      </c>
      <c r="B51" s="472" t="s">
        <v>920</v>
      </c>
      <c r="C51" s="472" t="s">
        <v>921</v>
      </c>
    </row>
    <row r="52" spans="1:3">
      <c r="A52" s="471">
        <v>16</v>
      </c>
      <c r="B52" s="472" t="s">
        <v>922</v>
      </c>
      <c r="C52" s="472" t="s">
        <v>923</v>
      </c>
    </row>
    <row r="53" spans="1:3">
      <c r="A53" s="471">
        <v>17</v>
      </c>
      <c r="B53" s="472" t="s">
        <v>924</v>
      </c>
      <c r="C53" s="472" t="s">
        <v>903</v>
      </c>
    </row>
    <row r="54" spans="1:3">
      <c r="A54" s="471">
        <v>18</v>
      </c>
      <c r="B54" s="472" t="s">
        <v>925</v>
      </c>
      <c r="C54" s="472" t="s">
        <v>926</v>
      </c>
    </row>
    <row r="55" spans="1:3">
      <c r="A55" s="471">
        <v>19</v>
      </c>
      <c r="B55" s="472" t="s">
        <v>927</v>
      </c>
      <c r="C55" s="472" t="s">
        <v>928</v>
      </c>
    </row>
    <row r="56" spans="1:3">
      <c r="A56" s="471">
        <v>20</v>
      </c>
      <c r="B56" s="472" t="s">
        <v>929</v>
      </c>
      <c r="C56" s="472" t="s">
        <v>930</v>
      </c>
    </row>
    <row r="57" spans="1:3">
      <c r="A57" s="471">
        <v>21</v>
      </c>
      <c r="B57" s="472" t="s">
        <v>931</v>
      </c>
      <c r="C57" s="472" t="s">
        <v>932</v>
      </c>
    </row>
    <row r="58" spans="1:3">
      <c r="A58" s="471">
        <v>22</v>
      </c>
      <c r="B58" s="472" t="s">
        <v>933</v>
      </c>
      <c r="C58" s="472" t="s">
        <v>934</v>
      </c>
    </row>
    <row r="59" spans="1:3">
      <c r="A59" s="471">
        <v>23</v>
      </c>
      <c r="B59" s="472" t="s">
        <v>935</v>
      </c>
      <c r="C59" s="472" t="s">
        <v>936</v>
      </c>
    </row>
    <row r="60" spans="1:3">
      <c r="A60" s="471">
        <v>24</v>
      </c>
      <c r="B60" s="472" t="s">
        <v>937</v>
      </c>
      <c r="C60" s="472" t="s">
        <v>938</v>
      </c>
    </row>
    <row r="61" spans="1:3">
      <c r="A61" s="471">
        <v>25</v>
      </c>
      <c r="B61" s="472" t="s">
        <v>939</v>
      </c>
      <c r="C61" s="472" t="s">
        <v>940</v>
      </c>
    </row>
    <row r="62" spans="1:3">
      <c r="A62" s="471">
        <v>26</v>
      </c>
      <c r="B62" s="472" t="s">
        <v>11</v>
      </c>
      <c r="C62" s="472" t="s">
        <v>941</v>
      </c>
    </row>
    <row r="63" spans="1:3">
      <c r="A63" s="474"/>
      <c r="B63" s="474"/>
      <c r="C63" s="474"/>
    </row>
    <row r="64" spans="1:3" ht="29">
      <c r="A64" s="475"/>
      <c r="B64" s="476" t="s">
        <v>942</v>
      </c>
      <c r="C64" s="472"/>
    </row>
    <row r="65" spans="1:3">
      <c r="A65" s="471">
        <v>1</v>
      </c>
      <c r="B65" s="472" t="s">
        <v>943</v>
      </c>
      <c r="C65" s="472" t="s">
        <v>944</v>
      </c>
    </row>
    <row r="66" spans="1:3">
      <c r="A66" s="471">
        <v>2</v>
      </c>
      <c r="B66" s="472" t="s">
        <v>945</v>
      </c>
      <c r="C66" s="472" t="s">
        <v>944</v>
      </c>
    </row>
    <row r="67" spans="1:3">
      <c r="A67" s="471">
        <v>3</v>
      </c>
      <c r="B67" s="472" t="s">
        <v>946</v>
      </c>
      <c r="C67" s="472" t="s">
        <v>944</v>
      </c>
    </row>
    <row r="68" spans="1:3">
      <c r="A68" s="471">
        <v>4</v>
      </c>
      <c r="B68" s="472" t="s">
        <v>947</v>
      </c>
      <c r="C68" s="472" t="s">
        <v>944</v>
      </c>
    </row>
    <row r="69" spans="1:3">
      <c r="A69" s="471">
        <v>5</v>
      </c>
      <c r="B69" s="472" t="s">
        <v>948</v>
      </c>
      <c r="C69" s="472" t="s">
        <v>944</v>
      </c>
    </row>
    <row r="70" spans="1:3">
      <c r="A70" s="471">
        <v>6</v>
      </c>
      <c r="B70" s="472" t="s">
        <v>949</v>
      </c>
      <c r="C70" s="472" t="s">
        <v>944</v>
      </c>
    </row>
    <row r="71" spans="1:3">
      <c r="A71" s="471">
        <v>7</v>
      </c>
      <c r="B71" s="472" t="s">
        <v>950</v>
      </c>
      <c r="C71" s="472" t="s">
        <v>944</v>
      </c>
    </row>
    <row r="72" spans="1:3">
      <c r="A72" s="471">
        <v>8</v>
      </c>
      <c r="B72" s="472" t="s">
        <v>951</v>
      </c>
      <c r="C72" s="472" t="s">
        <v>944</v>
      </c>
    </row>
    <row r="73" spans="1:3">
      <c r="A73" s="471">
        <v>9</v>
      </c>
      <c r="B73" s="472" t="s">
        <v>952</v>
      </c>
      <c r="C73" s="472" t="s">
        <v>944</v>
      </c>
    </row>
    <row r="74" spans="1:3">
      <c r="A74" s="471">
        <v>10</v>
      </c>
      <c r="B74" s="472" t="s">
        <v>953</v>
      </c>
      <c r="C74" s="472" t="s">
        <v>944</v>
      </c>
    </row>
    <row r="75" spans="1:3">
      <c r="A75" s="471">
        <v>11</v>
      </c>
      <c r="B75" s="472" t="s">
        <v>896</v>
      </c>
      <c r="C75" s="472" t="s">
        <v>954</v>
      </c>
    </row>
    <row r="76" spans="1:3">
      <c r="A76" s="471">
        <v>12</v>
      </c>
      <c r="B76" s="472" t="s">
        <v>955</v>
      </c>
      <c r="C76" s="472" t="s">
        <v>956</v>
      </c>
    </row>
    <row r="77" spans="1:3">
      <c r="A77" s="471">
        <v>13</v>
      </c>
      <c r="B77" s="472" t="s">
        <v>957</v>
      </c>
      <c r="C77" s="472" t="s">
        <v>958</v>
      </c>
    </row>
    <row r="78" spans="1:3">
      <c r="A78" s="471">
        <v>14</v>
      </c>
      <c r="B78" s="472" t="s">
        <v>959</v>
      </c>
      <c r="C78" s="472" t="s">
        <v>960</v>
      </c>
    </row>
    <row r="79" spans="1:3">
      <c r="A79" s="471">
        <v>15</v>
      </c>
      <c r="B79" s="472" t="s">
        <v>961</v>
      </c>
      <c r="C79" s="472" t="s">
        <v>962</v>
      </c>
    </row>
    <row r="80" spans="1:3">
      <c r="A80" s="471">
        <v>16</v>
      </c>
      <c r="B80" s="472" t="s">
        <v>963</v>
      </c>
      <c r="C80" s="472" t="s">
        <v>964</v>
      </c>
    </row>
    <row r="81" spans="1:3">
      <c r="A81" s="471">
        <v>17</v>
      </c>
      <c r="B81" s="472" t="s">
        <v>965</v>
      </c>
      <c r="C81" s="472" t="s">
        <v>964</v>
      </c>
    </row>
    <row r="82" spans="1:3">
      <c r="A82" s="471">
        <v>18</v>
      </c>
      <c r="B82" s="472" t="s">
        <v>966</v>
      </c>
      <c r="C82" s="472" t="s">
        <v>964</v>
      </c>
    </row>
    <row r="83" spans="1:3">
      <c r="A83" s="477"/>
      <c r="B83" s="472"/>
      <c r="C83" s="478"/>
    </row>
  </sheetData>
  <mergeCells count="3">
    <mergeCell ref="A2:C2"/>
    <mergeCell ref="A36:A37"/>
    <mergeCell ref="B36:B37"/>
  </mergeCells>
  <pageMargins left="0.7" right="0.7" top="0.75" bottom="0.75" header="0.3" footer="0.3"/>
  <pageSetup paperSize="9"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Consolidated Summary</vt:lpstr>
      <vt:lpstr>Electrical Summary</vt:lpstr>
      <vt:lpstr>Electrical BOQ</vt:lpstr>
      <vt:lpstr> Lighting protection BOQ</vt:lpstr>
      <vt:lpstr>FIRE -SUMMARY</vt:lpstr>
      <vt:lpstr>FIRE BOQ</vt:lpstr>
      <vt:lpstr>MAKES</vt:lpstr>
      <vt:lpstr>' Lighting protection BOQ'!Print_Area</vt:lpstr>
      <vt:lpstr>'Electrical BOQ'!Print_Area</vt:lpstr>
      <vt:lpstr>'Electrical Summary'!Print_Area</vt:lpstr>
      <vt:lpstr>'FIRE BOQ'!Print_Area</vt:lpstr>
      <vt:lpstr>'FIRE -SUMMARY'!Print_Area</vt:lpstr>
      <vt:lpstr>MAKES!Print_Area</vt:lpstr>
      <vt:lpstr>'Electrical BOQ'!Print_Titles</vt:lpstr>
      <vt:lpstr>'FIRE 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Gopinath</dc:creator>
  <cp:lastModifiedBy>Roushan Computer</cp:lastModifiedBy>
  <cp:lastPrinted>2025-10-10T14:03:57Z</cp:lastPrinted>
  <dcterms:created xsi:type="dcterms:W3CDTF">2018-03-29T08:12:32Z</dcterms:created>
  <dcterms:modified xsi:type="dcterms:W3CDTF">2026-08-29T11:57:55Z</dcterms:modified>
</cp:coreProperties>
</file>